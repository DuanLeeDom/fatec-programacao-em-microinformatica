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morae\Desktop\"/>
    </mc:Choice>
  </mc:AlternateContent>
  <xr:revisionPtr revIDLastSave="0" documentId="8_{9B2B51F6-09FD-4DB2-B6B9-1DB9FE9D3DB5}" xr6:coauthVersionLast="47" xr6:coauthVersionMax="47" xr10:uidLastSave="{00000000-0000-0000-0000-000000000000}"/>
  <bookViews>
    <workbookView xWindow="-108" yWindow="-108" windowWidth="23256" windowHeight="12456" tabRatio="902" activeTab="21" xr2:uid="{D62A3A3B-6FA0-4DAA-89BC-434730893DC8}"/>
  </bookViews>
  <sheets>
    <sheet name="HOME" sheetId="64" r:id="rId1"/>
    <sheet name="PROD_HOME" sheetId="124" r:id="rId2"/>
    <sheet name="PRODUÇÃO_REQUISIÇÕES" sheetId="65" r:id="rId3"/>
    <sheet name="PRODUÇÃO_EQUIPES" sheetId="74" r:id="rId4"/>
    <sheet name="PRODUÇÃO_LANÇAMENTOS" sheetId="73" r:id="rId5"/>
    <sheet name="PRODUÇÃO_CONSULTA" sheetId="87" r:id="rId6"/>
    <sheet name="HOME_LOGISTICA" sheetId="125" r:id="rId7"/>
    <sheet name="N_LOGCLIENTES" sheetId="66" r:id="rId8"/>
    <sheet name="N_LOGVEIC" sheetId="93" r:id="rId9"/>
    <sheet name="N_LOGCRON" sheetId="94" r:id="rId10"/>
    <sheet name="N_LOGFRETE" sheetId="95" r:id="rId11"/>
    <sheet name="N_LOGRELAT" sheetId="96" r:id="rId12"/>
    <sheet name="N_LOGRAST" sheetId="97" r:id="rId13"/>
    <sheet name="N_LOGCAD" sheetId="98" r:id="rId14"/>
    <sheet name="HOME_ESTOQUE" sheetId="126" r:id="rId15"/>
    <sheet name="N_ESTQSAÍDAS" sheetId="99" r:id="rId16"/>
    <sheet name="N_ESTQENTRAD" sheetId="100" r:id="rId17"/>
    <sheet name="HOME_RH" sheetId="127" r:id="rId18"/>
    <sheet name="N_RHCONTRATAÇÃO" sheetId="101" r:id="rId19"/>
    <sheet name="N_CADASTRAR" sheetId="102" r:id="rId20"/>
    <sheet name="N_RHFOLHA" sheetId="103" r:id="rId21"/>
    <sheet name="N_RHREF " sheetId="104" r:id="rId22"/>
    <sheet name="HOME_VENDAS" sheetId="128" r:id="rId23"/>
    <sheet name="N_VCLIENTES (2)" sheetId="138" r:id="rId24"/>
    <sheet name="N_VCINTRL (2)" sheetId="139" r:id="rId25"/>
    <sheet name="N_VMETAS (2)" sheetId="140" r:id="rId26"/>
    <sheet name="N_VRELCOM (2)" sheetId="141" r:id="rId27"/>
    <sheet name="N_VRELMET (2)" sheetId="142" r:id="rId28"/>
    <sheet name="HOME_COMPRAS" sheetId="129" r:id="rId29"/>
    <sheet name="N_CCADASTROF" sheetId="132" r:id="rId30"/>
    <sheet name="N_PROCFOR" sheetId="133" r:id="rId31"/>
    <sheet name="N_CSOLICITAR" sheetId="134" r:id="rId32"/>
    <sheet name="N_CMP" sheetId="135" r:id="rId33"/>
    <sheet name="SOLICITAÇÕES" sheetId="136" r:id="rId34"/>
    <sheet name="N_CREALIZARP" sheetId="137" r:id="rId35"/>
    <sheet name="HOME_FINANCAS" sheetId="130" r:id="rId36"/>
    <sheet name="N_FINANÇAS" sheetId="118" r:id="rId37"/>
    <sheet name="N_FINANÇAS (2)" sheetId="119" r:id="rId38"/>
    <sheet name="N_FINANÇAS (3)" sheetId="120" r:id="rId39"/>
    <sheet name="HOME_BD" sheetId="131" r:id="rId40"/>
    <sheet name="B1" sheetId="121" r:id="rId41"/>
    <sheet name="B2" sheetId="122" r:id="rId42"/>
    <sheet name="B3" sheetId="123" r:id="rId43"/>
  </sheets>
  <externalReferences>
    <externalReference r:id="rId44"/>
    <externalReference r:id="rId45"/>
    <externalReference r:id="rId46"/>
    <externalReference r:id="rId47"/>
    <externalReference r:id="rId48"/>
  </externalReferences>
  <definedNames>
    <definedName name="_xlnm._FilterDatabase" localSheetId="30" hidden="1">N_PROCFOR!$G$12:$O$26</definedName>
    <definedName name="QUEIJOS">#REF!</definedName>
    <definedName name="QUEIJOS_OFC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7" i="140" l="1"/>
  <c r="K15" i="140"/>
  <c r="K19" i="140" s="1"/>
  <c r="K25" i="139"/>
  <c r="K27" i="139" s="1"/>
  <c r="K19" i="139"/>
  <c r="K17" i="139"/>
  <c r="I16" i="120" l="1"/>
  <c r="I15" i="120"/>
  <c r="I14" i="120"/>
  <c r="I13" i="120"/>
  <c r="I12" i="120"/>
  <c r="K31" i="119"/>
  <c r="K30" i="119"/>
  <c r="K27" i="119"/>
  <c r="K26" i="119"/>
  <c r="K22" i="119"/>
  <c r="K21" i="119"/>
  <c r="K20" i="119"/>
  <c r="W12" i="118"/>
  <c r="O28" i="118"/>
  <c r="O27" i="118"/>
  <c r="O26" i="118"/>
  <c r="O23" i="118"/>
  <c r="O22" i="118"/>
  <c r="O21" i="118"/>
  <c r="O20" i="118"/>
  <c r="O17" i="118"/>
  <c r="O16" i="118"/>
  <c r="O15" i="118"/>
  <c r="O12" i="118"/>
  <c r="O11" i="118"/>
  <c r="K23" i="118"/>
  <c r="K22" i="118"/>
  <c r="K21" i="118"/>
  <c r="K18" i="118"/>
  <c r="K17" i="118"/>
  <c r="K16" i="118"/>
  <c r="K13" i="118"/>
  <c r="K12" i="118"/>
  <c r="K11" i="118"/>
  <c r="I16" i="104" l="1"/>
  <c r="H15" i="104"/>
  <c r="H14" i="104"/>
  <c r="H13" i="104"/>
  <c r="K15" i="98"/>
  <c r="K16" i="98" s="1"/>
  <c r="K17" i="98" s="1"/>
  <c r="K18" i="98" s="1"/>
  <c r="K19" i="98" s="1"/>
  <c r="K20" i="98" s="1"/>
  <c r="K21" i="98" s="1"/>
  <c r="K22" i="98" s="1"/>
  <c r="K23" i="98" s="1"/>
  <c r="K24" i="98" s="1"/>
  <c r="K25" i="98" s="1"/>
  <c r="K26" i="98" s="1"/>
  <c r="K27" i="98" s="1"/>
  <c r="K28" i="98" s="1"/>
  <c r="K29" i="98" s="1"/>
  <c r="K30" i="98" s="1"/>
  <c r="K31" i="98" s="1"/>
  <c r="K32" i="98" s="1"/>
  <c r="K33" i="98" s="1"/>
  <c r="N14" i="98"/>
  <c r="O14" i="98" s="1"/>
  <c r="K15" i="97" l="1"/>
  <c r="K16" i="97" s="1"/>
  <c r="K17" i="97" s="1"/>
  <c r="K18" i="97" s="1"/>
  <c r="K19" i="97" s="1"/>
  <c r="K20" i="97" s="1"/>
  <c r="K21" i="97" s="1"/>
  <c r="K22" i="97" s="1"/>
  <c r="K23" i="97" s="1"/>
  <c r="K24" i="97" s="1"/>
  <c r="K25" i="97" s="1"/>
  <c r="K26" i="97" s="1"/>
  <c r="K27" i="97" s="1"/>
  <c r="K28" i="97" s="1"/>
  <c r="K29" i="97" s="1"/>
  <c r="K30" i="97" s="1"/>
  <c r="K31" i="97" s="1"/>
  <c r="K32" i="97" s="1"/>
  <c r="K33" i="97" s="1"/>
  <c r="N14" i="97"/>
  <c r="O14" i="97" s="1"/>
  <c r="K15" i="96"/>
  <c r="K16" i="96" s="1"/>
  <c r="K17" i="96" s="1"/>
  <c r="K18" i="96" s="1"/>
  <c r="K19" i="96" s="1"/>
  <c r="K20" i="96" s="1"/>
  <c r="K21" i="96" s="1"/>
  <c r="K22" i="96" s="1"/>
  <c r="K23" i="96" s="1"/>
  <c r="K24" i="96" s="1"/>
  <c r="K25" i="96" s="1"/>
  <c r="K26" i="96" s="1"/>
  <c r="K27" i="96" s="1"/>
  <c r="K28" i="96" s="1"/>
  <c r="K29" i="96" s="1"/>
  <c r="K30" i="96" s="1"/>
  <c r="K31" i="96" s="1"/>
  <c r="K32" i="96" s="1"/>
  <c r="K33" i="96" s="1"/>
  <c r="N14" i="96"/>
  <c r="O14" i="96" s="1"/>
  <c r="K15" i="95"/>
  <c r="K16" i="95" s="1"/>
  <c r="K17" i="95" s="1"/>
  <c r="K18" i="95" s="1"/>
  <c r="K19" i="95" s="1"/>
  <c r="K20" i="95" s="1"/>
  <c r="K21" i="95" s="1"/>
  <c r="K22" i="95" s="1"/>
  <c r="K23" i="95" s="1"/>
  <c r="K24" i="95" s="1"/>
  <c r="K25" i="95" s="1"/>
  <c r="K26" i="95" s="1"/>
  <c r="K27" i="95" s="1"/>
  <c r="K28" i="95" s="1"/>
  <c r="K29" i="95" s="1"/>
  <c r="K30" i="95" s="1"/>
  <c r="K31" i="95" s="1"/>
  <c r="K32" i="95" s="1"/>
  <c r="K33" i="95" s="1"/>
  <c r="N14" i="95"/>
  <c r="O14" i="95" s="1"/>
  <c r="K15" i="94"/>
  <c r="K16" i="94" s="1"/>
  <c r="K17" i="94" s="1"/>
  <c r="K18" i="94" s="1"/>
  <c r="K19" i="94" s="1"/>
  <c r="K20" i="94" s="1"/>
  <c r="K21" i="94" s="1"/>
  <c r="K22" i="94" s="1"/>
  <c r="K23" i="94" s="1"/>
  <c r="K24" i="94" s="1"/>
  <c r="K25" i="94" s="1"/>
  <c r="K26" i="94" s="1"/>
  <c r="K27" i="94" s="1"/>
  <c r="K28" i="94" s="1"/>
  <c r="K29" i="94" s="1"/>
  <c r="K30" i="94" s="1"/>
  <c r="K31" i="94" s="1"/>
  <c r="K32" i="94" s="1"/>
  <c r="K33" i="94" s="1"/>
  <c r="K15" i="93"/>
  <c r="K16" i="93" s="1"/>
  <c r="K17" i="93" s="1"/>
  <c r="K18" i="93" s="1"/>
  <c r="K19" i="93" s="1"/>
  <c r="K20" i="93" s="1"/>
  <c r="K21" i="93" s="1"/>
  <c r="K22" i="93" s="1"/>
  <c r="K23" i="93" s="1"/>
  <c r="K24" i="93" s="1"/>
  <c r="K25" i="93" s="1"/>
  <c r="K26" i="93" s="1"/>
  <c r="K27" i="93" s="1"/>
  <c r="K28" i="93" s="1"/>
  <c r="K29" i="93" s="1"/>
  <c r="K30" i="93" s="1"/>
  <c r="K31" i="93" s="1"/>
  <c r="K32" i="93" s="1"/>
  <c r="K33" i="93" s="1"/>
  <c r="T35" i="65" l="1"/>
  <c r="T33" i="65"/>
  <c r="T31" i="65"/>
  <c r="T29" i="65"/>
  <c r="T27" i="65"/>
  <c r="I14" i="66"/>
  <c r="I15" i="66" s="1"/>
  <c r="I16" i="66" s="1"/>
  <c r="I17" i="66" s="1"/>
  <c r="I18" i="66" s="1"/>
  <c r="I19" i="66" s="1"/>
  <c r="I20" i="66" s="1"/>
  <c r="I21" i="66" s="1"/>
  <c r="I22" i="66" s="1"/>
  <c r="I23" i="66" s="1"/>
  <c r="I24" i="66" s="1"/>
  <c r="I25" i="66" s="1"/>
  <c r="I26" i="66" s="1"/>
  <c r="I27" i="66" s="1"/>
  <c r="I28" i="66" s="1"/>
  <c r="I29" i="66" s="1"/>
  <c r="I30" i="66" s="1"/>
  <c r="I31" i="66" s="1"/>
  <c r="I32" i="66" s="1"/>
</calcChain>
</file>

<file path=xl/sharedStrings.xml><?xml version="1.0" encoding="utf-8"?>
<sst xmlns="http://schemas.openxmlformats.org/spreadsheetml/2006/main" count="1697" uniqueCount="755">
  <si>
    <t>DESENVOLVIDO POR: 1º SEMESTRE DO CURSO DE ADS 2024</t>
  </si>
  <si>
    <t xml:space="preserve">LISTA DE INGREDIENTES POR UNIDADE </t>
  </si>
  <si>
    <t>TIPOS DE QUEIJO</t>
  </si>
  <si>
    <t>LEITE (L)</t>
  </si>
  <si>
    <t>VINAGRE (L)</t>
  </si>
  <si>
    <t>COALHO(L)</t>
  </si>
  <si>
    <t>SAL(KG)</t>
  </si>
  <si>
    <t>FERMENTO(KG)</t>
  </si>
  <si>
    <t xml:space="preserve">QUEIJO MEIA CURA </t>
  </si>
  <si>
    <t>QUEIJO MINAS</t>
  </si>
  <si>
    <t>QUEIJO COALHO</t>
  </si>
  <si>
    <t>QUEIJO MUSSARELA</t>
  </si>
  <si>
    <t>DEMANDA</t>
  </si>
  <si>
    <t> </t>
  </si>
  <si>
    <t>GERENTE DE PRODUÇÃO</t>
  </si>
  <si>
    <t>ZÉZINHO</t>
  </si>
  <si>
    <t xml:space="preserve">MÁQUINA  QUEIJO MEIA CURA </t>
  </si>
  <si>
    <t>OPERADOR</t>
  </si>
  <si>
    <t>ZE OLIVIERA</t>
  </si>
  <si>
    <t>ZÉ GOMES</t>
  </si>
  <si>
    <t>AUXILIAR</t>
  </si>
  <si>
    <t xml:space="preserve">ZÉ </t>
  </si>
  <si>
    <t>ZÉ RIBEIRO</t>
  </si>
  <si>
    <t>ZÉ DA SILVA</t>
  </si>
  <si>
    <t>JOSÉ</t>
  </si>
  <si>
    <t>ZÉ MENDES</t>
  </si>
  <si>
    <t>SEU ZÉ</t>
  </si>
  <si>
    <t>LANÇAR PRODUÇÃO</t>
  </si>
  <si>
    <t>MÁQUINA/SETOR</t>
  </si>
  <si>
    <t>UNIDADES PRODUZIDAS</t>
  </si>
  <si>
    <t>ESTADO ATUAL</t>
  </si>
  <si>
    <t xml:space="preserve">ID </t>
  </si>
  <si>
    <t>Nome do Cliente</t>
  </si>
  <si>
    <t>Endereço Completo</t>
  </si>
  <si>
    <t>Cidade/Estado</t>
  </si>
  <si>
    <t>Telefone</t>
  </si>
  <si>
    <t>E-mail</t>
  </si>
  <si>
    <t>Preferências de Entrega</t>
  </si>
  <si>
    <t>Ana Silva</t>
  </si>
  <si>
    <t>Rua das Flores, 123, Apt 45</t>
  </si>
  <si>
    <t>São Paulo/SP</t>
  </si>
  <si>
    <t>(11) 91234-5678</t>
  </si>
  <si>
    <t>ana.silva@example.com</t>
  </si>
  <si>
    <t>Entregar pela manhã</t>
  </si>
  <si>
    <t>João Oliveira</t>
  </si>
  <si>
    <t>Av. Paulista, 456, Bloco B</t>
  </si>
  <si>
    <t>(11) 92345-6789</t>
  </si>
  <si>
    <t>joao.oliveira@example.com</t>
  </si>
  <si>
    <t>Deixar com o porteiro</t>
  </si>
  <si>
    <t>Maria Souza</t>
  </si>
  <si>
    <t>Rua do Sol, 789</t>
  </si>
  <si>
    <t>Rio de Janeiro/RJ</t>
  </si>
  <si>
    <t>(21) 93456-7890</t>
  </si>
  <si>
    <t>maria.souza@example.com</t>
  </si>
  <si>
    <t>Entregar após 18h</t>
  </si>
  <si>
    <t>Pedro Santos</t>
  </si>
  <si>
    <t>Av. das Américas, 101, Casa 3</t>
  </si>
  <si>
    <t>Curitiba/PR</t>
  </si>
  <si>
    <t>(41) 94567-8901</t>
  </si>
  <si>
    <t>pedro.santos@example.com</t>
  </si>
  <si>
    <t>Entregar em mãos</t>
  </si>
  <si>
    <t>Lucas Pereira</t>
  </si>
  <si>
    <t>Rua das Palmeiras, 500</t>
  </si>
  <si>
    <t>Belo Horizonte/MG</t>
  </si>
  <si>
    <t>(31) 95678-9012</t>
  </si>
  <si>
    <t>lucas.pereira@example.com</t>
  </si>
  <si>
    <t>Deixar na portaria</t>
  </si>
  <si>
    <t>Mariana Costa</t>
  </si>
  <si>
    <t>Rua da Praia, 23, Apt 101</t>
  </si>
  <si>
    <t>Salvador/BA</t>
  </si>
  <si>
    <t>(71) 96789-0123</t>
  </si>
  <si>
    <t>mariana.costa@example.com</t>
  </si>
  <si>
    <t>Entregar pela tarde</t>
  </si>
  <si>
    <t>Rafael Lima</t>
  </si>
  <si>
    <t>Av. Central, 77</t>
  </si>
  <si>
    <t>Porto Alegre/RS</t>
  </si>
  <si>
    <t>(51) 97890-1234</t>
  </si>
  <si>
    <t>rafael.lima@example.com</t>
  </si>
  <si>
    <t>Entrega urgente</t>
  </si>
  <si>
    <t>Julia Rocha</t>
  </si>
  <si>
    <t>Rua Verde, 222</t>
  </si>
  <si>
    <t>Recife/PE</t>
  </si>
  <si>
    <t>(81) 98901-2345</t>
  </si>
  <si>
    <t>julia.rocha@example.com</t>
  </si>
  <si>
    <t>Não tocar a campainha</t>
  </si>
  <si>
    <t>Gabriel Alves</t>
  </si>
  <si>
    <t>Rua Azul, 300, Casa A</t>
  </si>
  <si>
    <t>Belém/PA</t>
  </si>
  <si>
    <t>(91) 90012-3456</t>
  </si>
  <si>
    <t>gabriel.alves@example.com</t>
  </si>
  <si>
    <t>Entregar somente à tarde</t>
  </si>
  <si>
    <t>Camila Ribeiro</t>
  </si>
  <si>
    <t>Av. das Rosas, 121, Bloco C</t>
  </si>
  <si>
    <t>Fortaleza/CE</t>
  </si>
  <si>
    <t>(85) 91023-4567</t>
  </si>
  <si>
    <t>camila.ribeiro@example.com</t>
  </si>
  <si>
    <t>Horário comercial</t>
  </si>
  <si>
    <t>Thiago Martins</t>
  </si>
  <si>
    <t>Rua Amarela, 50, Apt 202</t>
  </si>
  <si>
    <t>Campinas/SP</t>
  </si>
  <si>
    <t>(19) 92134-5678</t>
  </si>
  <si>
    <t>thiago.martins@example.com</t>
  </si>
  <si>
    <t>Com aviso prévio</t>
  </si>
  <si>
    <t>Larissa Fernandes</t>
  </si>
  <si>
    <t>Av. Brasil, 1400, Casa B</t>
  </si>
  <si>
    <t>Manaus/AM</t>
  </si>
  <si>
    <t>(92) 93245-6789</t>
  </si>
  <si>
    <t>larissa.fernandes@example.com</t>
  </si>
  <si>
    <t>Sem preferência</t>
  </si>
  <si>
    <t>Felipe Mendes</t>
  </si>
  <si>
    <t>Rua do Campo, 765</t>
  </si>
  <si>
    <t>Vitória/ES</t>
  </si>
  <si>
    <t>(27) 94356-7890</t>
  </si>
  <si>
    <t>felipe.mendes@example.com</t>
  </si>
  <si>
    <t>Entregar após 17h</t>
  </si>
  <si>
    <t>Beatriz Nogueira</t>
  </si>
  <si>
    <t>Av. Independência, 2000, Apt 15</t>
  </si>
  <si>
    <t>Goiânia/GO</t>
  </si>
  <si>
    <t>(62) 95467-8901</t>
  </si>
  <si>
    <t>beatriz.nogueira@example.com</t>
  </si>
  <si>
    <t>Deixar com a vizinha</t>
  </si>
  <si>
    <t>Vinicius Matos</t>
  </si>
  <si>
    <t>Rua do Parque, 432, Casa C</t>
  </si>
  <si>
    <t>Natal/RN</t>
  </si>
  <si>
    <t>(84) 96578-9012</t>
  </si>
  <si>
    <t>vinicius.matos@example.com</t>
  </si>
  <si>
    <t>Somente pela manhã</t>
  </si>
  <si>
    <t>Renata Borges</t>
  </si>
  <si>
    <t>Rua da Igreja, 15, Bloco A</t>
  </si>
  <si>
    <t>Florianópolis/SC</t>
  </si>
  <si>
    <t>(48) 97689-0123</t>
  </si>
  <si>
    <t>renata.borges@example.com</t>
  </si>
  <si>
    <t>Igor Cardoso</t>
  </si>
  <si>
    <t>Av. Verde, 1010</t>
  </si>
  <si>
    <t>Campo Grande/MS</t>
  </si>
  <si>
    <t>(67) 98790-1234</t>
  </si>
  <si>
    <t>igor.cardoso@example.com</t>
  </si>
  <si>
    <t>Paula Azevedo</t>
  </si>
  <si>
    <t>Rua das Pedras, 89, Apt 309</t>
  </si>
  <si>
    <t>São Luís/MA</t>
  </si>
  <si>
    <t>(98) 99801-2345</t>
  </si>
  <si>
    <t>paula.azevedo@example.com</t>
  </si>
  <si>
    <t>Entregar após 19h</t>
  </si>
  <si>
    <t>Bruno Batista</t>
  </si>
  <si>
    <t>Av. Mar, 707</t>
  </si>
  <si>
    <t>João Pessoa/PB</t>
  </si>
  <si>
    <t>(83) 90912-3456</t>
  </si>
  <si>
    <t>bruno.batista@example.com</t>
  </si>
  <si>
    <t>Elisa Teixeira</t>
  </si>
  <si>
    <t>Rua Nova, 10, Casa 2</t>
  </si>
  <si>
    <t>Teresina/PI</t>
  </si>
  <si>
    <t>(86) 91923-4567</t>
  </si>
  <si>
    <t>elisa.teixeira@example.com</t>
  </si>
  <si>
    <t>Nome da Empresa</t>
  </si>
  <si>
    <t>Tipo de Veículo</t>
  </si>
  <si>
    <t>Capacidade de Carga (kg)</t>
  </si>
  <si>
    <t>Placa do Veículo</t>
  </si>
  <si>
    <t>Nome do Motorista</t>
  </si>
  <si>
    <t>Telefone do Motorista</t>
  </si>
  <si>
    <t>Status do Veículo</t>
  </si>
  <si>
    <t>TransLog</t>
  </si>
  <si>
    <t>Caminhão</t>
  </si>
  <si>
    <t>ABC1D23</t>
  </si>
  <si>
    <t>Carlos Souza</t>
  </si>
  <si>
    <t>Em operação</t>
  </si>
  <si>
    <t>Carga Rápida</t>
  </si>
  <si>
    <t>Van</t>
  </si>
  <si>
    <t>DEF4G56</t>
  </si>
  <si>
    <t>Marcos Lima</t>
  </si>
  <si>
    <t>(21) 92345-6789</t>
  </si>
  <si>
    <t>Disponível</t>
  </si>
  <si>
    <t>Transporte Silva</t>
  </si>
  <si>
    <t>GHI7J89</t>
  </si>
  <si>
    <t>Pedro Oliveira</t>
  </si>
  <si>
    <t>(31) 93456-7890</t>
  </si>
  <si>
    <t>Em manutenção</t>
  </si>
  <si>
    <t>FretEx</t>
  </si>
  <si>
    <t>Utilitário</t>
  </si>
  <si>
    <t>JKL1M23</t>
  </si>
  <si>
    <t>Ana Ferreira</t>
  </si>
  <si>
    <t>Entrega Expressa</t>
  </si>
  <si>
    <t>MNO4P56</t>
  </si>
  <si>
    <t>(51) 95678-9012</t>
  </si>
  <si>
    <t>Logística Norte</t>
  </si>
  <si>
    <t>PQR7S89</t>
  </si>
  <si>
    <t>João Santos</t>
  </si>
  <si>
    <t>(61) 96789-0123</t>
  </si>
  <si>
    <t>Via Cargo</t>
  </si>
  <si>
    <t>STU1V23</t>
  </si>
  <si>
    <t>Maria Costa</t>
  </si>
  <si>
    <t>(71) 97890-1234</t>
  </si>
  <si>
    <t>Rota Segura</t>
  </si>
  <si>
    <t>VWX4Y56</t>
  </si>
  <si>
    <t>Tiago Nunes</t>
  </si>
  <si>
    <t>Fast Transport</t>
  </si>
  <si>
    <t>YZA7B89</t>
  </si>
  <si>
    <t>Global Delivery</t>
  </si>
  <si>
    <t>CDE1F23</t>
  </si>
  <si>
    <t>Camila Rocha</t>
  </si>
  <si>
    <t>MegaTrans</t>
  </si>
  <si>
    <t>FGH4I56</t>
  </si>
  <si>
    <t>Nova Rota</t>
  </si>
  <si>
    <t>IJK7L89</t>
  </si>
  <si>
    <t>Larissa Melo</t>
  </si>
  <si>
    <t>Cargo Plus</t>
  </si>
  <si>
    <t>LMN1O23</t>
  </si>
  <si>
    <t>RapidFret</t>
  </si>
  <si>
    <t>OPQ4R56</t>
  </si>
  <si>
    <t>Logística Total</t>
  </si>
  <si>
    <t>RST7U89</t>
  </si>
  <si>
    <t>Entrega Sul</t>
  </si>
  <si>
    <t>UVW1X23</t>
  </si>
  <si>
    <t>TransCo</t>
  </si>
  <si>
    <t>XYZ4A56</t>
  </si>
  <si>
    <t>Entregas Ágeis</t>
  </si>
  <si>
    <t>ABC7D89</t>
  </si>
  <si>
    <t>Carga Forte</t>
  </si>
  <si>
    <t>DEF1G23</t>
  </si>
  <si>
    <t>Transporte VIP</t>
  </si>
  <si>
    <t>GHI4J56</t>
  </si>
  <si>
    <t>ID</t>
  </si>
  <si>
    <t>Data da Entrega</t>
  </si>
  <si>
    <t>Hora de Saída</t>
  </si>
  <si>
    <t>Endereço de Entrega</t>
  </si>
  <si>
    <t>Produto(s)</t>
  </si>
  <si>
    <t>Quantidade</t>
  </si>
  <si>
    <t>Veículo Responsável</t>
  </si>
  <si>
    <t>Status</t>
  </si>
  <si>
    <t>Rua das Flores, 123, São Paulo</t>
  </si>
  <si>
    <t>Queijo Meia Cura</t>
  </si>
  <si>
    <t>Em trânsito</t>
  </si>
  <si>
    <t>Av. Paulista, 456, São Paulo</t>
  </si>
  <si>
    <t>Queijo Coalho</t>
  </si>
  <si>
    <t>Preparando entrega</t>
  </si>
  <si>
    <t>Rua do Sol, 789, Rio de Janeiro</t>
  </si>
  <si>
    <t>Minas</t>
  </si>
  <si>
    <t>Av. das Américas, 101, Curitiba</t>
  </si>
  <si>
    <t>Mussarela</t>
  </si>
  <si>
    <t>Rua das Palmeiras, 500, BH</t>
  </si>
  <si>
    <t>Entregue</t>
  </si>
  <si>
    <t>Rua da Praia, 23, Salvador</t>
  </si>
  <si>
    <t>Av. Central, 77, Porto Alegre</t>
  </si>
  <si>
    <t>Rua Verde, 222, Recife</t>
  </si>
  <si>
    <t>Rua Azul, 300, Belém</t>
  </si>
  <si>
    <t>Av. das Rosas, 121, Fortaleza</t>
  </si>
  <si>
    <t>Rua Amarela, 50, Campinas</t>
  </si>
  <si>
    <t>Av. Brasil, 1400, Manaus</t>
  </si>
  <si>
    <t>Rua do Campo, 765, Vitória</t>
  </si>
  <si>
    <t>Av. Independência, 2000, Goiânia</t>
  </si>
  <si>
    <t>Rua do Parque, 432, Natal</t>
  </si>
  <si>
    <t>Rua da Igreja, 15, Florianópolis</t>
  </si>
  <si>
    <t>Av. Verde, 1010, Campo Grande</t>
  </si>
  <si>
    <t>Rua das Pedras, 89, São Luís</t>
  </si>
  <si>
    <t>Av. Mar, 707, João Pessoa</t>
  </si>
  <si>
    <t>Rua Nova, 10, Teresina</t>
  </si>
  <si>
    <t>Distância (km)</t>
  </si>
  <si>
    <t>Peso Total (kg)</t>
  </si>
  <si>
    <t>Custo do Frete</t>
  </si>
  <si>
    <t>Valor do Frete</t>
  </si>
  <si>
    <t>Observações</t>
  </si>
  <si>
    <t>Entrega rápida</t>
  </si>
  <si>
    <t>Cliente VIP</t>
  </si>
  <si>
    <t>Inclui seguro</t>
  </si>
  <si>
    <t>Rotas alternativas usadas</t>
  </si>
  <si>
    <t>Carga frágil</t>
  </si>
  <si>
    <t>Requer duas paradas</t>
  </si>
  <si>
    <t>Entrega noturna</t>
  </si>
  <si>
    <t>Inclui serviço de montagem</t>
  </si>
  <si>
    <t>Cliente novo</t>
  </si>
  <si>
    <t>Tempo de espera extra</t>
  </si>
  <si>
    <t>Solicitação urgente</t>
  </si>
  <si>
    <t>Entrega agendada</t>
  </si>
  <si>
    <t>Inclui monitoramento</t>
  </si>
  <si>
    <t>Entrega em área remota</t>
  </si>
  <si>
    <t>Veículo com escolta</t>
  </si>
  <si>
    <t>Retorno ao armazém previsto</t>
  </si>
  <si>
    <t>Serviço de manuseio extra</t>
  </si>
  <si>
    <t>Condições meteorológicas</t>
  </si>
  <si>
    <t>Necessário reforço na carga</t>
  </si>
  <si>
    <t>Pedido programado</t>
  </si>
  <si>
    <t>SAÍDA DE MATÉRIA PRIMA</t>
  </si>
  <si>
    <t>SAÍDA DE PRODUTOS</t>
  </si>
  <si>
    <t>PRODUTO</t>
  </si>
  <si>
    <t>QUANTIDADE</t>
  </si>
  <si>
    <t>PARA QUAL CARGO/SETOR PRECISA CONTRATAR?</t>
  </si>
  <si>
    <t>QUANTOS COLABORADORES PRECISA CONTRATAR?</t>
  </si>
  <si>
    <t>CADASTRO DE COLABORADOR</t>
  </si>
  <si>
    <t>NOME</t>
  </si>
  <si>
    <t>NACIONALIDADE</t>
  </si>
  <si>
    <t>ESTADO CIVIL</t>
  </si>
  <si>
    <t>PROFISSÃO</t>
  </si>
  <si>
    <t>RG</t>
  </si>
  <si>
    <t>CPF</t>
  </si>
  <si>
    <t>ENDEREÇO</t>
  </si>
  <si>
    <t>E-MAIL</t>
  </si>
  <si>
    <t>CELULAR</t>
  </si>
  <si>
    <t>CARGO</t>
  </si>
  <si>
    <t>SALÁRIO</t>
  </si>
  <si>
    <t>HORÁRIO DE TRABALHO</t>
  </si>
  <si>
    <t>DATA DE INÍCIO</t>
  </si>
  <si>
    <t>8h às 12h e das 13h às 17h</t>
  </si>
  <si>
    <t>GERADOR DE FOLHA DE PAGAMENTO</t>
  </si>
  <si>
    <t>CPF DO COLABORADOR</t>
  </si>
  <si>
    <t>MÊS E ANO</t>
  </si>
  <si>
    <t>QUANTIDADE DE HORAS EXTRAS</t>
  </si>
  <si>
    <t>NÚMERO DE FALTAS</t>
  </si>
  <si>
    <t>Recibo de Pagamento de Salário</t>
  </si>
  <si>
    <t>Rua X, n° X, XX, Bragança Paulista-SP</t>
  </si>
  <si>
    <t>Mês/Ano</t>
  </si>
  <si>
    <t>CNPJ: XX.XXX.XXX/0001-XX</t>
  </si>
  <si>
    <t>NOME DO COLABORADOR</t>
  </si>
  <si>
    <t>SETOR/CARGO</t>
  </si>
  <si>
    <t>DESCRIÇÃO</t>
  </si>
  <si>
    <t>REFERÊNCIA</t>
  </si>
  <si>
    <t>PROVENTOS</t>
  </si>
  <si>
    <t>DESCONTOS</t>
  </si>
  <si>
    <t>SALÁRIO BASE</t>
  </si>
  <si>
    <t>HORAS EXTRAS</t>
  </si>
  <si>
    <t>FALTAS</t>
  </si>
  <si>
    <t>INSS</t>
  </si>
  <si>
    <t>IRPF</t>
  </si>
  <si>
    <t>OBSERVAÇÕES:</t>
  </si>
  <si>
    <t>TOTAL DE PROVENTOS</t>
  </si>
  <si>
    <t>TOTAL DE DESCONTOS</t>
  </si>
  <si>
    <t>BASE FGTS</t>
  </si>
  <si>
    <t>FGTS DO MÊS</t>
  </si>
  <si>
    <t>BASE INSS</t>
  </si>
  <si>
    <t>Declaro ter recebido a importância líquida discriminada neste recibo.</t>
  </si>
  <si>
    <t>Local e data.</t>
  </si>
  <si>
    <t>Assinatura.</t>
  </si>
  <si>
    <t>CARGO E SETOR</t>
  </si>
  <si>
    <t>GERENTE DE RH</t>
  </si>
  <si>
    <t>ANALISTA DE RH</t>
  </si>
  <si>
    <t>AUXILIAR DE RH</t>
  </si>
  <si>
    <t>GERENTE DE FINANCEIRO</t>
  </si>
  <si>
    <t>ANALISTA DE FINANCEIRO</t>
  </si>
  <si>
    <t>AUXILIAR DE FINANCEIRO</t>
  </si>
  <si>
    <t>GERENTE DE VENDAS</t>
  </si>
  <si>
    <t>VENDEDOR DE VENDAS</t>
  </si>
  <si>
    <t>OPERADOR DE PRODUÇÃO</t>
  </si>
  <si>
    <t>AUXILIAR DE PRODUÇÃO</t>
  </si>
  <si>
    <t>GERENTE DE COMPRAS</t>
  </si>
  <si>
    <t>ANALISTA DE COMPRAS</t>
  </si>
  <si>
    <t>AUXILIAR DE COMPRAS</t>
  </si>
  <si>
    <t>GERENTE DE LOGÍSTICA</t>
  </si>
  <si>
    <t>COORDENADOR DE LOGÍSTICA</t>
  </si>
  <si>
    <t>ANALISTA DE LOGÍSTICA</t>
  </si>
  <si>
    <t>AUXILIAR DE LOGÍSTICA</t>
  </si>
  <si>
    <t>GERENTE DE ESTOQUE</t>
  </si>
  <si>
    <t>COORDENADOR DE ESTOQUE</t>
  </si>
  <si>
    <t>AUXILIAR DE ESTOQUE</t>
  </si>
  <si>
    <t>TABELA IMPOSTO DE RENDA - Lei nº 14.848/24</t>
  </si>
  <si>
    <t>FAIXAS SALARIAIS</t>
  </si>
  <si>
    <t>%(ALIQUOTA)</t>
  </si>
  <si>
    <t>VALOR A DEDUZIR</t>
  </si>
  <si>
    <t>ATE</t>
  </si>
  <si>
    <t>ACIMA</t>
  </si>
  <si>
    <t>IR</t>
  </si>
  <si>
    <t>VER TABELA</t>
  </si>
  <si>
    <t>VAL REFEIÇÃO</t>
  </si>
  <si>
    <t>FGTS</t>
  </si>
  <si>
    <t>CADASTRO DE CLIENTES</t>
  </si>
  <si>
    <t>CNPJ</t>
  </si>
  <si>
    <t>NOME DO CLIENTE</t>
  </si>
  <si>
    <t>PREÇO UNITÁRIO</t>
  </si>
  <si>
    <t>VALOR TOTAL DA VENDA</t>
  </si>
  <si>
    <t>DATA DE VENDA</t>
  </si>
  <si>
    <t xml:space="preserve">VENDEDOR </t>
  </si>
  <si>
    <t>CONTROLE DE VENDAS</t>
  </si>
  <si>
    <t>CONTROLE DE METAS</t>
  </si>
  <si>
    <t>META DE VENDA MENSAL</t>
  </si>
  <si>
    <t>Queijo Minas</t>
  </si>
  <si>
    <t>Queijo Mussarela</t>
  </si>
  <si>
    <t>ID do fornecedor</t>
  </si>
  <si>
    <t>F001</t>
  </si>
  <si>
    <t xml:space="preserve">Nome </t>
  </si>
  <si>
    <t>Laticínios São João Ltda.</t>
  </si>
  <si>
    <t>12.345.678/0001-90</t>
  </si>
  <si>
    <t>vendas@saojoao.com.br</t>
  </si>
  <si>
    <t>(11) 1234-5678</t>
  </si>
  <si>
    <t>Endereço</t>
  </si>
  <si>
    <t>Rua das Leiteiras, 123, São Paulo</t>
  </si>
  <si>
    <t>Condições de pagamento</t>
  </si>
  <si>
    <t>A vista</t>
  </si>
  <si>
    <t>Produto</t>
  </si>
  <si>
    <t>Leite</t>
  </si>
  <si>
    <t>Valor unitario do produto</t>
  </si>
  <si>
    <t>ID do Produto</t>
  </si>
  <si>
    <t>Quantidade minima</t>
  </si>
  <si>
    <t>Quantidade atual</t>
  </si>
  <si>
    <t>Quantidade miníma a comprar</t>
  </si>
  <si>
    <t>Necessidade de compra</t>
  </si>
  <si>
    <t>Data de solicitação</t>
  </si>
  <si>
    <t>Setor</t>
  </si>
  <si>
    <t>SOLICITAR COMPRA</t>
  </si>
  <si>
    <t>Data do pedido</t>
  </si>
  <si>
    <t>E- mail</t>
  </si>
  <si>
    <t>Valor do produto</t>
  </si>
  <si>
    <t>Valor do pedido</t>
  </si>
  <si>
    <t>REALIZAR PEDIDO</t>
  </si>
  <si>
    <t xml:space="preserve">CNPJ </t>
  </si>
  <si>
    <r>
      <t xml:space="preserve">Empregador </t>
    </r>
    <r>
      <rPr>
        <b/>
        <sz val="22"/>
        <color theme="1"/>
        <rFont val="Arial"/>
        <family val="2"/>
      </rPr>
      <t>QUEIJARIA ALPINA</t>
    </r>
  </si>
  <si>
    <t>a</t>
  </si>
  <si>
    <t>CIDADE</t>
  </si>
  <si>
    <t>CADASTRO DE CLIENTE</t>
  </si>
  <si>
    <t>PREÇOS UNITARIO</t>
  </si>
  <si>
    <t>CADASTRO DE FORNECEDORES</t>
  </si>
  <si>
    <t>TELEFONE</t>
  </si>
  <si>
    <t>ESTADO</t>
  </si>
  <si>
    <t>EMAIL</t>
  </si>
  <si>
    <t>NOME DO FORNECEDOR</t>
  </si>
  <si>
    <t>Casa de queijo de Monte Verde</t>
  </si>
  <si>
    <t>93.946.695/0001-80</t>
  </si>
  <si>
    <t>(15) 3865-2730</t>
  </si>
  <si>
    <t>Rua das Flores, 123</t>
  </si>
  <si>
    <t>Sorocaba</t>
  </si>
  <si>
    <t>São Paulo</t>
  </si>
  <si>
    <t>lucas.silva23@email.com</t>
  </si>
  <si>
    <t>Queijaria de Minas</t>
  </si>
  <si>
    <t>21.675.749/0001-09</t>
  </si>
  <si>
    <t>(12) 3628-7030</t>
  </si>
  <si>
    <t>Avenida Brasil, 4567</t>
  </si>
  <si>
    <t>Taubate</t>
  </si>
  <si>
    <t>maria.gomes78@email.com</t>
  </si>
  <si>
    <t>Aqui Queijo</t>
  </si>
  <si>
    <t>65.357.706/0001-50</t>
  </si>
  <si>
    <t>(14) 3615-7048</t>
  </si>
  <si>
    <t>Rua do Sol, 89</t>
  </si>
  <si>
    <t>Bauru</t>
  </si>
  <si>
    <t>pedro.santos45@email.com</t>
  </si>
  <si>
    <t>Uai Queijo</t>
  </si>
  <si>
    <t>09.091.029/0001-09</t>
  </si>
  <si>
    <t>(11) 3257-0877</t>
  </si>
  <si>
    <t>Travessa da Paz, 12</t>
  </si>
  <si>
    <t>julia.martins56@email.com</t>
  </si>
  <si>
    <t>Cruzilha Queijos</t>
  </si>
  <si>
    <t>09.190.296/0001-25</t>
  </si>
  <si>
    <t>(12) 2143-7408</t>
  </si>
  <si>
    <t>Rua da Esperança, 34</t>
  </si>
  <si>
    <t>Aparecida</t>
  </si>
  <si>
    <t>fernando.lima12@email.com</t>
  </si>
  <si>
    <t>Montana</t>
  </si>
  <si>
    <t>41.676.392/0001-90</t>
  </si>
  <si>
    <t>(18) 2801-0384</t>
  </si>
  <si>
    <t>Avenida das Américas, 567</t>
  </si>
  <si>
    <t>Adamantina</t>
  </si>
  <si>
    <t>ana.paula91@email.com</t>
  </si>
  <si>
    <t>Chale do Ito</t>
  </si>
  <si>
    <t>31.537.669/0001-40</t>
  </si>
  <si>
    <t>(15) 3284-8741</t>
  </si>
  <si>
    <t>Rua São Jorge, 78</t>
  </si>
  <si>
    <t>Itapeva</t>
  </si>
  <si>
    <t>roberto.costa34@email.com</t>
  </si>
  <si>
    <t>Restaurante So Queijo</t>
  </si>
  <si>
    <t>29.140.170/0001-53</t>
  </si>
  <si>
    <t>(12) 2873-4816</t>
  </si>
  <si>
    <t>Praça da Liberdade, 9</t>
  </si>
  <si>
    <t>Bananal</t>
  </si>
  <si>
    <t>claudia.rodrigues67@email.com</t>
  </si>
  <si>
    <t>Arcobaleno Frios e Queijos</t>
  </si>
  <si>
    <t>22.322.380/0001-13</t>
  </si>
  <si>
    <t>(38) 2237-4245</t>
  </si>
  <si>
    <t>Rua dos Reis, 101</t>
  </si>
  <si>
    <t>Aricanduva</t>
  </si>
  <si>
    <t>Minas Gerais</t>
  </si>
  <si>
    <t>ricardo.alves89@email.com</t>
  </si>
  <si>
    <t>Restaurante Libertango</t>
  </si>
  <si>
    <t>05.790.326/0001-83</t>
  </si>
  <si>
    <t>(34) 3036-2382</t>
  </si>
  <si>
    <t>Avenida dos Girassóis, 234</t>
  </si>
  <si>
    <t>Uberaba</t>
  </si>
  <si>
    <t>beatriz.souza22@email.com</t>
  </si>
  <si>
    <t>Monte Verde Laticinios</t>
  </si>
  <si>
    <t>17.389.690/0001-15</t>
  </si>
  <si>
    <t>(37) 2351-7051</t>
  </si>
  <si>
    <t>Rua das Acácias, 45</t>
  </si>
  <si>
    <t>Formiga</t>
  </si>
  <si>
    <t>thiago.ferreira10@email.com</t>
  </si>
  <si>
    <t>Armazem do Queijo</t>
  </si>
  <si>
    <t>03.044.803/0001-36</t>
  </si>
  <si>
    <t>(35) 2674-7424</t>
  </si>
  <si>
    <t>Estrada do Ouro, 678</t>
  </si>
  <si>
    <t>Pouso Alegre</t>
  </si>
  <si>
    <t>leticia.brito14@email.com</t>
  </si>
  <si>
    <t xml:space="preserve">Rancho do Caipira </t>
  </si>
  <si>
    <t>49.619.326/0001-90</t>
  </si>
  <si>
    <t>(34) 2355-3004</t>
  </si>
  <si>
    <t>Rua da Alegria, 23</t>
  </si>
  <si>
    <t>carlos.oliveira11@email.com</t>
  </si>
  <si>
    <t>Queijo e Doces Monte Verde</t>
  </si>
  <si>
    <t>76.018.260/0001-56</t>
  </si>
  <si>
    <t>(31) 2766-4584</t>
  </si>
  <si>
    <t>Avenida da Saúde, 345</t>
  </si>
  <si>
    <t>Contagem</t>
  </si>
  <si>
    <t>simone.nunes83@email.com</t>
  </si>
  <si>
    <t>Cantinho do Doce</t>
  </si>
  <si>
    <t>66.501.356/0001-17</t>
  </si>
  <si>
    <t>(38) 2532-5231</t>
  </si>
  <si>
    <t>Rua do Comércio, 11</t>
  </si>
  <si>
    <t>Arinos</t>
  </si>
  <si>
    <t>andréa.melo29@email.com</t>
  </si>
  <si>
    <t>A Pioneira</t>
  </si>
  <si>
    <t>18.996.600/0001-17</t>
  </si>
  <si>
    <t>(35) 2146-6560</t>
  </si>
  <si>
    <t>Rua do Limoeiro, 87</t>
  </si>
  <si>
    <t>Camanducaia</t>
  </si>
  <si>
    <t>vinicius.pires75@email.com</t>
  </si>
  <si>
    <t>Supermercado du Tato</t>
  </si>
  <si>
    <t>21.153.490/0001-36</t>
  </si>
  <si>
    <t>(43) 2678-1201</t>
  </si>
  <si>
    <t>Avenida da Independência, 456</t>
  </si>
  <si>
    <t>Alvorada do Sul</t>
  </si>
  <si>
    <t>Parana</t>
  </si>
  <si>
    <t>patricia.santos18@email.com</t>
  </si>
  <si>
    <t>Queijos Santa Fe</t>
  </si>
  <si>
    <t>24.851.065/0001-09</t>
  </si>
  <si>
    <t>(45) 2102-1100</t>
  </si>
  <si>
    <t>Rua das Palmeiras, 62</t>
  </si>
  <si>
    <t>Campo Bonito</t>
  </si>
  <si>
    <t>renan.campos90@email.com</t>
  </si>
  <si>
    <t>Supermercado Avenida</t>
  </si>
  <si>
    <t>03.531.020/0001-87</t>
  </si>
  <si>
    <t>(42) 2436-0843</t>
  </si>
  <si>
    <t>Rua do Conhecimento, 90</t>
  </si>
  <si>
    <t>Bituruna</t>
  </si>
  <si>
    <t>eliane.torres57@email.com</t>
  </si>
  <si>
    <t>Supermercado Bosque</t>
  </si>
  <si>
    <t>73.027.684/0001-99</t>
  </si>
  <si>
    <t>(42) 2463-2316</t>
  </si>
  <si>
    <t>Travessa do Coração, 33</t>
  </si>
  <si>
    <t>Irati</t>
  </si>
  <si>
    <t>joão.paulo82@email.com</t>
  </si>
  <si>
    <t>Supermercado Kurihara</t>
  </si>
  <si>
    <t>10.070.973/0001-50</t>
  </si>
  <si>
    <t>(43) 2781-3471</t>
  </si>
  <si>
    <t>Rua do Trabalho, 47</t>
  </si>
  <si>
    <t>Ponta Grossa</t>
  </si>
  <si>
    <t>isabela.machado39@email.com</t>
  </si>
  <si>
    <t>CADASTRO DE FUNCIONÁRIOS ATIVOS</t>
  </si>
  <si>
    <t>SALÁRIO BRUTO</t>
  </si>
  <si>
    <t>DATA DE INICIO</t>
  </si>
  <si>
    <t>HORA EXTRA</t>
  </si>
  <si>
    <t>VALE REFEIÇÃO</t>
  </si>
  <si>
    <t>IRRF</t>
  </si>
  <si>
    <t>Joao</t>
  </si>
  <si>
    <t>brasileira</t>
  </si>
  <si>
    <t>solteiro</t>
  </si>
  <si>
    <t>vendedor</t>
  </si>
  <si>
    <t>333955598-28</t>
  </si>
  <si>
    <t>jaoa@email.com</t>
  </si>
  <si>
    <t>11 98585-5284</t>
  </si>
  <si>
    <t>vendas</t>
  </si>
  <si>
    <t xml:space="preserve">Ana  </t>
  </si>
  <si>
    <t>casada</t>
  </si>
  <si>
    <t>vendedora</t>
  </si>
  <si>
    <t>333955598-29</t>
  </si>
  <si>
    <t>ana@email.com</t>
  </si>
  <si>
    <t>11 95472-6872</t>
  </si>
  <si>
    <t xml:space="preserve">Carlos  </t>
  </si>
  <si>
    <t>333955598-30</t>
  </si>
  <si>
    <t>carlos@email.com</t>
  </si>
  <si>
    <t>12 95472-6873</t>
  </si>
  <si>
    <t xml:space="preserve">Beatriz  </t>
  </si>
  <si>
    <t>solteira</t>
  </si>
  <si>
    <t>333955598-31</t>
  </si>
  <si>
    <t>beatriz@email.com</t>
  </si>
  <si>
    <t>13 95472-6874</t>
  </si>
  <si>
    <t>RECEITA</t>
  </si>
  <si>
    <t>QUANTIDADE VENDIDA</t>
  </si>
  <si>
    <t>MES</t>
  </si>
  <si>
    <t>Outubro</t>
  </si>
  <si>
    <t>CALCULO DE FRETE</t>
  </si>
  <si>
    <t>DISTÂNCIA (km)</t>
  </si>
  <si>
    <t>GASOLINA</t>
  </si>
  <si>
    <t>PREÇO DA GASOLINA</t>
  </si>
  <si>
    <t>CONSUMO DO VEÍCULO</t>
  </si>
  <si>
    <t>PESO TOTAL (kg)</t>
  </si>
  <si>
    <t>CUSTO DO FRETE</t>
  </si>
  <si>
    <t>VALOR DO FRETE</t>
  </si>
  <si>
    <t>CADASTRAR FORNECEDOR</t>
  </si>
  <si>
    <t>CONTROLE MATÉRIA PRIMA</t>
  </si>
  <si>
    <t>CUSTO FIXO OU VARIAVEL</t>
  </si>
  <si>
    <t>CUSTO FIXO</t>
  </si>
  <si>
    <t>R$</t>
  </si>
  <si>
    <t>CONTA DE AGUA</t>
  </si>
  <si>
    <t>CONTA DE ENERGIA ELETRICA</t>
  </si>
  <si>
    <t>IPTU</t>
  </si>
  <si>
    <t>FOLHA DE PAGAMENTO</t>
  </si>
  <si>
    <t>PRO-LABORE</t>
  </si>
  <si>
    <t>INTERNET</t>
  </si>
  <si>
    <t>SEGURO DE PRÉDIO</t>
  </si>
  <si>
    <t>SEGURO DOS AUTOMÓVEIS</t>
  </si>
  <si>
    <t>MATERIAL DE LIMPEZA</t>
  </si>
  <si>
    <t>PARCELA DE EMPRESTIMO</t>
  </si>
  <si>
    <t>SERVIÇO DE VIGILÂNCIA E SEG.</t>
  </si>
  <si>
    <t>IPVA</t>
  </si>
  <si>
    <t>Produção</t>
  </si>
  <si>
    <t>Qntd.</t>
  </si>
  <si>
    <t>Salarios</t>
  </si>
  <si>
    <t>Gerente</t>
  </si>
  <si>
    <t>Operadores</t>
  </si>
  <si>
    <t>Auxiliares</t>
  </si>
  <si>
    <t>RH</t>
  </si>
  <si>
    <t>Analista</t>
  </si>
  <si>
    <t>Auxiliar</t>
  </si>
  <si>
    <t>Financeiro</t>
  </si>
  <si>
    <t>Vendas</t>
  </si>
  <si>
    <t>Compras</t>
  </si>
  <si>
    <t>Logistica</t>
  </si>
  <si>
    <t>Coordenador</t>
  </si>
  <si>
    <t>Estoque</t>
  </si>
  <si>
    <t>AVALIAÇÃO DE VENDAS E FUNCIONÁRIOS</t>
  </si>
  <si>
    <t>QUANTIDADE VENDIDA GERAL</t>
  </si>
  <si>
    <t>CUSTOS FUNCIONÁRIOS PRODUÇÃO</t>
  </si>
  <si>
    <t>CUSTOS FUNCIONÁRIOS ADMINISTRATIVOS</t>
  </si>
  <si>
    <t>CUSTO FIXO DE FUNCIONÁRIOS</t>
  </si>
  <si>
    <t>Receita Bruta</t>
    <phoneticPr fontId="0" type="noConversion"/>
  </si>
  <si>
    <t>Janeiro</t>
    <phoneticPr fontId="0" type="noConversion"/>
  </si>
  <si>
    <t>Fevereiro</t>
  </si>
  <si>
    <t>Venda dos Produtos</t>
  </si>
  <si>
    <t xml:space="preserve">Total de Receita </t>
  </si>
  <si>
    <t>Total de despesa</t>
    <phoneticPr fontId="0" type="noConversion"/>
  </si>
  <si>
    <t>Receita Liquida</t>
  </si>
  <si>
    <t>Despesas</t>
    <phoneticPr fontId="0" type="noConversion"/>
  </si>
  <si>
    <t>Conta de Água</t>
  </si>
  <si>
    <t>Conta de Energia Elétrica</t>
  </si>
  <si>
    <t>Folha de Pagamento</t>
    <phoneticPr fontId="0" type="noConversion"/>
  </si>
  <si>
    <t>Pró-Labore</t>
  </si>
  <si>
    <t>Celular</t>
    <phoneticPr fontId="0" type="noConversion"/>
  </si>
  <si>
    <t>Internet</t>
    <phoneticPr fontId="0" type="noConversion"/>
  </si>
  <si>
    <t>Seguro do Prédio</t>
  </si>
  <si>
    <t>Seguro dos automoveis</t>
    <phoneticPr fontId="0" type="noConversion"/>
  </si>
  <si>
    <t>Material de Limpeza</t>
  </si>
  <si>
    <t>Parcela de Empréstimo</t>
  </si>
  <si>
    <t>Servico de Vigilância e Seguranca</t>
  </si>
  <si>
    <t>Gasolina</t>
    <phoneticPr fontId="0" type="noConversion"/>
  </si>
  <si>
    <t>Ipva</t>
    <phoneticPr fontId="0" type="noConversion"/>
  </si>
  <si>
    <t>Imposto Tributário ICMS,CSLL,PIS,IPI,IRPJ,COFINS</t>
  </si>
  <si>
    <t>Papelaria</t>
    <phoneticPr fontId="0" type="noConversion"/>
  </si>
  <si>
    <t>Taxa administrativa de cartões de crédito e débito</t>
  </si>
  <si>
    <t>Embalagens</t>
    <phoneticPr fontId="0" type="noConversion"/>
  </si>
  <si>
    <t>Matéria Prima</t>
  </si>
  <si>
    <t>Frete</t>
    <phoneticPr fontId="0" type="noConversion"/>
  </si>
  <si>
    <t>Valor</t>
  </si>
  <si>
    <t>COALHO (L)</t>
  </si>
  <si>
    <t>SAL (Kg)</t>
  </si>
  <si>
    <t>FERMENTO (Kg)</t>
  </si>
  <si>
    <t>QUEIJO MEIA CURA</t>
  </si>
  <si>
    <t>ENTRADA</t>
  </si>
  <si>
    <t>SAÍDAS</t>
  </si>
  <si>
    <t>MATÉRIA PRIMA</t>
  </si>
  <si>
    <t>SOLICITAR DEMISSÃO</t>
  </si>
  <si>
    <t>CPF DO COLABORADOR A SER DEMITIDO</t>
  </si>
  <si>
    <t>CPF DO SOLICITANTE</t>
  </si>
  <si>
    <t>SOLICITAR CONTRATAÇÃO</t>
  </si>
  <si>
    <t xml:space="preserve"> </t>
  </si>
  <si>
    <t xml:space="preserve">NOME </t>
  </si>
  <si>
    <t>PAGAMENTO</t>
  </si>
  <si>
    <t xml:space="preserve">PREÇO </t>
  </si>
  <si>
    <t>F004</t>
  </si>
  <si>
    <t>Sal Mineral Importação</t>
  </si>
  <si>
    <t>45.678.901/0001-45</t>
  </si>
  <si>
    <t>vendas@salmineral.com</t>
  </si>
  <si>
    <t>(51) 4567-8901</t>
  </si>
  <si>
    <t>Av. do Comércio, 321, Porto Alegre</t>
  </si>
  <si>
    <t>A prazo</t>
  </si>
  <si>
    <t>Sal</t>
  </si>
  <si>
    <t>F008</t>
  </si>
  <si>
    <t>Sal e Cia</t>
  </si>
  <si>
    <t>90.123.456/0001-23</t>
  </si>
  <si>
    <t>vendas@salecia.com</t>
  </si>
  <si>
    <t>(51) 7890-1234</t>
  </si>
  <si>
    <t>Av. do Comércio, 987, Porto Alegre</t>
  </si>
  <si>
    <t>F011</t>
  </si>
  <si>
    <t>Vinagres do Brasil</t>
  </si>
  <si>
    <t>34.456.789/0001-56</t>
  </si>
  <si>
    <t>contato@vinagresdobrasil.com</t>
  </si>
  <si>
    <t>(21) 8765-6789</t>
  </si>
  <si>
    <t>Av. da Prata, 111, Niterói</t>
  </si>
  <si>
    <t>Vinagre</t>
  </si>
  <si>
    <t>F013</t>
  </si>
  <si>
    <t>Importadora de Sal Rosa</t>
  </si>
  <si>
    <t>56.678.901/0001-78</t>
  </si>
  <si>
    <t>vendas@salrosa.com</t>
  </si>
  <si>
    <t>(51) 7890-5678</t>
  </si>
  <si>
    <t>Av. da Exportação, 654, Canoas</t>
  </si>
  <si>
    <t>F002</t>
  </si>
  <si>
    <t>Vinagres Brasil Distribuidora</t>
  </si>
  <si>
    <t>23.456.789/0001-12</t>
  </si>
  <si>
    <t>contato@vinagresbrasil.com.br</t>
  </si>
  <si>
    <t>(21) 2345-6789</t>
  </si>
  <si>
    <t>Av. do Vinagre, 456, Rio de Janeiro</t>
  </si>
  <si>
    <t>F006</t>
  </si>
  <si>
    <t>Distribuidora Vinagre Silva</t>
  </si>
  <si>
    <t>78.901.234/0001-01</t>
  </si>
  <si>
    <t>vendas@vinagresilva.com.br</t>
  </si>
  <si>
    <t>(21) 6543-2100</t>
  </si>
  <si>
    <t>Av. dos Vinhos, 32, Rio de Janeiro</t>
  </si>
  <si>
    <t>F005</t>
  </si>
  <si>
    <t>Laticínios da Serra</t>
  </si>
  <si>
    <t>67.890.123/0001-90</t>
  </si>
  <si>
    <t>contato@laticiniosserra.com.br</t>
  </si>
  <si>
    <t>(11) 4321-8765</t>
  </si>
  <si>
    <t>Rua do Queijo, 100, Campinas</t>
  </si>
  <si>
    <t>F010</t>
  </si>
  <si>
    <t>Laticínios Mineiros</t>
  </si>
  <si>
    <t>23.345.678/0001-45</t>
  </si>
  <si>
    <t>vendas@mineiros.com</t>
  </si>
  <si>
    <t>(11) 5678-4321</t>
  </si>
  <si>
    <t>Rua do Queijo, 456, Belo Horizonte</t>
  </si>
  <si>
    <t>F007</t>
  </si>
  <si>
    <t>Coagulação BR Ltda.</t>
  </si>
  <si>
    <t>89.012.345/0001-12</t>
  </si>
  <si>
    <t>contato@coagulacao.com.br</t>
  </si>
  <si>
    <t>(41) 8765-4321</t>
  </si>
  <si>
    <t>Rua da Enzima, 55, Curitiba</t>
  </si>
  <si>
    <t>Coalho</t>
  </si>
  <si>
    <t>F012</t>
  </si>
  <si>
    <t>Coagulação Central Ltda.</t>
  </si>
  <si>
    <t>45.567.890/0001-67</t>
  </si>
  <si>
    <t>atendimento@coagulacaocentral.com</t>
  </si>
  <si>
    <t>(41) 6543-1234</t>
  </si>
  <si>
    <t>Rua da Cultura, 789, Londrina</t>
  </si>
  <si>
    <t>F003</t>
  </si>
  <si>
    <t>Coagulação Química Ltda.</t>
  </si>
  <si>
    <t>34.567.890/0001-34</t>
  </si>
  <si>
    <t>atendimento@coagulacaoltda.com</t>
  </si>
  <si>
    <t>(41) 3456-7890</t>
  </si>
  <si>
    <t>Rua dos Processos, 789, Curitiba</t>
  </si>
  <si>
    <t>F014</t>
  </si>
  <si>
    <t>Fermentos Genuínos</t>
  </si>
  <si>
    <t>67.789.012/0001-89</t>
  </si>
  <si>
    <t>pedidos@fermentosgenuinos.com</t>
  </si>
  <si>
    <t>(61) 8901-6789</t>
  </si>
  <si>
    <t>Av. das Tradições, 123, Goiânia</t>
  </si>
  <si>
    <t>Fermento</t>
  </si>
  <si>
    <t>F009</t>
  </si>
  <si>
    <t>Fermentos Santa Luzia</t>
  </si>
  <si>
    <t>12.234.567/0001-34</t>
  </si>
  <si>
    <t>contato@fermentossantaluzia.com</t>
  </si>
  <si>
    <t>(61) 8901-2345</t>
  </si>
  <si>
    <t>Av. das Culturas, 890, Brasília</t>
  </si>
  <si>
    <t>TESTE</t>
  </si>
  <si>
    <t>z</t>
  </si>
  <si>
    <t>Ana</t>
  </si>
  <si>
    <t>Queijos</t>
  </si>
  <si>
    <t>TOTAL DA VENDAS</t>
  </si>
  <si>
    <t>META</t>
  </si>
  <si>
    <t>META ATINGIDA</t>
  </si>
  <si>
    <t>TIPO DE QUEIJOS</t>
  </si>
  <si>
    <t xml:space="preserve">Queijo Meia Cura </t>
  </si>
  <si>
    <t>Carlos</t>
  </si>
  <si>
    <t>TOTAL DAS VENDAS</t>
  </si>
  <si>
    <t>META NÃO ATINGIDA</t>
  </si>
  <si>
    <t>CONTROLE DE PRODUÇÃO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</si>
</sst>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&quot;R$&quot;\ #,##0.00"/>
    <numFmt numFmtId="165" formatCode="_-[$R$-416]\ * #,##0.00_-;\-[$R$-416]\ * #,##0.00_-;_-[$R$-416]\ * &quot;-&quot;??_-;_-@_-"/>
  </numFmts>
  <fonts count="5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2"/>
      <color rgb="FF000000"/>
      <name val="Calibri"/>
      <family val="2"/>
    </font>
    <font>
      <sz val="16"/>
      <color rgb="FF000000"/>
      <name val="Calibri"/>
      <family val="2"/>
    </font>
    <font>
      <sz val="14"/>
      <color rgb="FF000000"/>
      <name val="Arial"/>
      <family val="2"/>
    </font>
    <font>
      <sz val="16"/>
      <color rgb="FF000000"/>
      <name val="Arial"/>
      <family val="2"/>
    </font>
    <font>
      <b/>
      <sz val="14"/>
      <color theme="0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12"/>
      <color rgb="FF000000"/>
      <name val="Arial"/>
      <family val="2"/>
    </font>
    <font>
      <b/>
      <sz val="22"/>
      <color theme="1"/>
      <name val="Arial"/>
      <family val="2"/>
    </font>
    <font>
      <sz val="11"/>
      <color rgb="FF000000"/>
      <name val="Calibri"/>
      <family val="2"/>
    </font>
    <font>
      <sz val="14"/>
      <color rgb="FF000000"/>
      <name val="Calibri"/>
      <family val="2"/>
    </font>
    <font>
      <sz val="11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72"/>
      <color theme="1"/>
      <name val="Arial"/>
      <family val="2"/>
    </font>
    <font>
      <b/>
      <sz val="14"/>
      <color theme="1"/>
      <name val="Arial"/>
      <family val="2"/>
    </font>
    <font>
      <sz val="22"/>
      <color theme="1"/>
      <name val="Calibri"/>
      <family val="2"/>
      <scheme val="minor"/>
    </font>
    <font>
      <b/>
      <sz val="72"/>
      <color theme="0"/>
      <name val="Arial"/>
      <family val="2"/>
    </font>
    <font>
      <b/>
      <sz val="20"/>
      <color theme="0"/>
      <name val="Arial"/>
      <family val="2"/>
    </font>
    <font>
      <b/>
      <sz val="12"/>
      <color theme="1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0"/>
      <name val="Arial"/>
      <family val="2"/>
    </font>
    <font>
      <b/>
      <sz val="11"/>
      <color theme="0"/>
      <name val="Arial"/>
      <family val="2"/>
    </font>
    <font>
      <b/>
      <sz val="16"/>
      <color rgb="FF000000"/>
      <name val="Arial"/>
      <family val="2"/>
    </font>
    <font>
      <b/>
      <sz val="14"/>
      <color rgb="FF000000"/>
      <name val="Arial"/>
      <family val="2"/>
    </font>
    <font>
      <sz val="12"/>
      <color rgb="FF000000"/>
      <name val="Arial"/>
      <family val="2"/>
    </font>
    <font>
      <b/>
      <sz val="16"/>
      <color theme="0"/>
      <name val="Arial"/>
      <family val="2"/>
    </font>
    <font>
      <sz val="14"/>
      <color theme="1"/>
      <name val="Arial"/>
      <family val="2"/>
    </font>
    <font>
      <sz val="12"/>
      <color theme="1"/>
      <name val="Calibri"/>
      <family val="2"/>
      <scheme val="minor"/>
    </font>
    <font>
      <u/>
      <sz val="12"/>
      <color theme="1"/>
      <name val="Arial"/>
      <family val="2"/>
    </font>
    <font>
      <sz val="16"/>
      <color theme="1"/>
      <name val="Arial"/>
      <family val="2"/>
    </font>
    <font>
      <sz val="18"/>
      <color theme="1"/>
      <name val="Arial"/>
      <family val="2"/>
    </font>
    <font>
      <sz val="18"/>
      <color rgb="FF000000"/>
      <name val="Arial"/>
      <family val="2"/>
    </font>
    <font>
      <b/>
      <sz val="18"/>
      <color theme="1"/>
      <name val="Arial"/>
      <family val="2"/>
    </font>
    <font>
      <b/>
      <sz val="16"/>
      <color theme="1"/>
      <name val="Arial"/>
      <family val="2"/>
    </font>
    <font>
      <b/>
      <sz val="18"/>
      <color theme="0"/>
      <name val="Arial"/>
      <family val="2"/>
    </font>
    <font>
      <b/>
      <sz val="20"/>
      <color theme="1"/>
      <name val="Arial"/>
      <family val="2"/>
    </font>
    <font>
      <sz val="22"/>
      <color theme="1"/>
      <name val="Arial"/>
      <family val="2"/>
    </font>
    <font>
      <sz val="8"/>
      <color theme="1"/>
      <name val="Arial"/>
      <family val="2"/>
    </font>
    <font>
      <sz val="18"/>
      <color theme="0"/>
      <name val="Arial"/>
      <family val="2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u/>
      <sz val="16"/>
      <color theme="10"/>
      <name val="Calibri"/>
      <family val="2"/>
      <scheme val="minor"/>
    </font>
    <font>
      <sz val="20"/>
      <color theme="0"/>
      <name val="Arial"/>
      <family val="2"/>
    </font>
    <font>
      <u/>
      <sz val="16"/>
      <color theme="1"/>
      <name val="Arial"/>
      <family val="2"/>
    </font>
    <font>
      <u/>
      <sz val="18"/>
      <color theme="1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8"/>
      <name val="Arial"/>
      <family val="2"/>
    </font>
    <font>
      <u/>
      <sz val="18"/>
      <color theme="1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gradientFill type="path" left="0.5" right="0.5" top="0.5" bottom="0.5">
        <stop position="0">
          <color theme="2" tint="-0.89803765984069339"/>
        </stop>
        <stop position="1">
          <color theme="2" tint="-0.74901577806939912"/>
        </stop>
      </gradientFill>
    </fill>
    <fill>
      <patternFill patternType="solid">
        <fgColor theme="2" tint="-0.749992370372631"/>
        <bgColor indexed="64"/>
      </patternFill>
    </fill>
    <fill>
      <patternFill patternType="solid">
        <fgColor theme="2" tint="-0.749992370372631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39997558519241921"/>
        <bgColor rgb="FF000000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79998168889431442"/>
        <bgColor rgb="FF000000"/>
      </patternFill>
    </fill>
    <fill>
      <patternFill patternType="solid">
        <fgColor rgb="FF3D5B7A"/>
        <bgColor rgb="FF000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3D597A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theme="4" tint="0.79998168889431442"/>
        <bgColor auto="1"/>
      </patternFill>
    </fill>
    <fill>
      <patternFill patternType="solid">
        <fgColor rgb="FF3D5B7A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rgb="FF000000"/>
      </patternFill>
    </fill>
  </fills>
  <borders count="7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4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44" fontId="14" fillId="0" borderId="0" applyFont="0" applyFill="0" applyBorder="0" applyAlignment="0" applyProtection="0"/>
  </cellStyleXfs>
  <cellXfs count="518">
    <xf numFmtId="0" fontId="0" fillId="0" borderId="0" xfId="0"/>
    <xf numFmtId="0" fontId="0" fillId="2" borderId="0" xfId="0" applyFill="1"/>
    <xf numFmtId="0" fontId="0" fillId="7" borderId="0" xfId="0" applyFill="1"/>
    <xf numFmtId="0" fontId="2" fillId="10" borderId="7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2" fillId="11" borderId="0" xfId="0" applyFont="1" applyFill="1" applyAlignment="1">
      <alignment horizontal="center" vertical="center"/>
    </xf>
    <xf numFmtId="0" fontId="2" fillId="11" borderId="8" xfId="0" applyFont="1" applyFill="1" applyBorder="1" applyAlignment="1">
      <alignment horizontal="center" vertical="center"/>
    </xf>
    <xf numFmtId="0" fontId="0" fillId="10" borderId="8" xfId="0" applyFill="1" applyBorder="1"/>
    <xf numFmtId="0" fontId="8" fillId="10" borderId="7" xfId="0" applyFont="1" applyFill="1" applyBorder="1"/>
    <xf numFmtId="0" fontId="4" fillId="11" borderId="0" xfId="0" applyFont="1" applyFill="1" applyAlignment="1">
      <alignment horizontal="left" vertical="center"/>
    </xf>
    <xf numFmtId="0" fontId="3" fillId="11" borderId="0" xfId="0" applyFont="1" applyFill="1" applyAlignment="1">
      <alignment horizontal="center" vertical="center"/>
    </xf>
    <xf numFmtId="0" fontId="2" fillId="11" borderId="8" xfId="0" applyFont="1" applyFill="1" applyBorder="1" applyAlignment="1">
      <alignment horizontal="left" vertical="center"/>
    </xf>
    <xf numFmtId="0" fontId="2" fillId="11" borderId="0" xfId="0" applyFont="1" applyFill="1"/>
    <xf numFmtId="0" fontId="2" fillId="11" borderId="8" xfId="0" applyFont="1" applyFill="1" applyBorder="1"/>
    <xf numFmtId="0" fontId="2" fillId="10" borderId="9" xfId="0" applyFont="1" applyFill="1" applyBorder="1" applyAlignment="1">
      <alignment vertical="center"/>
    </xf>
    <xf numFmtId="0" fontId="2" fillId="11" borderId="10" xfId="0" applyFont="1" applyFill="1" applyBorder="1"/>
    <xf numFmtId="0" fontId="2" fillId="11" borderId="11" xfId="0" applyFont="1" applyFill="1" applyBorder="1"/>
    <xf numFmtId="0" fontId="2" fillId="11" borderId="7" xfId="0" applyFont="1" applyFill="1" applyBorder="1" applyAlignment="1">
      <alignment horizontal="left" vertical="center"/>
    </xf>
    <xf numFmtId="0" fontId="3" fillId="11" borderId="0" xfId="0" applyFont="1" applyFill="1" applyAlignment="1">
      <alignment horizontal="left" vertical="center"/>
    </xf>
    <xf numFmtId="0" fontId="2" fillId="11" borderId="0" xfId="0" applyFont="1" applyFill="1" applyAlignment="1">
      <alignment horizontal="left" vertical="center"/>
    </xf>
    <xf numFmtId="0" fontId="2" fillId="11" borderId="9" xfId="0" applyFont="1" applyFill="1" applyBorder="1" applyAlignment="1">
      <alignment horizontal="left" vertical="center"/>
    </xf>
    <xf numFmtId="0" fontId="2" fillId="11" borderId="10" xfId="0" applyFont="1" applyFill="1" applyBorder="1" applyAlignment="1">
      <alignment horizontal="left" vertical="center"/>
    </xf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7" borderId="0" xfId="0" applyFill="1"/>
    <xf numFmtId="0" fontId="12" fillId="13" borderId="0" xfId="0" applyFont="1" applyFill="1" applyBorder="1" applyAlignment="1"/>
    <xf numFmtId="0" fontId="2" fillId="13" borderId="0" xfId="0" applyFont="1" applyFill="1" applyBorder="1" applyAlignment="1"/>
    <xf numFmtId="0" fontId="4" fillId="13" borderId="0" xfId="0" applyFont="1" applyFill="1" applyBorder="1" applyAlignment="1"/>
    <xf numFmtId="0" fontId="11" fillId="13" borderId="44" xfId="0" applyFont="1" applyFill="1" applyBorder="1" applyAlignment="1"/>
    <xf numFmtId="0" fontId="2" fillId="13" borderId="45" xfId="0" applyFont="1" applyFill="1" applyBorder="1" applyAlignment="1"/>
    <xf numFmtId="0" fontId="4" fillId="13" borderId="45" xfId="0" applyFont="1" applyFill="1" applyBorder="1" applyAlignment="1"/>
    <xf numFmtId="0" fontId="11" fillId="13" borderId="46" xfId="0" applyFont="1" applyFill="1" applyBorder="1" applyAlignment="1"/>
    <xf numFmtId="0" fontId="2" fillId="13" borderId="47" xfId="0" applyFont="1" applyFill="1" applyBorder="1" applyAlignment="1"/>
    <xf numFmtId="0" fontId="12" fillId="13" borderId="47" xfId="0" applyFont="1" applyFill="1" applyBorder="1" applyAlignment="1"/>
    <xf numFmtId="0" fontId="4" fillId="13" borderId="47" xfId="0" applyFont="1" applyFill="1" applyBorder="1" applyAlignment="1"/>
    <xf numFmtId="0" fontId="2" fillId="13" borderId="48" xfId="0" applyFont="1" applyFill="1" applyBorder="1" applyAlignment="1"/>
    <xf numFmtId="0" fontId="0" fillId="2" borderId="52" xfId="0" applyFill="1" applyBorder="1"/>
    <xf numFmtId="0" fontId="0" fillId="2" borderId="52" xfId="0" applyFill="1" applyBorder="1" applyAlignment="1">
      <alignment horizontal="center"/>
    </xf>
    <xf numFmtId="0" fontId="2" fillId="11" borderId="0" xfId="0" applyFont="1" applyFill="1" applyBorder="1" applyAlignment="1">
      <alignment vertical="center"/>
    </xf>
    <xf numFmtId="0" fontId="2" fillId="11" borderId="7" xfId="0" applyFont="1" applyFill="1" applyBorder="1" applyAlignment="1">
      <alignment vertical="center"/>
    </xf>
    <xf numFmtId="0" fontId="6" fillId="3" borderId="0" xfId="0" applyFont="1" applyFill="1" applyBorder="1" applyAlignment="1">
      <alignment vertical="center"/>
    </xf>
    <xf numFmtId="0" fontId="2" fillId="3" borderId="0" xfId="0" applyFont="1" applyFill="1" applyBorder="1"/>
    <xf numFmtId="0" fontId="2" fillId="11" borderId="0" xfId="0" applyFont="1" applyFill="1" applyBorder="1" applyAlignment="1">
      <alignment horizontal="left" vertical="center"/>
    </xf>
    <xf numFmtId="0" fontId="3" fillId="11" borderId="0" xfId="0" applyFont="1" applyFill="1" applyBorder="1" applyAlignment="1">
      <alignment horizontal="left" vertical="center"/>
    </xf>
    <xf numFmtId="0" fontId="2" fillId="11" borderId="0" xfId="0" applyFont="1" applyFill="1" applyBorder="1"/>
    <xf numFmtId="0" fontId="9" fillId="3" borderId="0" xfId="0" applyFont="1" applyFill="1" applyBorder="1" applyAlignment="1">
      <alignment horizontal="center" vertical="center"/>
    </xf>
    <xf numFmtId="0" fontId="8" fillId="2" borderId="52" xfId="0" applyFont="1" applyFill="1" applyBorder="1"/>
    <xf numFmtId="0" fontId="8" fillId="2" borderId="52" xfId="0" applyFont="1" applyFill="1" applyBorder="1" applyAlignment="1">
      <alignment horizontal="center"/>
    </xf>
    <xf numFmtId="0" fontId="8" fillId="10" borderId="0" xfId="0" applyFont="1" applyFill="1" applyBorder="1"/>
    <xf numFmtId="0" fontId="8" fillId="10" borderId="8" xfId="0" applyFont="1" applyFill="1" applyBorder="1"/>
    <xf numFmtId="0" fontId="8" fillId="10" borderId="9" xfId="0" applyFont="1" applyFill="1" applyBorder="1"/>
    <xf numFmtId="0" fontId="8" fillId="10" borderId="10" xfId="0" applyFont="1" applyFill="1" applyBorder="1"/>
    <xf numFmtId="0" fontId="8" fillId="10" borderId="11" xfId="0" applyFont="1" applyFill="1" applyBorder="1"/>
    <xf numFmtId="0" fontId="17" fillId="2" borderId="52" xfId="0" applyFont="1" applyFill="1" applyBorder="1" applyAlignment="1">
      <alignment horizontal="center" vertical="center"/>
    </xf>
    <xf numFmtId="0" fontId="17" fillId="10" borderId="7" xfId="0" applyFont="1" applyFill="1" applyBorder="1" applyAlignment="1">
      <alignment horizontal="left" vertical="center"/>
    </xf>
    <xf numFmtId="0" fontId="17" fillId="10" borderId="0" xfId="0" applyFont="1" applyFill="1" applyBorder="1" applyAlignment="1">
      <alignment vertical="center"/>
    </xf>
    <xf numFmtId="0" fontId="17" fillId="10" borderId="8" xfId="0" applyFont="1" applyFill="1" applyBorder="1" applyAlignment="1">
      <alignment vertical="center"/>
    </xf>
    <xf numFmtId="0" fontId="17" fillId="10" borderId="9" xfId="0" applyFont="1" applyFill="1" applyBorder="1" applyAlignment="1">
      <alignment horizontal="left" vertical="center"/>
    </xf>
    <xf numFmtId="0" fontId="17" fillId="10" borderId="10" xfId="0" applyFont="1" applyFill="1" applyBorder="1" applyAlignment="1">
      <alignment vertical="center"/>
    </xf>
    <xf numFmtId="0" fontId="17" fillId="10" borderId="11" xfId="0" applyFont="1" applyFill="1" applyBorder="1" applyAlignment="1">
      <alignment vertical="center"/>
    </xf>
    <xf numFmtId="0" fontId="0" fillId="10" borderId="7" xfId="0" applyFill="1" applyBorder="1"/>
    <xf numFmtId="0" fontId="17" fillId="10" borderId="0" xfId="0" applyFont="1" applyFill="1" applyBorder="1" applyAlignment="1">
      <alignment horizontal="center" vertical="center"/>
    </xf>
    <xf numFmtId="0" fontId="0" fillId="10" borderId="0" xfId="0" applyFill="1" applyBorder="1" applyAlignment="1">
      <alignment horizontal="center"/>
    </xf>
    <xf numFmtId="0" fontId="0" fillId="10" borderId="7" xfId="0" applyFill="1" applyBorder="1" applyAlignment="1">
      <alignment horizontal="center"/>
    </xf>
    <xf numFmtId="0" fontId="18" fillId="10" borderId="7" xfId="0" applyFont="1" applyFill="1" applyBorder="1" applyAlignment="1">
      <alignment horizontal="center" vertical="center"/>
    </xf>
    <xf numFmtId="0" fontId="18" fillId="10" borderId="0" xfId="0" applyFont="1" applyFill="1" applyBorder="1" applyAlignment="1">
      <alignment vertical="center"/>
    </xf>
    <xf numFmtId="0" fontId="18" fillId="10" borderId="8" xfId="0" applyFont="1" applyFill="1" applyBorder="1" applyAlignment="1">
      <alignment vertical="center"/>
    </xf>
    <xf numFmtId="0" fontId="15" fillId="10" borderId="7" xfId="0" applyFont="1" applyFill="1" applyBorder="1" applyAlignment="1">
      <alignment vertical="center"/>
    </xf>
    <xf numFmtId="0" fontId="15" fillId="10" borderId="8" xfId="0" applyFont="1" applyFill="1" applyBorder="1" applyAlignment="1">
      <alignment vertical="center"/>
    </xf>
    <xf numFmtId="0" fontId="15" fillId="10" borderId="7" xfId="0" applyFont="1" applyFill="1" applyBorder="1" applyAlignment="1">
      <alignment horizontal="center" vertical="center"/>
    </xf>
    <xf numFmtId="0" fontId="15" fillId="10" borderId="0" xfId="0" applyFont="1" applyFill="1" applyBorder="1" applyAlignment="1">
      <alignment vertical="center"/>
    </xf>
    <xf numFmtId="0" fontId="0" fillId="10" borderId="0" xfId="0" applyFill="1" applyBorder="1"/>
    <xf numFmtId="0" fontId="0" fillId="10" borderId="9" xfId="0" applyFill="1" applyBorder="1"/>
    <xf numFmtId="0" fontId="0" fillId="10" borderId="10" xfId="0" applyFill="1" applyBorder="1"/>
    <xf numFmtId="0" fontId="0" fillId="10" borderId="11" xfId="0" applyFill="1" applyBorder="1"/>
    <xf numFmtId="0" fontId="0" fillId="2" borderId="0" xfId="0" applyFill="1" applyBorder="1"/>
    <xf numFmtId="0" fontId="26" fillId="3" borderId="0" xfId="0" applyFont="1" applyFill="1" applyBorder="1" applyAlignment="1">
      <alignment horizontal="center" vertical="center"/>
    </xf>
    <xf numFmtId="0" fontId="3" fillId="11" borderId="0" xfId="0" applyFont="1" applyFill="1" applyBorder="1" applyAlignment="1">
      <alignment vertical="center"/>
    </xf>
    <xf numFmtId="0" fontId="2" fillId="3" borderId="0" xfId="0" applyFont="1" applyFill="1" applyBorder="1" applyAlignment="1">
      <alignment vertical="center"/>
    </xf>
    <xf numFmtId="0" fontId="3" fillId="3" borderId="0" xfId="0" applyFont="1" applyFill="1" applyBorder="1" applyAlignment="1">
      <alignment vertical="center"/>
    </xf>
    <xf numFmtId="0" fontId="13" fillId="3" borderId="0" xfId="0" applyFont="1" applyFill="1"/>
    <xf numFmtId="0" fontId="0" fillId="0" borderId="0" xfId="0"/>
    <xf numFmtId="0" fontId="27" fillId="13" borderId="0" xfId="0" applyFont="1" applyFill="1" applyBorder="1" applyAlignment="1"/>
    <xf numFmtId="0" fontId="22" fillId="2" borderId="1" xfId="0" applyFont="1" applyFill="1" applyBorder="1"/>
    <xf numFmtId="0" fontId="22" fillId="2" borderId="1" xfId="0" applyFont="1" applyFill="1" applyBorder="1" applyAlignment="1">
      <alignment horizontal="left"/>
    </xf>
    <xf numFmtId="0" fontId="31" fillId="2" borderId="1" xfId="2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23" fillId="10" borderId="7" xfId="0" applyFont="1" applyFill="1" applyBorder="1" applyAlignment="1">
      <alignment vertical="center"/>
    </xf>
    <xf numFmtId="0" fontId="23" fillId="10" borderId="8" xfId="0" applyFont="1" applyFill="1" applyBorder="1" applyAlignment="1">
      <alignment vertical="center"/>
    </xf>
    <xf numFmtId="0" fontId="30" fillId="10" borderId="7" xfId="0" applyFont="1" applyFill="1" applyBorder="1"/>
    <xf numFmtId="0" fontId="30" fillId="10" borderId="8" xfId="0" applyFont="1" applyFill="1" applyBorder="1"/>
    <xf numFmtId="0" fontId="22" fillId="10" borderId="7" xfId="0" applyFont="1" applyFill="1" applyBorder="1" applyAlignment="1">
      <alignment horizontal="left"/>
    </xf>
    <xf numFmtId="0" fontId="22" fillId="10" borderId="8" xfId="0" applyFont="1" applyFill="1" applyBorder="1" applyAlignment="1">
      <alignment horizontal="left"/>
    </xf>
    <xf numFmtId="0" fontId="22" fillId="11" borderId="8" xfId="0" applyFont="1" applyFill="1" applyBorder="1" applyAlignment="1">
      <alignment horizontal="left"/>
    </xf>
    <xf numFmtId="0" fontId="22" fillId="10" borderId="9" xfId="0" applyFont="1" applyFill="1" applyBorder="1" applyAlignment="1">
      <alignment horizontal="left"/>
    </xf>
    <xf numFmtId="0" fontId="22" fillId="10" borderId="10" xfId="0" applyFont="1" applyFill="1" applyBorder="1" applyAlignment="1">
      <alignment horizontal="left"/>
    </xf>
    <xf numFmtId="0" fontId="22" fillId="11" borderId="10" xfId="0" applyFont="1" applyFill="1" applyBorder="1" applyAlignment="1">
      <alignment horizontal="left"/>
    </xf>
    <xf numFmtId="0" fontId="22" fillId="11" borderId="11" xfId="0" applyFont="1" applyFill="1" applyBorder="1" applyAlignment="1">
      <alignment horizontal="left"/>
    </xf>
    <xf numFmtId="0" fontId="16" fillId="2" borderId="0" xfId="0" applyFont="1" applyFill="1" applyBorder="1" applyAlignment="1">
      <alignment vertical="center"/>
    </xf>
    <xf numFmtId="0" fontId="0" fillId="0" borderId="0" xfId="0"/>
    <xf numFmtId="0" fontId="0" fillId="7" borderId="0" xfId="0" applyFill="1"/>
    <xf numFmtId="0" fontId="27" fillId="2" borderId="12" xfId="0" applyFont="1" applyFill="1" applyBorder="1" applyAlignment="1"/>
    <xf numFmtId="0" fontId="16" fillId="8" borderId="23" xfId="0" applyFont="1" applyFill="1" applyBorder="1" applyAlignment="1">
      <alignment horizontal="center" vertical="center"/>
    </xf>
    <xf numFmtId="0" fontId="16" fillId="8" borderId="19" xfId="0" applyFont="1" applyFill="1" applyBorder="1" applyAlignment="1">
      <alignment horizontal="center" vertical="center"/>
    </xf>
    <xf numFmtId="0" fontId="16" fillId="8" borderId="16" xfId="0" applyFont="1" applyFill="1" applyBorder="1" applyAlignment="1">
      <alignment horizontal="center" vertical="center"/>
    </xf>
    <xf numFmtId="0" fontId="16" fillId="8" borderId="24" xfId="0" applyFont="1" applyFill="1" applyBorder="1" applyAlignment="1">
      <alignment horizontal="center" vertical="center"/>
    </xf>
    <xf numFmtId="0" fontId="32" fillId="2" borderId="17" xfId="0" applyFont="1" applyFill="1" applyBorder="1" applyAlignment="1">
      <alignment horizontal="center" vertical="center"/>
    </xf>
    <xf numFmtId="0" fontId="32" fillId="2" borderId="19" xfId="0" applyFont="1" applyFill="1" applyBorder="1" applyAlignment="1">
      <alignment horizontal="center" vertical="center"/>
    </xf>
    <xf numFmtId="0" fontId="32" fillId="2" borderId="24" xfId="0" applyFont="1" applyFill="1" applyBorder="1" applyAlignment="1">
      <alignment horizontal="center" vertical="center"/>
    </xf>
    <xf numFmtId="0" fontId="32" fillId="2" borderId="18" xfId="0" applyFont="1" applyFill="1" applyBorder="1" applyAlignment="1">
      <alignment horizontal="center" vertical="center"/>
    </xf>
    <xf numFmtId="0" fontId="32" fillId="2" borderId="12" xfId="0" applyFont="1" applyFill="1" applyBorder="1" applyAlignment="1">
      <alignment horizontal="center" vertical="center"/>
    </xf>
    <xf numFmtId="0" fontId="32" fillId="2" borderId="26" xfId="0" applyFont="1" applyFill="1" applyBorder="1" applyAlignment="1">
      <alignment horizontal="center" vertical="center"/>
    </xf>
    <xf numFmtId="0" fontId="32" fillId="2" borderId="28" xfId="0" applyFont="1" applyFill="1" applyBorder="1" applyAlignment="1">
      <alignment horizontal="center" vertical="center"/>
    </xf>
    <xf numFmtId="0" fontId="32" fillId="2" borderId="29" xfId="0" applyFont="1" applyFill="1" applyBorder="1" applyAlignment="1">
      <alignment horizontal="center" vertical="center"/>
    </xf>
    <xf numFmtId="0" fontId="32" fillId="2" borderId="30" xfId="0" applyFont="1" applyFill="1" applyBorder="1" applyAlignment="1">
      <alignment horizontal="center" vertical="center"/>
    </xf>
    <xf numFmtId="0" fontId="16" fillId="8" borderId="25" xfId="0" applyFont="1" applyFill="1" applyBorder="1" applyAlignment="1">
      <alignment horizontal="center" vertical="center"/>
    </xf>
    <xf numFmtId="0" fontId="16" fillId="8" borderId="27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33" fillId="10" borderId="7" xfId="0" applyFont="1" applyFill="1" applyBorder="1"/>
    <xf numFmtId="0" fontId="34" fillId="10" borderId="0" xfId="0" applyFont="1" applyFill="1" applyAlignment="1">
      <alignment horizontal="center" vertical="center"/>
    </xf>
    <xf numFmtId="0" fontId="34" fillId="10" borderId="7" xfId="0" applyFont="1" applyFill="1" applyBorder="1" applyAlignment="1">
      <alignment vertical="center"/>
    </xf>
    <xf numFmtId="0" fontId="5" fillId="11" borderId="0" xfId="0" applyFont="1" applyFill="1" applyAlignment="1">
      <alignment horizontal="left" vertical="center"/>
    </xf>
    <xf numFmtId="0" fontId="26" fillId="9" borderId="1" xfId="0" applyFont="1" applyFill="1" applyBorder="1" applyAlignment="1">
      <alignment horizontal="center" vertical="center"/>
    </xf>
    <xf numFmtId="0" fontId="0" fillId="0" borderId="0" xfId="0" applyAlignment="1"/>
    <xf numFmtId="0" fontId="0" fillId="2" borderId="0" xfId="0" applyFill="1" applyAlignment="1"/>
    <xf numFmtId="0" fontId="25" fillId="11" borderId="0" xfId="0" applyFont="1" applyFill="1" applyAlignment="1">
      <alignment horizontal="left" vertical="center"/>
    </xf>
    <xf numFmtId="0" fontId="2" fillId="11" borderId="0" xfId="0" applyFont="1" applyFill="1" applyAlignment="1">
      <alignment vertical="center"/>
    </xf>
    <xf numFmtId="0" fontId="2" fillId="11" borderId="8" xfId="0" applyFont="1" applyFill="1" applyBorder="1" applyAlignment="1"/>
    <xf numFmtId="0" fontId="25" fillId="11" borderId="0" xfId="0" applyFont="1" applyFill="1" applyAlignment="1">
      <alignment vertical="center"/>
    </xf>
    <xf numFmtId="0" fontId="3" fillId="11" borderId="0" xfId="0" applyFont="1" applyFill="1" applyAlignment="1">
      <alignment vertical="center"/>
    </xf>
    <xf numFmtId="0" fontId="2" fillId="11" borderId="0" xfId="0" applyFont="1" applyFill="1" applyAlignment="1"/>
    <xf numFmtId="0" fontId="2" fillId="11" borderId="10" xfId="0" applyFont="1" applyFill="1" applyBorder="1" applyAlignment="1"/>
    <xf numFmtId="0" fontId="2" fillId="11" borderId="11" xfId="0" applyFont="1" applyFill="1" applyBorder="1" applyAlignment="1"/>
    <xf numFmtId="0" fontId="2" fillId="11" borderId="9" xfId="0" applyFont="1" applyFill="1" applyBorder="1" applyAlignment="1">
      <alignment vertical="center"/>
    </xf>
    <xf numFmtId="0" fontId="2" fillId="11" borderId="10" xfId="0" applyFont="1" applyFill="1" applyBorder="1" applyAlignment="1">
      <alignment vertical="center"/>
    </xf>
    <xf numFmtId="0" fontId="0" fillId="2" borderId="0" xfId="0" applyFill="1" applyBorder="1" applyAlignment="1"/>
    <xf numFmtId="0" fontId="2" fillId="11" borderId="0" xfId="0" applyFont="1" applyFill="1" applyBorder="1" applyAlignment="1"/>
    <xf numFmtId="0" fontId="25" fillId="11" borderId="0" xfId="0" applyFont="1" applyFill="1" applyBorder="1" applyAlignment="1">
      <alignment horizontal="left" vertical="center"/>
    </xf>
    <xf numFmtId="0" fontId="25" fillId="11" borderId="0" xfId="0" applyFont="1" applyFill="1" applyBorder="1" applyAlignment="1">
      <alignment vertical="center"/>
    </xf>
    <xf numFmtId="0" fontId="28" fillId="3" borderId="0" xfId="0" applyFont="1" applyFill="1" applyBorder="1" applyAlignment="1">
      <alignment vertical="center"/>
    </xf>
    <xf numFmtId="0" fontId="19" fillId="3" borderId="0" xfId="0" applyFont="1" applyFill="1" applyBorder="1" applyAlignment="1">
      <alignment vertical="center"/>
    </xf>
    <xf numFmtId="0" fontId="2" fillId="3" borderId="0" xfId="0" applyFont="1" applyFill="1" applyBorder="1" applyAlignment="1">
      <alignment horizontal="left" vertical="center"/>
    </xf>
    <xf numFmtId="0" fontId="2" fillId="3" borderId="0" xfId="0" applyFont="1" applyFill="1" applyBorder="1" applyAlignment="1"/>
    <xf numFmtId="0" fontId="25" fillId="3" borderId="0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25" fillId="3" borderId="0" xfId="0" applyFont="1" applyFill="1" applyBorder="1" applyAlignment="1">
      <alignment vertical="center"/>
    </xf>
    <xf numFmtId="0" fontId="26" fillId="3" borderId="0" xfId="0" applyFont="1" applyFill="1" applyBorder="1" applyAlignment="1">
      <alignment vertical="center"/>
    </xf>
    <xf numFmtId="0" fontId="4" fillId="3" borderId="0" xfId="0" applyFont="1" applyFill="1" applyBorder="1" applyAlignment="1">
      <alignment horizontal="left" vertical="center"/>
    </xf>
    <xf numFmtId="0" fontId="36" fillId="11" borderId="0" xfId="0" applyFont="1" applyFill="1" applyBorder="1" applyAlignment="1">
      <alignment horizontal="left" vertical="center"/>
    </xf>
    <xf numFmtId="0" fontId="0" fillId="16" borderId="0" xfId="0" applyFill="1" applyAlignment="1"/>
    <xf numFmtId="0" fontId="37" fillId="17" borderId="1" xfId="0" applyFont="1" applyFill="1" applyBorder="1" applyAlignment="1">
      <alignment horizontal="center" vertical="center"/>
    </xf>
    <xf numFmtId="0" fontId="32" fillId="13" borderId="1" xfId="0" applyFont="1" applyFill="1" applyBorder="1" applyAlignment="1">
      <alignment horizontal="left" vertical="center" wrapText="1"/>
    </xf>
    <xf numFmtId="3" fontId="32" fillId="13" borderId="1" xfId="0" applyNumberFormat="1" applyFont="1" applyFill="1" applyBorder="1" applyAlignment="1">
      <alignment horizontal="left" vertical="center" wrapText="1"/>
    </xf>
    <xf numFmtId="0" fontId="37" fillId="17" borderId="1" xfId="0" applyFont="1" applyFill="1" applyBorder="1" applyAlignment="1">
      <alignment horizontal="left" vertical="center"/>
    </xf>
    <xf numFmtId="0" fontId="37" fillId="17" borderId="1" xfId="0" applyFont="1" applyFill="1" applyBorder="1" applyAlignment="1">
      <alignment horizontal="right" vertical="center"/>
    </xf>
    <xf numFmtId="14" fontId="32" fillId="13" borderId="1" xfId="0" applyNumberFormat="1" applyFont="1" applyFill="1" applyBorder="1" applyAlignment="1">
      <alignment horizontal="left" vertical="center" wrapText="1"/>
    </xf>
    <xf numFmtId="20" fontId="32" fillId="13" borderId="1" xfId="0" applyNumberFormat="1" applyFont="1" applyFill="1" applyBorder="1" applyAlignment="1">
      <alignment horizontal="left" vertical="center" wrapText="1"/>
    </xf>
    <xf numFmtId="2" fontId="32" fillId="13" borderId="1" xfId="0" applyNumberFormat="1" applyFont="1" applyFill="1" applyBorder="1" applyAlignment="1">
      <alignment horizontal="left" vertical="center" wrapText="1"/>
    </xf>
    <xf numFmtId="8" fontId="32" fillId="13" borderId="1" xfId="0" applyNumberFormat="1" applyFont="1" applyFill="1" applyBorder="1" applyAlignment="1">
      <alignment horizontal="left" vertical="center" wrapText="1"/>
    </xf>
    <xf numFmtId="0" fontId="25" fillId="10" borderId="0" xfId="0" applyFont="1" applyFill="1" applyBorder="1" applyAlignment="1">
      <alignment vertical="center"/>
    </xf>
    <xf numFmtId="0" fontId="21" fillId="10" borderId="0" xfId="0" applyFont="1" applyFill="1" applyBorder="1"/>
    <xf numFmtId="0" fontId="2" fillId="9" borderId="1" xfId="0" applyFont="1" applyFill="1" applyBorder="1" applyAlignment="1"/>
    <xf numFmtId="0" fontId="0" fillId="8" borderId="1" xfId="0" applyFill="1" applyBorder="1"/>
    <xf numFmtId="0" fontId="25" fillId="13" borderId="0" xfId="0" applyFont="1" applyFill="1" applyBorder="1" applyAlignment="1"/>
    <xf numFmtId="0" fontId="26" fillId="3" borderId="1" xfId="0" applyFont="1" applyFill="1" applyBorder="1" applyAlignment="1">
      <alignment horizontal="center" vertical="center"/>
    </xf>
    <xf numFmtId="0" fontId="36" fillId="10" borderId="0" xfId="0" applyFont="1" applyFill="1" applyBorder="1" applyAlignment="1">
      <alignment horizontal="left" vertical="center"/>
    </xf>
    <xf numFmtId="0" fontId="32" fillId="10" borderId="0" xfId="0" applyFont="1" applyFill="1" applyBorder="1" applyAlignment="1">
      <alignment horizontal="left" vertical="center"/>
    </xf>
    <xf numFmtId="0" fontId="36" fillId="18" borderId="52" xfId="0" applyFont="1" applyFill="1" applyBorder="1" applyAlignment="1">
      <alignment horizontal="center"/>
    </xf>
    <xf numFmtId="0" fontId="36" fillId="10" borderId="0" xfId="0" applyFont="1" applyFill="1" applyBorder="1" applyAlignment="1">
      <alignment horizontal="center" vertical="center"/>
    </xf>
    <xf numFmtId="0" fontId="39" fillId="19" borderId="0" xfId="0" applyFont="1" applyFill="1" applyAlignment="1">
      <alignment vertical="center"/>
    </xf>
    <xf numFmtId="0" fontId="7" fillId="20" borderId="0" xfId="0" applyFont="1" applyFill="1"/>
    <xf numFmtId="0" fontId="10" fillId="19" borderId="0" xfId="0" applyFont="1" applyFill="1"/>
    <xf numFmtId="0" fontId="8" fillId="19" borderId="49" xfId="0" applyFont="1" applyFill="1" applyBorder="1"/>
    <xf numFmtId="0" fontId="8" fillId="19" borderId="50" xfId="0" applyFont="1" applyFill="1" applyBorder="1"/>
    <xf numFmtId="0" fontId="8" fillId="19" borderId="15" xfId="0" applyFont="1" applyFill="1" applyBorder="1"/>
    <xf numFmtId="0" fontId="8" fillId="19" borderId="51" xfId="0" applyFont="1" applyFill="1" applyBorder="1"/>
    <xf numFmtId="0" fontId="8" fillId="19" borderId="0" xfId="0" applyFont="1" applyFill="1"/>
    <xf numFmtId="0" fontId="10" fillId="19" borderId="0" xfId="0" applyFont="1" applyFill="1" applyAlignment="1">
      <alignment horizontal="left" vertical="center"/>
    </xf>
    <xf numFmtId="0" fontId="8" fillId="19" borderId="20" xfId="0" applyFont="1" applyFill="1" applyBorder="1"/>
    <xf numFmtId="0" fontId="32" fillId="19" borderId="0" xfId="0" applyFont="1" applyFill="1"/>
    <xf numFmtId="0" fontId="40" fillId="2" borderId="1" xfId="0" applyFont="1" applyFill="1" applyBorder="1"/>
    <xf numFmtId="0" fontId="8" fillId="19" borderId="53" xfId="0" applyFont="1" applyFill="1" applyBorder="1"/>
    <xf numFmtId="0" fontId="8" fillId="19" borderId="14" xfId="0" applyFont="1" applyFill="1" applyBorder="1"/>
    <xf numFmtId="0" fontId="8" fillId="19" borderId="3" xfId="0" applyFont="1" applyFill="1" applyBorder="1"/>
    <xf numFmtId="0" fontId="8" fillId="20" borderId="49" xfId="0" applyFont="1" applyFill="1" applyBorder="1"/>
    <xf numFmtId="0" fontId="8" fillId="20" borderId="50" xfId="0" applyFont="1" applyFill="1" applyBorder="1"/>
    <xf numFmtId="0" fontId="8" fillId="20" borderId="15" xfId="0" applyFont="1" applyFill="1" applyBorder="1"/>
    <xf numFmtId="0" fontId="8" fillId="20" borderId="51" xfId="0" applyFont="1" applyFill="1" applyBorder="1"/>
    <xf numFmtId="0" fontId="8" fillId="20" borderId="0" xfId="0" applyFont="1" applyFill="1"/>
    <xf numFmtId="0" fontId="8" fillId="20" borderId="20" xfId="0" applyFont="1" applyFill="1" applyBorder="1"/>
    <xf numFmtId="0" fontId="8" fillId="2" borderId="1" xfId="0" applyFont="1" applyFill="1" applyBorder="1"/>
    <xf numFmtId="0" fontId="8" fillId="20" borderId="14" xfId="0" applyFont="1" applyFill="1" applyBorder="1"/>
    <xf numFmtId="0" fontId="8" fillId="20" borderId="3" xfId="0" applyFont="1" applyFill="1" applyBorder="1"/>
    <xf numFmtId="0" fontId="8" fillId="21" borderId="13" xfId="0" applyFont="1" applyFill="1" applyBorder="1"/>
    <xf numFmtId="0" fontId="8" fillId="21" borderId="54" xfId="0" applyFont="1" applyFill="1" applyBorder="1"/>
    <xf numFmtId="0" fontId="8" fillId="21" borderId="56" xfId="0" applyFont="1" applyFill="1" applyBorder="1"/>
    <xf numFmtId="0" fontId="8" fillId="21" borderId="51" xfId="0" applyFont="1" applyFill="1" applyBorder="1"/>
    <xf numFmtId="0" fontId="8" fillId="21" borderId="55" xfId="0" applyFont="1" applyFill="1" applyBorder="1"/>
    <xf numFmtId="0" fontId="8" fillId="21" borderId="0" xfId="0" applyFont="1" applyFill="1"/>
    <xf numFmtId="0" fontId="8" fillId="21" borderId="20" xfId="0" applyFont="1" applyFill="1" applyBorder="1"/>
    <xf numFmtId="0" fontId="8" fillId="21" borderId="53" xfId="0" applyFont="1" applyFill="1" applyBorder="1"/>
    <xf numFmtId="0" fontId="8" fillId="21" borderId="14" xfId="0" applyFont="1" applyFill="1" applyBorder="1"/>
    <xf numFmtId="0" fontId="8" fillId="21" borderId="3" xfId="0" applyFont="1" applyFill="1" applyBorder="1"/>
    <xf numFmtId="0" fontId="8" fillId="20" borderId="55" xfId="0" applyFont="1" applyFill="1" applyBorder="1"/>
    <xf numFmtId="0" fontId="8" fillId="20" borderId="54" xfId="0" applyFont="1" applyFill="1" applyBorder="1"/>
    <xf numFmtId="0" fontId="8" fillId="20" borderId="56" xfId="0" applyFont="1" applyFill="1" applyBorder="1"/>
    <xf numFmtId="0" fontId="8" fillId="20" borderId="53" xfId="0" applyFont="1" applyFill="1" applyBorder="1"/>
    <xf numFmtId="0" fontId="8" fillId="21" borderId="49" xfId="0" applyFont="1" applyFill="1" applyBorder="1"/>
    <xf numFmtId="0" fontId="8" fillId="21" borderId="50" xfId="0" applyFont="1" applyFill="1" applyBorder="1"/>
    <xf numFmtId="0" fontId="8" fillId="21" borderId="15" xfId="0" applyFont="1" applyFill="1" applyBorder="1"/>
    <xf numFmtId="0" fontId="10" fillId="20" borderId="0" xfId="0" applyFont="1" applyFill="1"/>
    <xf numFmtId="0" fontId="38" fillId="21" borderId="54" xfId="0" applyFont="1" applyFill="1" applyBorder="1"/>
    <xf numFmtId="0" fontId="29" fillId="21" borderId="55" xfId="0" applyFont="1" applyFill="1" applyBorder="1"/>
    <xf numFmtId="0" fontId="29" fillId="21" borderId="51" xfId="0" applyFont="1" applyFill="1" applyBorder="1"/>
    <xf numFmtId="0" fontId="38" fillId="21" borderId="55" xfId="0" applyFont="1" applyFill="1" applyBorder="1"/>
    <xf numFmtId="0" fontId="38" fillId="21" borderId="51" xfId="0" applyFont="1" applyFill="1" applyBorder="1"/>
    <xf numFmtId="0" fontId="36" fillId="21" borderId="0" xfId="0" applyFont="1" applyFill="1"/>
    <xf numFmtId="0" fontId="35" fillId="21" borderId="0" xfId="0" applyFont="1" applyFill="1"/>
    <xf numFmtId="0" fontId="38" fillId="21" borderId="0" xfId="0" applyFont="1" applyFill="1"/>
    <xf numFmtId="0" fontId="36" fillId="20" borderId="1" xfId="0" applyFont="1" applyFill="1" applyBorder="1"/>
    <xf numFmtId="0" fontId="32" fillId="21" borderId="0" xfId="0" applyFont="1" applyFill="1"/>
    <xf numFmtId="0" fontId="32" fillId="10" borderId="36" xfId="0" applyFont="1" applyFill="1" applyBorder="1" applyAlignment="1">
      <alignment horizontal="left" vertical="center"/>
    </xf>
    <xf numFmtId="0" fontId="32" fillId="10" borderId="38" xfId="0" applyFont="1" applyFill="1" applyBorder="1" applyAlignment="1">
      <alignment horizontal="left" vertical="center"/>
    </xf>
    <xf numFmtId="0" fontId="37" fillId="17" borderId="34" xfId="0" applyFont="1" applyFill="1" applyBorder="1" applyAlignment="1">
      <alignment horizontal="center"/>
    </xf>
    <xf numFmtId="0" fontId="37" fillId="17" borderId="35" xfId="0" applyFont="1" applyFill="1" applyBorder="1" applyAlignment="1">
      <alignment horizontal="center"/>
    </xf>
    <xf numFmtId="44" fontId="32" fillId="10" borderId="37" xfId="0" applyNumberFormat="1" applyFont="1" applyFill="1" applyBorder="1" applyAlignment="1">
      <alignment horizontal="left" vertical="center"/>
    </xf>
    <xf numFmtId="44" fontId="32" fillId="10" borderId="40" xfId="0" applyNumberFormat="1" applyFont="1" applyFill="1" applyBorder="1" applyAlignment="1">
      <alignment horizontal="left" vertical="center"/>
    </xf>
    <xf numFmtId="0" fontId="36" fillId="18" borderId="1" xfId="0" applyFont="1" applyFill="1" applyBorder="1" applyAlignment="1">
      <alignment horizontal="center" vertical="center"/>
    </xf>
    <xf numFmtId="0" fontId="36" fillId="18" borderId="37" xfId="0" applyFont="1" applyFill="1" applyBorder="1" applyAlignment="1">
      <alignment vertical="center"/>
    </xf>
    <xf numFmtId="44" fontId="32" fillId="10" borderId="1" xfId="0" applyNumberFormat="1" applyFont="1" applyFill="1" applyBorder="1" applyAlignment="1">
      <alignment horizontal="left"/>
    </xf>
    <xf numFmtId="0" fontId="32" fillId="10" borderId="36" xfId="0" applyFont="1" applyFill="1" applyBorder="1" applyAlignment="1">
      <alignment horizontal="left"/>
    </xf>
    <xf numFmtId="9" fontId="32" fillId="10" borderId="1" xfId="0" applyNumberFormat="1" applyFont="1" applyFill="1" applyBorder="1" applyAlignment="1">
      <alignment horizontal="left" vertical="center"/>
    </xf>
    <xf numFmtId="164" fontId="32" fillId="10" borderId="37" xfId="0" applyNumberFormat="1" applyFont="1" applyFill="1" applyBorder="1" applyAlignment="1">
      <alignment horizontal="left" vertical="center"/>
    </xf>
    <xf numFmtId="44" fontId="32" fillId="10" borderId="36" xfId="0" applyNumberFormat="1" applyFont="1" applyFill="1" applyBorder="1" applyAlignment="1">
      <alignment horizontal="left"/>
    </xf>
    <xf numFmtId="10" fontId="32" fillId="10" borderId="1" xfId="0" applyNumberFormat="1" applyFont="1" applyFill="1" applyBorder="1" applyAlignment="1">
      <alignment horizontal="left" vertical="center"/>
    </xf>
    <xf numFmtId="0" fontId="32" fillId="10" borderId="38" xfId="0" applyFont="1" applyFill="1" applyBorder="1" applyAlignment="1">
      <alignment horizontal="left"/>
    </xf>
    <xf numFmtId="44" fontId="32" fillId="10" borderId="39" xfId="0" applyNumberFormat="1" applyFont="1" applyFill="1" applyBorder="1" applyAlignment="1">
      <alignment horizontal="left"/>
    </xf>
    <xf numFmtId="10" fontId="32" fillId="10" borderId="39" xfId="0" applyNumberFormat="1" applyFont="1" applyFill="1" applyBorder="1" applyAlignment="1">
      <alignment horizontal="left" vertical="center"/>
    </xf>
    <xf numFmtId="164" fontId="32" fillId="10" borderId="40" xfId="0" applyNumberFormat="1" applyFont="1" applyFill="1" applyBorder="1" applyAlignment="1">
      <alignment horizontal="left" vertical="center"/>
    </xf>
    <xf numFmtId="0" fontId="32" fillId="10" borderId="1" xfId="0" applyFont="1" applyFill="1" applyBorder="1" applyAlignment="1">
      <alignment horizontal="left" vertical="center"/>
    </xf>
    <xf numFmtId="9" fontId="32" fillId="10" borderId="37" xfId="0" applyNumberFormat="1" applyFont="1" applyFill="1" applyBorder="1" applyAlignment="1">
      <alignment horizontal="left" vertical="center"/>
    </xf>
    <xf numFmtId="0" fontId="32" fillId="10" borderId="37" xfId="0" applyFont="1" applyFill="1" applyBorder="1" applyAlignment="1">
      <alignment horizontal="left" vertical="center"/>
    </xf>
    <xf numFmtId="0" fontId="32" fillId="10" borderId="39" xfId="0" applyFont="1" applyFill="1" applyBorder="1" applyAlignment="1">
      <alignment horizontal="left" vertical="center"/>
    </xf>
    <xf numFmtId="10" fontId="32" fillId="10" borderId="40" xfId="0" applyNumberFormat="1" applyFont="1" applyFill="1" applyBorder="1" applyAlignment="1">
      <alignment horizontal="left" vertical="center"/>
    </xf>
    <xf numFmtId="0" fontId="41" fillId="17" borderId="60" xfId="0" applyFont="1" applyFill="1" applyBorder="1"/>
    <xf numFmtId="9" fontId="32" fillId="10" borderId="61" xfId="0" applyNumberFormat="1" applyFont="1" applyFill="1" applyBorder="1" applyAlignment="1">
      <alignment horizontal="left"/>
    </xf>
    <xf numFmtId="0" fontId="10" fillId="2" borderId="0" xfId="0" applyFont="1" applyFill="1" applyAlignment="1">
      <alignment horizontal="center"/>
    </xf>
    <xf numFmtId="0" fontId="0" fillId="13" borderId="0" xfId="0" applyFill="1" applyAlignment="1">
      <alignment horizontal="center"/>
    </xf>
    <xf numFmtId="0" fontId="35" fillId="10" borderId="7" xfId="0" applyFont="1" applyFill="1" applyBorder="1" applyAlignment="1">
      <alignment horizontal="center" vertical="center"/>
    </xf>
    <xf numFmtId="0" fontId="35" fillId="10" borderId="20" xfId="0" applyFont="1" applyFill="1" applyBorder="1" applyAlignment="1">
      <alignment horizontal="center" vertical="center"/>
    </xf>
    <xf numFmtId="0" fontId="25" fillId="9" borderId="31" xfId="0" applyFont="1" applyFill="1" applyBorder="1" applyAlignment="1">
      <alignment horizontal="center" vertical="center"/>
    </xf>
    <xf numFmtId="0" fontId="25" fillId="9" borderId="15" xfId="0" applyFont="1" applyFill="1" applyBorder="1" applyAlignment="1">
      <alignment horizontal="center" vertical="center"/>
    </xf>
    <xf numFmtId="0" fontId="25" fillId="9" borderId="21" xfId="0" applyFont="1" applyFill="1" applyBorder="1" applyAlignment="1">
      <alignment horizontal="center" vertical="center"/>
    </xf>
    <xf numFmtId="0" fontId="25" fillId="9" borderId="3" xfId="0" applyFont="1" applyFill="1" applyBorder="1" applyAlignment="1">
      <alignment horizontal="center" vertical="center"/>
    </xf>
    <xf numFmtId="0" fontId="34" fillId="3" borderId="13" xfId="0" applyFont="1" applyFill="1" applyBorder="1" applyAlignment="1">
      <alignment horizontal="center" vertical="center"/>
    </xf>
    <xf numFmtId="0" fontId="34" fillId="3" borderId="2" xfId="0" applyFont="1" applyFill="1" applyBorder="1" applyAlignment="1">
      <alignment horizontal="center" vertical="center"/>
    </xf>
    <xf numFmtId="0" fontId="0" fillId="8" borderId="32" xfId="0" applyFill="1" applyBorder="1" applyAlignment="1">
      <alignment horizontal="center"/>
    </xf>
    <xf numFmtId="0" fontId="0" fillId="8" borderId="33" xfId="0" applyFill="1" applyBorder="1" applyAlignment="1">
      <alignment horizontal="center"/>
    </xf>
    <xf numFmtId="0" fontId="28" fillId="5" borderId="4" xfId="0" applyFont="1" applyFill="1" applyBorder="1" applyAlignment="1">
      <alignment horizontal="center" vertical="center"/>
    </xf>
    <xf numFmtId="0" fontId="28" fillId="5" borderId="5" xfId="0" applyFont="1" applyFill="1" applyBorder="1" applyAlignment="1">
      <alignment horizontal="center" vertical="center"/>
    </xf>
    <xf numFmtId="0" fontId="28" fillId="5" borderId="6" xfId="0" applyFont="1" applyFill="1" applyBorder="1" applyAlignment="1">
      <alignment horizontal="center" vertical="center"/>
    </xf>
    <xf numFmtId="0" fontId="28" fillId="5" borderId="21" xfId="0" applyFont="1" applyFill="1" applyBorder="1" applyAlignment="1">
      <alignment horizontal="center" vertical="center"/>
    </xf>
    <xf numFmtId="0" fontId="28" fillId="5" borderId="14" xfId="0" applyFont="1" applyFill="1" applyBorder="1" applyAlignment="1">
      <alignment horizontal="center" vertical="center"/>
    </xf>
    <xf numFmtId="0" fontId="28" fillId="5" borderId="22" xfId="0" applyFont="1" applyFill="1" applyBorder="1" applyAlignment="1">
      <alignment horizontal="center" vertical="center"/>
    </xf>
    <xf numFmtId="0" fontId="28" fillId="4" borderId="4" xfId="0" applyFont="1" applyFill="1" applyBorder="1" applyAlignment="1">
      <alignment horizontal="center" vertical="center"/>
    </xf>
    <xf numFmtId="0" fontId="28" fillId="4" borderId="5" xfId="0" applyFont="1" applyFill="1" applyBorder="1" applyAlignment="1">
      <alignment horizontal="center" vertical="center"/>
    </xf>
    <xf numFmtId="0" fontId="28" fillId="4" borderId="6" xfId="0" applyFont="1" applyFill="1" applyBorder="1" applyAlignment="1">
      <alignment horizontal="center" vertical="center"/>
    </xf>
    <xf numFmtId="0" fontId="28" fillId="4" borderId="21" xfId="0" applyFont="1" applyFill="1" applyBorder="1" applyAlignment="1">
      <alignment horizontal="center" vertical="center"/>
    </xf>
    <xf numFmtId="0" fontId="28" fillId="4" borderId="14" xfId="0" applyFont="1" applyFill="1" applyBorder="1" applyAlignment="1">
      <alignment horizontal="center" vertical="center"/>
    </xf>
    <xf numFmtId="0" fontId="28" fillId="4" borderId="22" xfId="0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/>
    </xf>
    <xf numFmtId="0" fontId="19" fillId="12" borderId="5" xfId="0" applyFont="1" applyFill="1" applyBorder="1" applyAlignment="1">
      <alignment horizontal="center" vertical="center"/>
    </xf>
    <xf numFmtId="0" fontId="19" fillId="12" borderId="6" xfId="0" applyFont="1" applyFill="1" applyBorder="1" applyAlignment="1">
      <alignment horizontal="center" vertical="center"/>
    </xf>
    <xf numFmtId="0" fontId="19" fillId="12" borderId="7" xfId="0" applyFont="1" applyFill="1" applyBorder="1" applyAlignment="1">
      <alignment horizontal="center" vertical="center"/>
    </xf>
    <xf numFmtId="0" fontId="19" fillId="12" borderId="0" xfId="0" applyFont="1" applyFill="1" applyBorder="1" applyAlignment="1">
      <alignment horizontal="center" vertical="center"/>
    </xf>
    <xf numFmtId="0" fontId="19" fillId="12" borderId="8" xfId="0" applyFont="1" applyFill="1" applyBorder="1" applyAlignment="1">
      <alignment horizontal="center" vertical="center"/>
    </xf>
    <xf numFmtId="0" fontId="19" fillId="12" borderId="9" xfId="0" applyFont="1" applyFill="1" applyBorder="1" applyAlignment="1">
      <alignment horizontal="center" vertical="center"/>
    </xf>
    <xf numFmtId="0" fontId="19" fillId="12" borderId="10" xfId="0" applyFont="1" applyFill="1" applyBorder="1" applyAlignment="1">
      <alignment horizontal="center" vertical="center"/>
    </xf>
    <xf numFmtId="0" fontId="19" fillId="12" borderId="11" xfId="0" applyFont="1" applyFill="1" applyBorder="1" applyAlignment="1">
      <alignment horizontal="center" vertical="center"/>
    </xf>
    <xf numFmtId="0" fontId="19" fillId="6" borderId="4" xfId="0" applyFont="1" applyFill="1" applyBorder="1" applyAlignment="1">
      <alignment horizontal="center" vertical="center"/>
    </xf>
    <xf numFmtId="0" fontId="19" fillId="6" borderId="5" xfId="0" applyFont="1" applyFill="1" applyBorder="1" applyAlignment="1">
      <alignment horizontal="center" vertical="center"/>
    </xf>
    <xf numFmtId="0" fontId="19" fillId="6" borderId="6" xfId="0" applyFont="1" applyFill="1" applyBorder="1" applyAlignment="1">
      <alignment horizontal="center" vertical="center"/>
    </xf>
    <xf numFmtId="0" fontId="19" fillId="6" borderId="21" xfId="0" applyFont="1" applyFill="1" applyBorder="1" applyAlignment="1">
      <alignment horizontal="center" vertical="center"/>
    </xf>
    <xf numFmtId="0" fontId="19" fillId="6" borderId="14" xfId="0" applyFont="1" applyFill="1" applyBorder="1" applyAlignment="1">
      <alignment horizontal="center" vertical="center"/>
    </xf>
    <xf numFmtId="0" fontId="19" fillId="6" borderId="22" xfId="0" applyFont="1" applyFill="1" applyBorder="1" applyAlignment="1">
      <alignment horizontal="center" vertical="center"/>
    </xf>
    <xf numFmtId="0" fontId="16" fillId="8" borderId="31" xfId="0" applyFont="1" applyFill="1" applyBorder="1" applyAlignment="1">
      <alignment horizontal="center" vertical="center"/>
    </xf>
    <xf numFmtId="0" fontId="16" fillId="8" borderId="50" xfId="0" applyFont="1" applyFill="1" applyBorder="1" applyAlignment="1">
      <alignment horizontal="center" vertical="center"/>
    </xf>
    <xf numFmtId="0" fontId="16" fillId="8" borderId="63" xfId="0" applyFont="1" applyFill="1" applyBorder="1" applyAlignment="1">
      <alignment horizontal="center" vertical="center"/>
    </xf>
    <xf numFmtId="0" fontId="16" fillId="8" borderId="9" xfId="0" applyFont="1" applyFill="1" applyBorder="1" applyAlignment="1">
      <alignment horizontal="center" vertical="center"/>
    </xf>
    <xf numFmtId="0" fontId="16" fillId="8" borderId="10" xfId="0" applyFont="1" applyFill="1" applyBorder="1" applyAlignment="1">
      <alignment horizontal="center" vertical="center"/>
    </xf>
    <xf numFmtId="0" fontId="16" fillId="8" borderId="11" xfId="0" applyFont="1" applyFill="1" applyBorder="1" applyAlignment="1">
      <alignment horizontal="center" vertical="center"/>
    </xf>
    <xf numFmtId="0" fontId="28" fillId="3" borderId="0" xfId="0" applyFont="1" applyFill="1" applyBorder="1" applyAlignment="1">
      <alignment horizontal="center" vertical="center"/>
    </xf>
    <xf numFmtId="0" fontId="28" fillId="17" borderId="41" xfId="0" applyFont="1" applyFill="1" applyBorder="1" applyAlignment="1">
      <alignment horizontal="center" vertical="center"/>
    </xf>
    <xf numFmtId="0" fontId="28" fillId="17" borderId="42" xfId="0" applyFont="1" applyFill="1" applyBorder="1" applyAlignment="1">
      <alignment horizontal="center" vertical="center"/>
    </xf>
    <xf numFmtId="0" fontId="28" fillId="17" borderId="43" xfId="0" applyFont="1" applyFill="1" applyBorder="1" applyAlignment="1">
      <alignment horizontal="center" vertical="center"/>
    </xf>
    <xf numFmtId="0" fontId="28" fillId="17" borderId="44" xfId="0" applyFont="1" applyFill="1" applyBorder="1" applyAlignment="1">
      <alignment horizontal="center" vertical="center"/>
    </xf>
    <xf numFmtId="0" fontId="28" fillId="17" borderId="0" xfId="0" applyFont="1" applyFill="1" applyBorder="1" applyAlignment="1">
      <alignment horizontal="center" vertical="center"/>
    </xf>
    <xf numFmtId="0" fontId="28" fillId="17" borderId="45" xfId="0" applyFont="1" applyFill="1" applyBorder="1" applyAlignment="1">
      <alignment horizontal="center" vertical="center"/>
    </xf>
    <xf numFmtId="0" fontId="19" fillId="17" borderId="4" xfId="0" applyFont="1" applyFill="1" applyBorder="1" applyAlignment="1">
      <alignment horizontal="center" vertical="center"/>
    </xf>
    <xf numFmtId="0" fontId="19" fillId="17" borderId="5" xfId="0" applyFont="1" applyFill="1" applyBorder="1" applyAlignment="1">
      <alignment horizontal="center" vertical="center"/>
    </xf>
    <xf numFmtId="0" fontId="19" fillId="17" borderId="6" xfId="0" applyFont="1" applyFill="1" applyBorder="1" applyAlignment="1">
      <alignment horizontal="center" vertical="center"/>
    </xf>
    <xf numFmtId="0" fontId="19" fillId="17" borderId="9" xfId="0" applyFont="1" applyFill="1" applyBorder="1" applyAlignment="1">
      <alignment horizontal="center" vertical="center"/>
    </xf>
    <xf numFmtId="0" fontId="19" fillId="17" borderId="10" xfId="0" applyFont="1" applyFill="1" applyBorder="1" applyAlignment="1">
      <alignment horizontal="center" vertical="center"/>
    </xf>
    <xf numFmtId="0" fontId="19" fillId="17" borderId="11" xfId="0" applyFont="1" applyFill="1" applyBorder="1" applyAlignment="1">
      <alignment horizontal="center" vertical="center"/>
    </xf>
    <xf numFmtId="0" fontId="19" fillId="17" borderId="7" xfId="0" applyFont="1" applyFill="1" applyBorder="1" applyAlignment="1">
      <alignment horizontal="center" vertical="center"/>
    </xf>
    <xf numFmtId="0" fontId="19" fillId="17" borderId="0" xfId="0" applyFont="1" applyFill="1" applyBorder="1" applyAlignment="1">
      <alignment horizontal="center" vertical="center"/>
    </xf>
    <xf numFmtId="0" fontId="19" fillId="17" borderId="8" xfId="0" applyFont="1" applyFill="1" applyBorder="1" applyAlignment="1">
      <alignment horizontal="center" vertical="center"/>
    </xf>
    <xf numFmtId="0" fontId="37" fillId="17" borderId="57" xfId="0" applyFont="1" applyFill="1" applyBorder="1" applyAlignment="1">
      <alignment horizontal="center" vertical="center"/>
    </xf>
    <xf numFmtId="0" fontId="37" fillId="17" borderId="58" xfId="0" applyFont="1" applyFill="1" applyBorder="1" applyAlignment="1">
      <alignment horizontal="center" vertical="center"/>
    </xf>
    <xf numFmtId="0" fontId="37" fillId="17" borderId="59" xfId="0" applyFont="1" applyFill="1" applyBorder="1" applyAlignment="1">
      <alignment horizontal="center" vertical="center"/>
    </xf>
    <xf numFmtId="0" fontId="36" fillId="18" borderId="36" xfId="0" applyFont="1" applyFill="1" applyBorder="1" applyAlignment="1">
      <alignment horizontal="center" vertical="center"/>
    </xf>
    <xf numFmtId="0" fontId="36" fillId="18" borderId="1" xfId="0" applyFont="1" applyFill="1" applyBorder="1" applyAlignment="1">
      <alignment horizontal="center" vertical="center"/>
    </xf>
    <xf numFmtId="0" fontId="0" fillId="10" borderId="0" xfId="0" applyFill="1"/>
    <xf numFmtId="0" fontId="8" fillId="13" borderId="10" xfId="0" applyFont="1" applyFill="1" applyBorder="1"/>
    <xf numFmtId="0" fontId="19" fillId="17" borderId="1" xfId="0" applyFont="1" applyFill="1" applyBorder="1"/>
    <xf numFmtId="0" fontId="32" fillId="10" borderId="62" xfId="0" applyFont="1" applyFill="1" applyBorder="1" applyAlignment="1">
      <alignment horizontal="left"/>
    </xf>
    <xf numFmtId="0" fontId="32" fillId="10" borderId="1" xfId="0" applyFont="1" applyFill="1" applyBorder="1" applyAlignment="1">
      <alignment horizontal="left"/>
    </xf>
    <xf numFmtId="0" fontId="0" fillId="2" borderId="0" xfId="0" applyFill="1" applyAlignment="1">
      <alignment horizontal="left" vertical="center"/>
    </xf>
    <xf numFmtId="0" fontId="20" fillId="2" borderId="0" xfId="0" applyFont="1" applyFill="1" applyAlignment="1">
      <alignment horizontal="center" vertical="center"/>
    </xf>
    <xf numFmtId="0" fontId="24" fillId="3" borderId="0" xfId="0" applyFont="1" applyFill="1" applyAlignment="1">
      <alignment horizontal="center"/>
    </xf>
    <xf numFmtId="0" fontId="8" fillId="2" borderId="0" xfId="0" applyFont="1" applyFill="1" applyAlignment="1">
      <alignment horizontal="left"/>
    </xf>
    <xf numFmtId="0" fontId="0" fillId="0" borderId="1" xfId="0" applyBorder="1"/>
    <xf numFmtId="0" fontId="7" fillId="2" borderId="0" xfId="0" applyFont="1" applyFill="1" applyAlignment="1">
      <alignment horizontal="center" vertical="center"/>
    </xf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0" fillId="0" borderId="36" xfId="0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1" fillId="0" borderId="1" xfId="2" applyBorder="1"/>
    <xf numFmtId="44" fontId="0" fillId="0" borderId="1" xfId="5" applyFont="1" applyBorder="1"/>
    <xf numFmtId="44" fontId="0" fillId="0" borderId="37" xfId="5" applyFont="1" applyBorder="1"/>
    <xf numFmtId="0" fontId="6" fillId="2" borderId="0" xfId="0" applyFont="1" applyFill="1" applyAlignment="1">
      <alignment vertical="center"/>
    </xf>
    <xf numFmtId="0" fontId="24" fillId="3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left" vertical="center"/>
    </xf>
    <xf numFmtId="0" fontId="1" fillId="2" borderId="0" xfId="2" applyFill="1" applyBorder="1" applyAlignment="1">
      <alignment horizontal="left" vertical="center"/>
    </xf>
    <xf numFmtId="0" fontId="1" fillId="2" borderId="0" xfId="2" applyFill="1" applyBorder="1" applyAlignment="1">
      <alignment horizontal="left"/>
    </xf>
    <xf numFmtId="0" fontId="8" fillId="2" borderId="0" xfId="0" applyFont="1" applyFill="1"/>
    <xf numFmtId="0" fontId="23" fillId="10" borderId="0" xfId="0" applyFont="1" applyFill="1" applyAlignment="1">
      <alignment vertical="center"/>
    </xf>
    <xf numFmtId="0" fontId="30" fillId="10" borderId="0" xfId="0" applyFont="1" applyFill="1"/>
    <xf numFmtId="0" fontId="22" fillId="10" borderId="0" xfId="0" applyFont="1" applyFill="1"/>
    <xf numFmtId="0" fontId="20" fillId="10" borderId="0" xfId="0" applyFont="1" applyFill="1" applyAlignment="1">
      <alignment horizontal="left"/>
    </xf>
    <xf numFmtId="0" fontId="22" fillId="10" borderId="0" xfId="0" applyFont="1" applyFill="1" applyAlignment="1">
      <alignment horizontal="left"/>
    </xf>
    <xf numFmtId="0" fontId="22" fillId="11" borderId="0" xfId="0" applyFont="1" applyFill="1" applyAlignment="1">
      <alignment horizontal="left"/>
    </xf>
    <xf numFmtId="0" fontId="30" fillId="10" borderId="9" xfId="0" applyFont="1" applyFill="1" applyBorder="1"/>
    <xf numFmtId="0" fontId="43" fillId="10" borderId="10" xfId="0" applyFont="1" applyFill="1" applyBorder="1"/>
    <xf numFmtId="0" fontId="30" fillId="10" borderId="10" xfId="0" applyFont="1" applyFill="1" applyBorder="1"/>
    <xf numFmtId="0" fontId="22" fillId="10" borderId="10" xfId="0" applyFont="1" applyFill="1" applyBorder="1"/>
    <xf numFmtId="0" fontId="30" fillId="10" borderId="11" xfId="0" applyFont="1" applyFill="1" applyBorder="1"/>
    <xf numFmtId="0" fontId="36" fillId="10" borderId="10" xfId="0" applyFont="1" applyFill="1" applyBorder="1" applyAlignment="1">
      <alignment horizontal="left"/>
    </xf>
    <xf numFmtId="0" fontId="32" fillId="10" borderId="10" xfId="0" applyFont="1" applyFill="1" applyBorder="1" applyAlignment="1">
      <alignment horizontal="left"/>
    </xf>
    <xf numFmtId="44" fontId="0" fillId="13" borderId="1" xfId="4" applyFont="1" applyFill="1" applyBorder="1"/>
    <xf numFmtId="0" fontId="29" fillId="13" borderId="1" xfId="0" applyFont="1" applyFill="1" applyBorder="1" applyAlignment="1">
      <alignment horizontal="left"/>
    </xf>
    <xf numFmtId="44" fontId="42" fillId="13" borderId="1" xfId="4" applyFont="1" applyFill="1" applyBorder="1"/>
    <xf numFmtId="0" fontId="21" fillId="13" borderId="1" xfId="0" applyFont="1" applyFill="1" applyBorder="1" applyAlignment="1">
      <alignment horizontal="center"/>
    </xf>
    <xf numFmtId="0" fontId="21" fillId="13" borderId="1" xfId="0" applyFont="1" applyFill="1" applyBorder="1" applyAlignment="1">
      <alignment horizontal="center"/>
    </xf>
    <xf numFmtId="0" fontId="7" fillId="2" borderId="0" xfId="0" applyFont="1" applyFill="1"/>
    <xf numFmtId="0" fontId="7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32" fillId="13" borderId="55" xfId="0" applyFont="1" applyFill="1" applyBorder="1"/>
    <xf numFmtId="0" fontId="32" fillId="13" borderId="1" xfId="0" applyFont="1" applyFill="1" applyBorder="1" applyAlignment="1">
      <alignment horizontal="center"/>
    </xf>
    <xf numFmtId="44" fontId="32" fillId="13" borderId="1" xfId="4" applyFont="1" applyFill="1" applyBorder="1" applyAlignment="1"/>
    <xf numFmtId="0" fontId="28" fillId="17" borderId="1" xfId="0" applyFont="1" applyFill="1" applyBorder="1" applyAlignment="1">
      <alignment horizontal="center" vertical="center"/>
    </xf>
    <xf numFmtId="0" fontId="28" fillId="17" borderId="55" xfId="0" applyFont="1" applyFill="1" applyBorder="1" applyAlignment="1">
      <alignment horizontal="center" vertical="center"/>
    </xf>
    <xf numFmtId="0" fontId="28" fillId="17" borderId="54" xfId="0" applyFont="1" applyFill="1" applyBorder="1" applyAlignment="1">
      <alignment horizontal="center" vertical="center"/>
    </xf>
    <xf numFmtId="0" fontId="28" fillId="17" borderId="56" xfId="0" applyFont="1" applyFill="1" applyBorder="1" applyAlignment="1">
      <alignment horizontal="center" vertical="center"/>
    </xf>
    <xf numFmtId="0" fontId="37" fillId="17" borderId="55" xfId="0" applyFont="1" applyFill="1" applyBorder="1" applyAlignment="1">
      <alignment vertical="center"/>
    </xf>
    <xf numFmtId="0" fontId="37" fillId="17" borderId="1" xfId="0" applyFont="1" applyFill="1" applyBorder="1" applyAlignment="1">
      <alignment vertical="center"/>
    </xf>
    <xf numFmtId="0" fontId="32" fillId="13" borderId="1" xfId="0" applyFont="1" applyFill="1" applyBorder="1"/>
    <xf numFmtId="44" fontId="32" fillId="13" borderId="1" xfId="4" applyFont="1" applyFill="1" applyBorder="1" applyAlignment="1">
      <alignment horizontal="center"/>
    </xf>
    <xf numFmtId="0" fontId="32" fillId="10" borderId="1" xfId="0" applyFont="1" applyFill="1" applyBorder="1"/>
    <xf numFmtId="44" fontId="32" fillId="10" borderId="1" xfId="0" applyNumberFormat="1" applyFont="1" applyFill="1" applyBorder="1"/>
    <xf numFmtId="0" fontId="37" fillId="17" borderId="1" xfId="0" applyFont="1" applyFill="1" applyBorder="1" applyAlignment="1">
      <alignment horizontal="center" vertical="center"/>
    </xf>
    <xf numFmtId="0" fontId="32" fillId="13" borderId="1" xfId="0" applyFont="1" applyFill="1" applyBorder="1" applyAlignment="1">
      <alignment horizontal="left"/>
    </xf>
    <xf numFmtId="0" fontId="43" fillId="13" borderId="55" xfId="0" applyFont="1" applyFill="1" applyBorder="1" applyAlignment="1">
      <alignment horizontal="center"/>
    </xf>
    <xf numFmtId="0" fontId="43" fillId="13" borderId="56" xfId="0" applyFont="1" applyFill="1" applyBorder="1" applyAlignment="1">
      <alignment horizontal="center"/>
    </xf>
    <xf numFmtId="44" fontId="32" fillId="13" borderId="1" xfId="4" applyFont="1" applyFill="1" applyBorder="1" applyAlignment="1">
      <alignment horizontal="center"/>
    </xf>
    <xf numFmtId="44" fontId="8" fillId="13" borderId="1" xfId="4" applyFont="1" applyFill="1" applyBorder="1"/>
    <xf numFmtId="0" fontId="8" fillId="0" borderId="50" xfId="0" applyFont="1" applyBorder="1"/>
    <xf numFmtId="44" fontId="8" fillId="0" borderId="50" xfId="4" applyFont="1" applyBorder="1"/>
    <xf numFmtId="44" fontId="0" fillId="0" borderId="50" xfId="4" applyFont="1" applyBorder="1"/>
    <xf numFmtId="0" fontId="8" fillId="0" borderId="0" xfId="0" applyFont="1"/>
    <xf numFmtId="44" fontId="8" fillId="0" borderId="0" xfId="4" applyFont="1" applyBorder="1"/>
    <xf numFmtId="44" fontId="0" fillId="0" borderId="0" xfId="4" applyFont="1" applyBorder="1"/>
    <xf numFmtId="44" fontId="8" fillId="17" borderId="13" xfId="4" applyFont="1" applyFill="1" applyBorder="1"/>
    <xf numFmtId="44" fontId="0" fillId="17" borderId="13" xfId="4" applyFont="1" applyFill="1" applyBorder="1"/>
    <xf numFmtId="0" fontId="8" fillId="0" borderId="54" xfId="0" applyFont="1" applyBorder="1"/>
    <xf numFmtId="44" fontId="8" fillId="0" borderId="54" xfId="4" applyFont="1" applyBorder="1"/>
    <xf numFmtId="44" fontId="0" fillId="0" borderId="54" xfId="4" applyFont="1" applyBorder="1"/>
    <xf numFmtId="44" fontId="32" fillId="13" borderId="1" xfId="4" applyFont="1" applyFill="1" applyBorder="1"/>
    <xf numFmtId="44" fontId="43" fillId="13" borderId="1" xfId="4" applyFont="1" applyFill="1" applyBorder="1"/>
    <xf numFmtId="0" fontId="32" fillId="13" borderId="13" xfId="0" applyFont="1" applyFill="1" applyBorder="1"/>
    <xf numFmtId="44" fontId="32" fillId="13" borderId="13" xfId="4" applyFont="1" applyFill="1" applyBorder="1"/>
    <xf numFmtId="44" fontId="43" fillId="13" borderId="13" xfId="4" applyFont="1" applyFill="1" applyBorder="1"/>
    <xf numFmtId="0" fontId="33" fillId="13" borderId="1" xfId="0" applyFont="1" applyFill="1" applyBorder="1"/>
    <xf numFmtId="0" fontId="37" fillId="17" borderId="13" xfId="0" applyFont="1" applyFill="1" applyBorder="1"/>
    <xf numFmtId="0" fontId="37" fillId="17" borderId="55" xfId="0" applyFont="1" applyFill="1" applyBorder="1" applyAlignment="1">
      <alignment horizontal="center" vertical="center"/>
    </xf>
    <xf numFmtId="0" fontId="37" fillId="17" borderId="54" xfId="0" applyFont="1" applyFill="1" applyBorder="1" applyAlignment="1">
      <alignment horizontal="center" vertical="center"/>
    </xf>
    <xf numFmtId="0" fontId="37" fillId="17" borderId="56" xfId="0" applyFont="1" applyFill="1" applyBorder="1" applyAlignment="1">
      <alignment horizontal="center" vertical="center"/>
    </xf>
    <xf numFmtId="44" fontId="32" fillId="13" borderId="0" xfId="4" applyFont="1" applyFill="1"/>
    <xf numFmtId="0" fontId="28" fillId="17" borderId="1" xfId="0" applyFont="1" applyFill="1" applyBorder="1" applyAlignment="1">
      <alignment horizontal="center"/>
    </xf>
    <xf numFmtId="0" fontId="44" fillId="0" borderId="0" xfId="0" applyFont="1" applyAlignment="1">
      <alignment vertical="center"/>
    </xf>
    <xf numFmtId="0" fontId="43" fillId="13" borderId="1" xfId="0" applyFont="1" applyFill="1" applyBorder="1" applyAlignment="1">
      <alignment horizont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36" fillId="10" borderId="1" xfId="0" applyFont="1" applyFill="1" applyBorder="1" applyAlignment="1">
      <alignment horizontal="left" vertical="center"/>
    </xf>
    <xf numFmtId="0" fontId="19" fillId="17" borderId="1" xfId="0" applyFont="1" applyFill="1" applyBorder="1" applyAlignment="1">
      <alignment horizontal="center" vertical="center"/>
    </xf>
    <xf numFmtId="0" fontId="19" fillId="17" borderId="14" xfId="0" applyFont="1" applyFill="1" applyBorder="1" applyAlignment="1">
      <alignment horizontal="center" vertical="center"/>
    </xf>
    <xf numFmtId="0" fontId="36" fillId="10" borderId="1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43" fillId="0" borderId="1" xfId="0" applyFont="1" applyBorder="1" applyAlignment="1">
      <alignment horizontal="center" vertical="center"/>
    </xf>
    <xf numFmtId="0" fontId="28" fillId="22" borderId="57" xfId="0" applyFont="1" applyFill="1" applyBorder="1" applyAlignment="1">
      <alignment horizontal="center"/>
    </xf>
    <xf numFmtId="0" fontId="28" fillId="22" borderId="58" xfId="0" applyFont="1" applyFill="1" applyBorder="1" applyAlignment="1">
      <alignment horizontal="center"/>
    </xf>
    <xf numFmtId="0" fontId="28" fillId="22" borderId="59" xfId="0" applyFont="1" applyFill="1" applyBorder="1" applyAlignment="1">
      <alignment horizontal="center"/>
    </xf>
    <xf numFmtId="0" fontId="37" fillId="7" borderId="64" xfId="0" applyFont="1" applyFill="1" applyBorder="1" applyAlignment="1">
      <alignment horizontal="center" vertical="center"/>
    </xf>
    <xf numFmtId="0" fontId="37" fillId="7" borderId="65" xfId="0" applyFont="1" applyFill="1" applyBorder="1" applyAlignment="1">
      <alignment horizontal="center" vertical="center"/>
    </xf>
    <xf numFmtId="0" fontId="37" fillId="7" borderId="66" xfId="0" applyFont="1" applyFill="1" applyBorder="1" applyAlignment="1">
      <alignment horizontal="center" vertical="center"/>
    </xf>
    <xf numFmtId="0" fontId="35" fillId="2" borderId="0" xfId="0" applyFont="1" applyFill="1" applyAlignment="1">
      <alignment horizontal="center" vertical="center"/>
    </xf>
    <xf numFmtId="0" fontId="37" fillId="22" borderId="57" xfId="0" applyFont="1" applyFill="1" applyBorder="1" applyAlignment="1">
      <alignment horizontal="center"/>
    </xf>
    <xf numFmtId="0" fontId="37" fillId="22" borderId="58" xfId="0" applyFont="1" applyFill="1" applyBorder="1" applyAlignment="1">
      <alignment horizontal="center"/>
    </xf>
    <xf numFmtId="0" fontId="37" fillId="22" borderId="59" xfId="0" applyFont="1" applyFill="1" applyBorder="1" applyAlignment="1">
      <alignment horizontal="center"/>
    </xf>
    <xf numFmtId="0" fontId="28" fillId="12" borderId="34" xfId="0" applyFont="1" applyFill="1" applyBorder="1" applyAlignment="1">
      <alignment horizontal="center" vertical="center"/>
    </xf>
    <xf numFmtId="0" fontId="28" fillId="12" borderId="67" xfId="0" applyFont="1" applyFill="1" applyBorder="1" applyAlignment="1">
      <alignment horizontal="center" vertical="center"/>
    </xf>
    <xf numFmtId="0" fontId="28" fillId="12" borderId="59" xfId="0" applyFont="1" applyFill="1" applyBorder="1" applyAlignment="1">
      <alignment horizontal="center" vertical="center"/>
    </xf>
    <xf numFmtId="0" fontId="5" fillId="3" borderId="68" xfId="0" applyFont="1" applyFill="1" applyBorder="1"/>
    <xf numFmtId="0" fontId="5" fillId="3" borderId="3" xfId="0" applyFont="1" applyFill="1" applyBorder="1"/>
    <xf numFmtId="0" fontId="32" fillId="2" borderId="1" xfId="0" applyFont="1" applyFill="1" applyBorder="1" applyAlignment="1">
      <alignment horizontal="left" vertical="center"/>
    </xf>
    <xf numFmtId="0" fontId="32" fillId="2" borderId="37" xfId="0" applyFont="1" applyFill="1" applyBorder="1" applyAlignment="1">
      <alignment horizontal="left" vertical="center"/>
    </xf>
    <xf numFmtId="0" fontId="32" fillId="2" borderId="37" xfId="0" applyFont="1" applyFill="1" applyBorder="1" applyAlignment="1">
      <alignment horizontal="left"/>
    </xf>
    <xf numFmtId="0" fontId="45" fillId="2" borderId="37" xfId="2" applyFont="1" applyFill="1" applyBorder="1" applyAlignment="1">
      <alignment horizontal="left" vertical="center"/>
    </xf>
    <xf numFmtId="0" fontId="45" fillId="2" borderId="37" xfId="2" applyFont="1" applyFill="1" applyBorder="1" applyAlignment="1">
      <alignment horizontal="left"/>
    </xf>
    <xf numFmtId="0" fontId="32" fillId="2" borderId="37" xfId="0" applyFont="1" applyFill="1" applyBorder="1"/>
    <xf numFmtId="0" fontId="5" fillId="3" borderId="69" xfId="0" applyFont="1" applyFill="1" applyBorder="1"/>
    <xf numFmtId="0" fontId="5" fillId="3" borderId="70" xfId="0" applyFont="1" applyFill="1" applyBorder="1"/>
    <xf numFmtId="0" fontId="32" fillId="2" borderId="39" xfId="0" applyFont="1" applyFill="1" applyBorder="1" applyAlignment="1">
      <alignment horizontal="left" vertical="center"/>
    </xf>
    <xf numFmtId="0" fontId="32" fillId="2" borderId="40" xfId="0" applyFont="1" applyFill="1" applyBorder="1" applyAlignment="1">
      <alignment horizontal="left" vertical="center"/>
    </xf>
    <xf numFmtId="0" fontId="28" fillId="17" borderId="36" xfId="0" applyFont="1" applyFill="1" applyBorder="1" applyAlignment="1">
      <alignment horizontal="center"/>
    </xf>
    <xf numFmtId="0" fontId="28" fillId="17" borderId="37" xfId="0" applyFont="1" applyFill="1" applyBorder="1" applyAlignment="1">
      <alignment horizontal="center"/>
    </xf>
    <xf numFmtId="0" fontId="43" fillId="0" borderId="36" xfId="0" applyFont="1" applyBorder="1"/>
    <xf numFmtId="0" fontId="43" fillId="0" borderId="1" xfId="0" applyFont="1" applyBorder="1"/>
    <xf numFmtId="0" fontId="43" fillId="0" borderId="37" xfId="0" applyFont="1" applyBorder="1"/>
    <xf numFmtId="0" fontId="43" fillId="0" borderId="38" xfId="0" applyFont="1" applyBorder="1"/>
    <xf numFmtId="0" fontId="43" fillId="0" borderId="39" xfId="0" applyFont="1" applyBorder="1"/>
    <xf numFmtId="0" fontId="43" fillId="0" borderId="40" xfId="0" applyFont="1" applyBorder="1"/>
    <xf numFmtId="0" fontId="46" fillId="7" borderId="64" xfId="0" applyFont="1" applyFill="1" applyBorder="1" applyAlignment="1">
      <alignment horizontal="center"/>
    </xf>
    <xf numFmtId="0" fontId="46" fillId="7" borderId="65" xfId="0" applyFont="1" applyFill="1" applyBorder="1" applyAlignment="1">
      <alignment horizontal="center"/>
    </xf>
    <xf numFmtId="0" fontId="46" fillId="7" borderId="66" xfId="0" applyFont="1" applyFill="1" applyBorder="1" applyAlignment="1">
      <alignment horizontal="center"/>
    </xf>
    <xf numFmtId="0" fontId="28" fillId="17" borderId="68" xfId="0" applyFont="1" applyFill="1" applyBorder="1" applyAlignment="1">
      <alignment horizontal="center"/>
    </xf>
    <xf numFmtId="0" fontId="28" fillId="17" borderId="2" xfId="0" applyFont="1" applyFill="1" applyBorder="1" applyAlignment="1">
      <alignment horizontal="center"/>
    </xf>
    <xf numFmtId="0" fontId="28" fillId="17" borderId="2" xfId="0" applyFont="1" applyFill="1" applyBorder="1" applyAlignment="1">
      <alignment horizontal="center" vertical="center"/>
    </xf>
    <xf numFmtId="0" fontId="28" fillId="17" borderId="33" xfId="0" applyFont="1" applyFill="1" applyBorder="1" applyAlignment="1">
      <alignment horizontal="center" vertical="center"/>
    </xf>
    <xf numFmtId="0" fontId="37" fillId="7" borderId="14" xfId="0" applyFont="1" applyFill="1" applyBorder="1" applyAlignment="1">
      <alignment horizontal="center" vertical="center"/>
    </xf>
    <xf numFmtId="0" fontId="28" fillId="12" borderId="1" xfId="0" applyFont="1" applyFill="1" applyBorder="1" applyAlignment="1">
      <alignment horizontal="center"/>
    </xf>
    <xf numFmtId="0" fontId="28" fillId="12" borderId="56" xfId="0" applyFont="1" applyFill="1" applyBorder="1" applyAlignment="1">
      <alignment horizontal="center"/>
    </xf>
    <xf numFmtId="0" fontId="32" fillId="2" borderId="1" xfId="0" applyFont="1" applyFill="1" applyBorder="1" applyAlignment="1">
      <alignment horizontal="left"/>
    </xf>
    <xf numFmtId="0" fontId="36" fillId="2" borderId="18" xfId="0" applyFont="1" applyFill="1" applyBorder="1" applyAlignment="1">
      <alignment horizontal="left"/>
    </xf>
    <xf numFmtId="0" fontId="47" fillId="2" borderId="1" xfId="0" applyFont="1" applyFill="1" applyBorder="1" applyAlignment="1">
      <alignment horizontal="left"/>
    </xf>
    <xf numFmtId="0" fontId="32" fillId="2" borderId="18" xfId="0" applyFont="1" applyFill="1" applyBorder="1" applyAlignment="1">
      <alignment horizontal="left"/>
    </xf>
    <xf numFmtId="0" fontId="28" fillId="17" borderId="36" xfId="0" applyFont="1" applyFill="1" applyBorder="1" applyAlignment="1">
      <alignment horizontal="center" vertical="center"/>
    </xf>
    <xf numFmtId="0" fontId="28" fillId="17" borderId="37" xfId="0" applyFont="1" applyFill="1" applyBorder="1" applyAlignment="1">
      <alignment horizontal="center" vertical="center"/>
    </xf>
    <xf numFmtId="0" fontId="43" fillId="0" borderId="36" xfId="0" applyFont="1" applyBorder="1" applyAlignment="1">
      <alignment horizontal="center" vertical="center"/>
    </xf>
    <xf numFmtId="0" fontId="19" fillId="12" borderId="0" xfId="0" applyFont="1" applyFill="1" applyAlignment="1">
      <alignment horizontal="center" vertical="center"/>
    </xf>
    <xf numFmtId="0" fontId="25" fillId="10" borderId="0" xfId="0" applyFont="1" applyFill="1" applyAlignment="1">
      <alignment vertical="center"/>
    </xf>
    <xf numFmtId="0" fontId="21" fillId="10" borderId="0" xfId="0" applyFont="1" applyFill="1"/>
    <xf numFmtId="0" fontId="0" fillId="16" borderId="0" xfId="0" applyFill="1"/>
    <xf numFmtId="0" fontId="19" fillId="17" borderId="0" xfId="0" applyFont="1" applyFill="1" applyAlignment="1">
      <alignment horizontal="center" vertical="center"/>
    </xf>
    <xf numFmtId="0" fontId="36" fillId="10" borderId="0" xfId="0" applyFont="1" applyFill="1"/>
    <xf numFmtId="0" fontId="33" fillId="2" borderId="1" xfId="0" applyFont="1" applyFill="1" applyBorder="1"/>
    <xf numFmtId="0" fontId="43" fillId="10" borderId="0" xfId="0" applyFont="1" applyFill="1"/>
    <xf numFmtId="0" fontId="36" fillId="10" borderId="0" xfId="0" applyFont="1" applyFill="1" applyAlignment="1">
      <alignment horizontal="left"/>
    </xf>
    <xf numFmtId="0" fontId="33" fillId="2" borderId="1" xfId="0" applyFont="1" applyFill="1" applyBorder="1" applyAlignment="1">
      <alignment horizontal="left"/>
    </xf>
    <xf numFmtId="0" fontId="32" fillId="10" borderId="0" xfId="0" applyFont="1" applyFill="1" applyAlignment="1">
      <alignment horizontal="left"/>
    </xf>
    <xf numFmtId="0" fontId="48" fillId="2" borderId="1" xfId="2" applyFont="1" applyFill="1" applyBorder="1" applyAlignment="1">
      <alignment horizontal="left"/>
    </xf>
    <xf numFmtId="0" fontId="33" fillId="3" borderId="1" xfId="0" applyFont="1" applyFill="1" applyBorder="1" applyAlignment="1">
      <alignment horizontal="left"/>
    </xf>
    <xf numFmtId="165" fontId="33" fillId="3" borderId="1" xfId="0" applyNumberFormat="1" applyFont="1" applyFill="1" applyBorder="1" applyAlignment="1">
      <alignment horizontal="left"/>
    </xf>
    <xf numFmtId="0" fontId="49" fillId="17" borderId="1" xfId="0" applyFont="1" applyFill="1" applyBorder="1" applyAlignment="1">
      <alignment horizontal="left" vertical="center"/>
    </xf>
    <xf numFmtId="0" fontId="33" fillId="13" borderId="1" xfId="0" applyFont="1" applyFill="1" applyBorder="1" applyAlignment="1">
      <alignment horizontal="left" vertical="center"/>
    </xf>
    <xf numFmtId="44" fontId="33" fillId="13" borderId="1" xfId="4" applyFont="1" applyFill="1" applyBorder="1" applyAlignment="1">
      <alignment horizontal="left" vertical="center"/>
    </xf>
    <xf numFmtId="0" fontId="50" fillId="13" borderId="1" xfId="0" applyFont="1" applyFill="1" applyBorder="1" applyAlignment="1">
      <alignment horizontal="left" vertical="center" wrapText="1"/>
    </xf>
    <xf numFmtId="44" fontId="50" fillId="13" borderId="1" xfId="4" applyFont="1" applyFill="1" applyBorder="1" applyAlignment="1">
      <alignment horizontal="left" vertical="center" wrapText="1"/>
    </xf>
    <xf numFmtId="0" fontId="50" fillId="13" borderId="13" xfId="0" applyFont="1" applyFill="1" applyBorder="1" applyAlignment="1">
      <alignment horizontal="left" vertical="center" wrapText="1"/>
    </xf>
    <xf numFmtId="44" fontId="50" fillId="13" borderId="13" xfId="4" applyFont="1" applyFill="1" applyBorder="1" applyAlignment="1">
      <alignment horizontal="left" vertical="center" wrapText="1"/>
    </xf>
    <xf numFmtId="0" fontId="35" fillId="10" borderId="0" xfId="0" applyFont="1" applyFill="1" applyAlignment="1">
      <alignment horizontal="left" vertical="center"/>
    </xf>
    <xf numFmtId="0" fontId="37" fillId="10" borderId="0" xfId="0" applyFont="1" applyFill="1" applyAlignment="1">
      <alignment horizontal="left" vertical="center"/>
    </xf>
    <xf numFmtId="0" fontId="41" fillId="10" borderId="0" xfId="0" applyFont="1" applyFill="1" applyAlignment="1">
      <alignment horizontal="left" vertical="center"/>
    </xf>
    <xf numFmtId="0" fontId="51" fillId="2" borderId="1" xfId="2" applyFont="1" applyFill="1" applyBorder="1" applyAlignment="1">
      <alignment horizontal="left"/>
    </xf>
    <xf numFmtId="0" fontId="32" fillId="10" borderId="0" xfId="0" applyFont="1" applyFill="1"/>
    <xf numFmtId="0" fontId="30" fillId="2" borderId="0" xfId="0" applyFont="1" applyFill="1"/>
    <xf numFmtId="0" fontId="43" fillId="2" borderId="0" xfId="0" applyFont="1" applyFill="1"/>
    <xf numFmtId="0" fontId="22" fillId="2" borderId="0" xfId="0" applyFont="1" applyFill="1"/>
    <xf numFmtId="0" fontId="36" fillId="10" borderId="0" xfId="0" applyFont="1" applyFill="1" applyAlignment="1">
      <alignment horizontal="left" vertical="center"/>
    </xf>
    <xf numFmtId="0" fontId="21" fillId="10" borderId="0" xfId="0" applyFont="1" applyFill="1" applyAlignment="1">
      <alignment horizontal="left" vertical="center"/>
    </xf>
    <xf numFmtId="165" fontId="22" fillId="11" borderId="0" xfId="0" applyNumberFormat="1" applyFont="1" applyFill="1" applyAlignment="1">
      <alignment horizontal="left"/>
    </xf>
    <xf numFmtId="0" fontId="22" fillId="2" borderId="0" xfId="0" applyFont="1" applyFill="1" applyAlignment="1">
      <alignment horizontal="left"/>
    </xf>
    <xf numFmtId="0" fontId="22" fillId="3" borderId="0" xfId="0" applyFont="1" applyFill="1" applyAlignment="1">
      <alignment horizontal="left"/>
    </xf>
    <xf numFmtId="0" fontId="8" fillId="10" borderId="0" xfId="0" applyFont="1" applyFill="1"/>
    <xf numFmtId="0" fontId="8" fillId="10" borderId="0" xfId="0" applyFont="1" applyFill="1" applyAlignment="1">
      <alignment horizontal="left"/>
    </xf>
    <xf numFmtId="0" fontId="32" fillId="2" borderId="52" xfId="0" applyFont="1" applyFill="1" applyBorder="1" applyAlignment="1">
      <alignment horizontal="left"/>
    </xf>
    <xf numFmtId="0" fontId="1" fillId="2" borderId="52" xfId="2" applyFill="1" applyBorder="1" applyAlignment="1">
      <alignment horizontal="left"/>
    </xf>
    <xf numFmtId="0" fontId="5" fillId="11" borderId="0" xfId="0" applyFont="1" applyFill="1" applyAlignment="1">
      <alignment vertical="center"/>
    </xf>
    <xf numFmtId="164" fontId="32" fillId="2" borderId="52" xfId="0" applyNumberFormat="1" applyFont="1" applyFill="1" applyBorder="1" applyAlignment="1">
      <alignment horizontal="left"/>
    </xf>
    <xf numFmtId="14" fontId="32" fillId="2" borderId="52" xfId="0" applyNumberFormat="1" applyFont="1" applyFill="1" applyBorder="1" applyAlignment="1">
      <alignment horizontal="left"/>
    </xf>
    <xf numFmtId="0" fontId="17" fillId="10" borderId="0" xfId="0" applyFont="1" applyFill="1" applyAlignment="1">
      <alignment vertical="center"/>
    </xf>
    <xf numFmtId="0" fontId="19" fillId="10" borderId="7" xfId="0" applyFont="1" applyFill="1" applyBorder="1" applyAlignment="1">
      <alignment horizontal="center" vertical="center"/>
    </xf>
    <xf numFmtId="0" fontId="19" fillId="10" borderId="0" xfId="0" applyFont="1" applyFill="1" applyAlignment="1">
      <alignment horizontal="center" vertical="center"/>
    </xf>
    <xf numFmtId="0" fontId="19" fillId="10" borderId="10" xfId="0" applyFont="1" applyFill="1" applyBorder="1" applyAlignment="1">
      <alignment horizontal="center" vertical="center"/>
    </xf>
    <xf numFmtId="0" fontId="19" fillId="10" borderId="8" xfId="0" applyFont="1" applyFill="1" applyBorder="1" applyAlignment="1">
      <alignment horizontal="center" vertical="center"/>
    </xf>
    <xf numFmtId="0" fontId="36" fillId="8" borderId="25" xfId="0" applyFont="1" applyFill="1" applyBorder="1" applyAlignment="1">
      <alignment horizontal="center" vertical="center"/>
    </xf>
    <xf numFmtId="164" fontId="5" fillId="11" borderId="1" xfId="0" applyNumberFormat="1" applyFont="1" applyFill="1" applyBorder="1" applyAlignment="1">
      <alignment horizontal="left"/>
    </xf>
    <xf numFmtId="0" fontId="36" fillId="8" borderId="27" xfId="0" applyFont="1" applyFill="1" applyBorder="1" applyAlignment="1">
      <alignment horizontal="center" vertical="center"/>
    </xf>
    <xf numFmtId="0" fontId="5" fillId="11" borderId="13" xfId="0" applyFont="1" applyFill="1" applyBorder="1" applyAlignment="1">
      <alignment horizontal="center" vertical="center"/>
    </xf>
    <xf numFmtId="0" fontId="32" fillId="0" borderId="1" xfId="0" applyFont="1" applyBorder="1"/>
    <xf numFmtId="0" fontId="32" fillId="2" borderId="0" xfId="0" applyFont="1" applyFill="1" applyAlignment="1">
      <alignment horizontal="left"/>
    </xf>
    <xf numFmtId="0" fontId="5" fillId="11" borderId="1" xfId="0" applyFont="1" applyFill="1" applyBorder="1" applyAlignment="1">
      <alignment vertical="center"/>
    </xf>
    <xf numFmtId="0" fontId="5" fillId="9" borderId="1" xfId="0" applyFont="1" applyFill="1" applyBorder="1" applyAlignment="1">
      <alignment horizontal="center" vertical="center"/>
    </xf>
    <xf numFmtId="0" fontId="3" fillId="11" borderId="0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43" fillId="8" borderId="1" xfId="0" applyFont="1" applyFill="1" applyBorder="1" applyAlignment="1">
      <alignment horizontal="center" vertical="center"/>
    </xf>
  </cellXfs>
  <cellStyles count="6">
    <cellStyle name="Hiperlink" xfId="2" builtinId="8"/>
    <cellStyle name="Hyperlink" xfId="1" xr:uid="{00000000-000B-0000-0000-000008000000}"/>
    <cellStyle name="Moeda" xfId="4" builtinId="4"/>
    <cellStyle name="Moeda 2" xfId="3" xr:uid="{168EC4E4-4ACA-488B-BA7F-0FCC7F054CAC}"/>
    <cellStyle name="Moeda 3" xfId="5" xr:uid="{C8563BB4-4771-4099-B082-45013E377669}"/>
    <cellStyle name="Normal" xfId="0" builtinId="0"/>
  </cellStyles>
  <dxfs count="0"/>
  <tableStyles count="0" defaultTableStyle="TableStyleMedium2" defaultPivotStyle="PivotStyleLight16"/>
  <colors>
    <mruColors>
      <color rgb="FF3D5B7A"/>
      <color rgb="FF171717"/>
      <color rgb="FFF13FF5"/>
      <color rgb="FF3A5775"/>
      <color rgb="FF8EA9DB"/>
      <color rgb="FF212121"/>
      <color rgb="FF3D597A"/>
      <color rgb="FF202020"/>
      <color rgb="FF1C1C1C"/>
      <color rgb="FFD0CE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4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5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sz="2000" b="1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CONTROLE DE ENTRADAS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3D5B7A"/>
            </a:solidFill>
            <a:ln>
              <a:noFill/>
            </a:ln>
            <a:effectLst/>
          </c:spPr>
          <c:invertIfNegative val="0"/>
          <c:cat>
            <c:strRef>
              <c:f>'[2]BANCO DE DADOS'!$C$7:$C$10</c:f>
              <c:strCache>
                <c:ptCount val="4"/>
                <c:pt idx="0">
                  <c:v>QUEIJO MEIA CURA</c:v>
                </c:pt>
                <c:pt idx="1">
                  <c:v>QUEIJO MINAS</c:v>
                </c:pt>
                <c:pt idx="2">
                  <c:v>QUEIJO COALHO</c:v>
                </c:pt>
                <c:pt idx="3">
                  <c:v>QUEIJO MUSSARELA</c:v>
                </c:pt>
              </c:strCache>
            </c:strRef>
          </c:cat>
          <c:val>
            <c:numRef>
              <c:f>'[2]BANCO DE DADOS'!$D$7:$D$10</c:f>
              <c:numCache>
                <c:formatCode>General</c:formatCode>
                <c:ptCount val="4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1-480F-8160-518E9C9F0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71895984"/>
        <c:axId val="871898480"/>
      </c:barChart>
      <c:catAx>
        <c:axId val="871895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871898480"/>
        <c:crosses val="autoZero"/>
        <c:auto val="1"/>
        <c:lblAlgn val="ctr"/>
        <c:lblOffset val="100"/>
        <c:noMultiLvlLbl val="0"/>
      </c:catAx>
      <c:valAx>
        <c:axId val="871898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871895984"/>
        <c:crosses val="autoZero"/>
        <c:crossBetween val="between"/>
      </c:valAx>
      <c:spPr>
        <a:solidFill>
          <a:schemeClr val="tx2">
            <a:lumMod val="40000"/>
            <a:lumOff val="60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HOME_VENDAS!A1"/><Relationship Id="rId3" Type="http://schemas.openxmlformats.org/officeDocument/2006/relationships/hyperlink" Target="#PROD_HOME!A1"/><Relationship Id="rId7" Type="http://schemas.openxmlformats.org/officeDocument/2006/relationships/hyperlink" Target="#HOME_RH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hyperlink" Target="#HOME_COMPRAS!A1"/><Relationship Id="rId5" Type="http://schemas.openxmlformats.org/officeDocument/2006/relationships/hyperlink" Target="#HOME_ESTOQUE!A1"/><Relationship Id="rId4" Type="http://schemas.openxmlformats.org/officeDocument/2006/relationships/hyperlink" Target="#HOME_LOGISTICA!A1"/><Relationship Id="rId9" Type="http://schemas.openxmlformats.org/officeDocument/2006/relationships/hyperlink" Target="#HOME_FINANCAS!A1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6.png"/><Relationship Id="rId18" Type="http://schemas.openxmlformats.org/officeDocument/2006/relationships/hyperlink" Target="#HOME_RH!A1"/><Relationship Id="rId26" Type="http://schemas.microsoft.com/office/2007/relationships/hdphoto" Target="../media/hdphoto7.wdp"/><Relationship Id="rId3" Type="http://schemas.openxmlformats.org/officeDocument/2006/relationships/hyperlink" Target="#PRODU&#199;&#195;O_EQUIPES!A1"/><Relationship Id="rId21" Type="http://schemas.openxmlformats.org/officeDocument/2006/relationships/hyperlink" Target="#HOME_FINANCAS!A1"/><Relationship Id="rId34" Type="http://schemas.openxmlformats.org/officeDocument/2006/relationships/image" Target="../media/image13.png"/><Relationship Id="rId7" Type="http://schemas.openxmlformats.org/officeDocument/2006/relationships/image" Target="../media/image4.png"/><Relationship Id="rId12" Type="http://schemas.openxmlformats.org/officeDocument/2006/relationships/hyperlink" Target="#HOME_LOGISTICA!A1"/><Relationship Id="rId17" Type="http://schemas.microsoft.com/office/2007/relationships/hdphoto" Target="../media/hdphoto4.wdp"/><Relationship Id="rId25" Type="http://schemas.openxmlformats.org/officeDocument/2006/relationships/image" Target="../media/image10.png"/><Relationship Id="rId33" Type="http://schemas.openxmlformats.org/officeDocument/2006/relationships/hyperlink" Target="#PRODU&#199;&#195;O_CONSULTA!A1"/><Relationship Id="rId2" Type="http://schemas.openxmlformats.org/officeDocument/2006/relationships/hyperlink" Target="#PRODU&#199;&#195;O_LAN&#199;AMENTOS!A1"/><Relationship Id="rId16" Type="http://schemas.openxmlformats.org/officeDocument/2006/relationships/image" Target="../media/image7.png"/><Relationship Id="rId20" Type="http://schemas.microsoft.com/office/2007/relationships/hdphoto" Target="../media/hdphoto5.wdp"/><Relationship Id="rId29" Type="http://schemas.microsoft.com/office/2007/relationships/hdphoto" Target="../media/hdphoto8.wdp"/><Relationship Id="rId1" Type="http://schemas.openxmlformats.org/officeDocument/2006/relationships/hyperlink" Target="#PRODU&#199;&#195;O_REQUISI&#199;&#213;ES!A1"/><Relationship Id="rId6" Type="http://schemas.openxmlformats.org/officeDocument/2006/relationships/hyperlink" Target="#Home!A1"/><Relationship Id="rId11" Type="http://schemas.microsoft.com/office/2007/relationships/hdphoto" Target="../media/hdphoto2.wdp"/><Relationship Id="rId24" Type="http://schemas.openxmlformats.org/officeDocument/2006/relationships/hyperlink" Target="#HOME_COMPRAS!A1"/><Relationship Id="rId32" Type="http://schemas.microsoft.com/office/2007/relationships/hdphoto" Target="../media/hdphoto9.wdp"/><Relationship Id="rId5" Type="http://schemas.openxmlformats.org/officeDocument/2006/relationships/hyperlink" Target="#NOVO!A1"/><Relationship Id="rId15" Type="http://schemas.openxmlformats.org/officeDocument/2006/relationships/hyperlink" Target="#HOME_ESTOQUE!A1"/><Relationship Id="rId23" Type="http://schemas.microsoft.com/office/2007/relationships/hdphoto" Target="../media/hdphoto6.wdp"/><Relationship Id="rId28" Type="http://schemas.openxmlformats.org/officeDocument/2006/relationships/image" Target="../media/image11.png"/><Relationship Id="rId10" Type="http://schemas.openxmlformats.org/officeDocument/2006/relationships/image" Target="../media/image5.png"/><Relationship Id="rId19" Type="http://schemas.openxmlformats.org/officeDocument/2006/relationships/image" Target="../media/image8.png"/><Relationship Id="rId31" Type="http://schemas.openxmlformats.org/officeDocument/2006/relationships/image" Target="../media/image12.png"/><Relationship Id="rId4" Type="http://schemas.openxmlformats.org/officeDocument/2006/relationships/image" Target="../media/image3.png"/><Relationship Id="rId9" Type="http://schemas.openxmlformats.org/officeDocument/2006/relationships/hyperlink" Target="#PROD_HOME!A1"/><Relationship Id="rId14" Type="http://schemas.microsoft.com/office/2007/relationships/hdphoto" Target="../media/hdphoto3.wdp"/><Relationship Id="rId22" Type="http://schemas.openxmlformats.org/officeDocument/2006/relationships/image" Target="../media/image9.png"/><Relationship Id="rId27" Type="http://schemas.openxmlformats.org/officeDocument/2006/relationships/hyperlink" Target="#HOME_VENDAS!A1"/><Relationship Id="rId30" Type="http://schemas.openxmlformats.org/officeDocument/2006/relationships/hyperlink" Target="#HOME_BD!A1"/><Relationship Id="rId35" Type="http://schemas.microsoft.com/office/2007/relationships/hdphoto" Target="../media/hdphoto10.wdp"/><Relationship Id="rId8" Type="http://schemas.microsoft.com/office/2007/relationships/hdphoto" Target="../media/hdphoto1.wdp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hyperlink" Target="#HOME_LOGISTICA!A1"/><Relationship Id="rId18" Type="http://schemas.microsoft.com/office/2007/relationships/hdphoto" Target="../media/hdphoto4.wdp"/><Relationship Id="rId26" Type="http://schemas.openxmlformats.org/officeDocument/2006/relationships/image" Target="../media/image10.png"/><Relationship Id="rId3" Type="http://schemas.openxmlformats.org/officeDocument/2006/relationships/hyperlink" Target="#PRODU&#199;&#195;O_LAN&#199;AMENTOS!A1"/><Relationship Id="rId21" Type="http://schemas.microsoft.com/office/2007/relationships/hdphoto" Target="../media/hdphoto5.wdp"/><Relationship Id="rId7" Type="http://schemas.openxmlformats.org/officeDocument/2006/relationships/hyperlink" Target="#Home!A1"/><Relationship Id="rId12" Type="http://schemas.microsoft.com/office/2007/relationships/hdphoto" Target="../media/hdphoto2.wdp"/><Relationship Id="rId17" Type="http://schemas.openxmlformats.org/officeDocument/2006/relationships/image" Target="../media/image7.png"/><Relationship Id="rId25" Type="http://schemas.openxmlformats.org/officeDocument/2006/relationships/hyperlink" Target="#HOME_COMPRAS!A1"/><Relationship Id="rId33" Type="http://schemas.microsoft.com/office/2007/relationships/hdphoto" Target="../media/hdphoto9.wdp"/><Relationship Id="rId2" Type="http://schemas.openxmlformats.org/officeDocument/2006/relationships/hyperlink" Target="#PRODU&#199;&#195;O_REQUISI&#199;&#213;ES!A1"/><Relationship Id="rId16" Type="http://schemas.openxmlformats.org/officeDocument/2006/relationships/hyperlink" Target="#HOME_ESTOQUE!A1"/><Relationship Id="rId20" Type="http://schemas.openxmlformats.org/officeDocument/2006/relationships/image" Target="../media/image8.png"/><Relationship Id="rId29" Type="http://schemas.openxmlformats.org/officeDocument/2006/relationships/image" Target="../media/image11.png"/><Relationship Id="rId1" Type="http://schemas.openxmlformats.org/officeDocument/2006/relationships/image" Target="../media/image3.png"/><Relationship Id="rId6" Type="http://schemas.openxmlformats.org/officeDocument/2006/relationships/hyperlink" Target="#NOVO!A1"/><Relationship Id="rId11" Type="http://schemas.openxmlformats.org/officeDocument/2006/relationships/image" Target="../media/image5.png"/><Relationship Id="rId24" Type="http://schemas.microsoft.com/office/2007/relationships/hdphoto" Target="../media/hdphoto6.wdp"/><Relationship Id="rId32" Type="http://schemas.openxmlformats.org/officeDocument/2006/relationships/image" Target="../media/image12.png"/><Relationship Id="rId5" Type="http://schemas.openxmlformats.org/officeDocument/2006/relationships/hyperlink" Target="#PRODU&#199;&#195;O_CONSULTA!A1"/><Relationship Id="rId15" Type="http://schemas.microsoft.com/office/2007/relationships/hdphoto" Target="../media/hdphoto3.wdp"/><Relationship Id="rId23" Type="http://schemas.openxmlformats.org/officeDocument/2006/relationships/image" Target="../media/image9.png"/><Relationship Id="rId28" Type="http://schemas.openxmlformats.org/officeDocument/2006/relationships/hyperlink" Target="#HOME_VENDAS!A1"/><Relationship Id="rId10" Type="http://schemas.openxmlformats.org/officeDocument/2006/relationships/hyperlink" Target="#PROD_HOME!A1"/><Relationship Id="rId19" Type="http://schemas.openxmlformats.org/officeDocument/2006/relationships/hyperlink" Target="#HOME_RH!A1"/><Relationship Id="rId31" Type="http://schemas.openxmlformats.org/officeDocument/2006/relationships/hyperlink" Target="#HOME_BD!A1"/><Relationship Id="rId4" Type="http://schemas.openxmlformats.org/officeDocument/2006/relationships/hyperlink" Target="#PRODU&#199;&#195;O_EQUIPES!A1"/><Relationship Id="rId9" Type="http://schemas.microsoft.com/office/2007/relationships/hdphoto" Target="../media/hdphoto1.wdp"/><Relationship Id="rId14" Type="http://schemas.openxmlformats.org/officeDocument/2006/relationships/image" Target="../media/image6.png"/><Relationship Id="rId22" Type="http://schemas.openxmlformats.org/officeDocument/2006/relationships/hyperlink" Target="#HOME_FINANCAS!A1"/><Relationship Id="rId27" Type="http://schemas.microsoft.com/office/2007/relationships/hdphoto" Target="../media/hdphoto7.wdp"/><Relationship Id="rId30" Type="http://schemas.microsoft.com/office/2007/relationships/hdphoto" Target="../media/hdphoto8.wdp"/><Relationship Id="rId8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hyperlink" Target="#HOME_LOGISTICA!A1"/><Relationship Id="rId18" Type="http://schemas.microsoft.com/office/2007/relationships/hdphoto" Target="../media/hdphoto4.wdp"/><Relationship Id="rId26" Type="http://schemas.openxmlformats.org/officeDocument/2006/relationships/image" Target="../media/image10.png"/><Relationship Id="rId3" Type="http://schemas.openxmlformats.org/officeDocument/2006/relationships/hyperlink" Target="#PRODU&#199;&#195;O_LAN&#199;AMENTOS!A1"/><Relationship Id="rId21" Type="http://schemas.microsoft.com/office/2007/relationships/hdphoto" Target="../media/hdphoto5.wdp"/><Relationship Id="rId7" Type="http://schemas.openxmlformats.org/officeDocument/2006/relationships/hyperlink" Target="#Home!A1"/><Relationship Id="rId12" Type="http://schemas.microsoft.com/office/2007/relationships/hdphoto" Target="../media/hdphoto2.wdp"/><Relationship Id="rId17" Type="http://schemas.openxmlformats.org/officeDocument/2006/relationships/image" Target="../media/image7.png"/><Relationship Id="rId25" Type="http://schemas.openxmlformats.org/officeDocument/2006/relationships/hyperlink" Target="#HOME_COMPRAS!A1"/><Relationship Id="rId33" Type="http://schemas.microsoft.com/office/2007/relationships/hdphoto" Target="../media/hdphoto9.wdp"/><Relationship Id="rId2" Type="http://schemas.openxmlformats.org/officeDocument/2006/relationships/hyperlink" Target="#PRODU&#199;&#195;O_REQUISI&#199;&#213;ES!A1"/><Relationship Id="rId16" Type="http://schemas.openxmlformats.org/officeDocument/2006/relationships/hyperlink" Target="#HOME_ESTOQUE!A1"/><Relationship Id="rId20" Type="http://schemas.openxmlformats.org/officeDocument/2006/relationships/image" Target="../media/image8.png"/><Relationship Id="rId29" Type="http://schemas.openxmlformats.org/officeDocument/2006/relationships/image" Target="../media/image11.png"/><Relationship Id="rId1" Type="http://schemas.openxmlformats.org/officeDocument/2006/relationships/image" Target="../media/image3.png"/><Relationship Id="rId6" Type="http://schemas.openxmlformats.org/officeDocument/2006/relationships/hyperlink" Target="#NOVO!A1"/><Relationship Id="rId11" Type="http://schemas.openxmlformats.org/officeDocument/2006/relationships/image" Target="../media/image5.png"/><Relationship Id="rId24" Type="http://schemas.microsoft.com/office/2007/relationships/hdphoto" Target="../media/hdphoto6.wdp"/><Relationship Id="rId32" Type="http://schemas.openxmlformats.org/officeDocument/2006/relationships/image" Target="../media/image12.png"/><Relationship Id="rId5" Type="http://schemas.openxmlformats.org/officeDocument/2006/relationships/hyperlink" Target="#PRODU&#199;&#195;O_CONSULTA!A1"/><Relationship Id="rId15" Type="http://schemas.microsoft.com/office/2007/relationships/hdphoto" Target="../media/hdphoto3.wdp"/><Relationship Id="rId23" Type="http://schemas.openxmlformats.org/officeDocument/2006/relationships/image" Target="../media/image9.png"/><Relationship Id="rId28" Type="http://schemas.openxmlformats.org/officeDocument/2006/relationships/hyperlink" Target="#HOME_VENDAS!A1"/><Relationship Id="rId10" Type="http://schemas.openxmlformats.org/officeDocument/2006/relationships/hyperlink" Target="#PROD_HOME!A1"/><Relationship Id="rId19" Type="http://schemas.openxmlformats.org/officeDocument/2006/relationships/hyperlink" Target="#HOME_RH!A1"/><Relationship Id="rId31" Type="http://schemas.openxmlformats.org/officeDocument/2006/relationships/hyperlink" Target="#HOME_BD!A1"/><Relationship Id="rId4" Type="http://schemas.openxmlformats.org/officeDocument/2006/relationships/hyperlink" Target="#PRODU&#199;&#195;O_EQUIPES!A1"/><Relationship Id="rId9" Type="http://schemas.microsoft.com/office/2007/relationships/hdphoto" Target="../media/hdphoto1.wdp"/><Relationship Id="rId14" Type="http://schemas.openxmlformats.org/officeDocument/2006/relationships/image" Target="../media/image6.png"/><Relationship Id="rId22" Type="http://schemas.openxmlformats.org/officeDocument/2006/relationships/hyperlink" Target="#HOME_FINANCAS!A1"/><Relationship Id="rId27" Type="http://schemas.microsoft.com/office/2007/relationships/hdphoto" Target="../media/hdphoto7.wdp"/><Relationship Id="rId30" Type="http://schemas.microsoft.com/office/2007/relationships/hdphoto" Target="../media/hdphoto8.wdp"/><Relationship Id="rId8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hyperlink" Target="#HOME_LOGISTICA!A1"/><Relationship Id="rId18" Type="http://schemas.microsoft.com/office/2007/relationships/hdphoto" Target="../media/hdphoto4.wdp"/><Relationship Id="rId26" Type="http://schemas.openxmlformats.org/officeDocument/2006/relationships/image" Target="../media/image10.png"/><Relationship Id="rId3" Type="http://schemas.openxmlformats.org/officeDocument/2006/relationships/hyperlink" Target="#PRODU&#199;&#195;O_LAN&#199;AMENTOS!A1"/><Relationship Id="rId21" Type="http://schemas.microsoft.com/office/2007/relationships/hdphoto" Target="../media/hdphoto5.wdp"/><Relationship Id="rId7" Type="http://schemas.openxmlformats.org/officeDocument/2006/relationships/hyperlink" Target="#Home!A1"/><Relationship Id="rId12" Type="http://schemas.microsoft.com/office/2007/relationships/hdphoto" Target="../media/hdphoto2.wdp"/><Relationship Id="rId17" Type="http://schemas.openxmlformats.org/officeDocument/2006/relationships/image" Target="../media/image7.png"/><Relationship Id="rId25" Type="http://schemas.openxmlformats.org/officeDocument/2006/relationships/hyperlink" Target="#HOME_COMPRAS!A1"/><Relationship Id="rId33" Type="http://schemas.microsoft.com/office/2007/relationships/hdphoto" Target="../media/hdphoto9.wdp"/><Relationship Id="rId2" Type="http://schemas.openxmlformats.org/officeDocument/2006/relationships/hyperlink" Target="#PRODU&#199;&#195;O_REQUISI&#199;&#213;ES!A1"/><Relationship Id="rId16" Type="http://schemas.openxmlformats.org/officeDocument/2006/relationships/hyperlink" Target="#HOME_ESTOQUE!A1"/><Relationship Id="rId20" Type="http://schemas.openxmlformats.org/officeDocument/2006/relationships/image" Target="../media/image8.png"/><Relationship Id="rId29" Type="http://schemas.openxmlformats.org/officeDocument/2006/relationships/image" Target="../media/image11.png"/><Relationship Id="rId1" Type="http://schemas.openxmlformats.org/officeDocument/2006/relationships/image" Target="../media/image3.png"/><Relationship Id="rId6" Type="http://schemas.openxmlformats.org/officeDocument/2006/relationships/hyperlink" Target="#NOVO!A1"/><Relationship Id="rId11" Type="http://schemas.openxmlformats.org/officeDocument/2006/relationships/image" Target="../media/image5.png"/><Relationship Id="rId24" Type="http://schemas.microsoft.com/office/2007/relationships/hdphoto" Target="../media/hdphoto6.wdp"/><Relationship Id="rId32" Type="http://schemas.openxmlformats.org/officeDocument/2006/relationships/image" Target="../media/image12.png"/><Relationship Id="rId5" Type="http://schemas.openxmlformats.org/officeDocument/2006/relationships/hyperlink" Target="#PRODU&#199;&#195;O_CONSULTA!A1"/><Relationship Id="rId15" Type="http://schemas.microsoft.com/office/2007/relationships/hdphoto" Target="../media/hdphoto3.wdp"/><Relationship Id="rId23" Type="http://schemas.openxmlformats.org/officeDocument/2006/relationships/image" Target="../media/image9.png"/><Relationship Id="rId28" Type="http://schemas.openxmlformats.org/officeDocument/2006/relationships/hyperlink" Target="#HOME_VENDAS!A1"/><Relationship Id="rId10" Type="http://schemas.openxmlformats.org/officeDocument/2006/relationships/hyperlink" Target="#PROD_HOME!A1"/><Relationship Id="rId19" Type="http://schemas.openxmlformats.org/officeDocument/2006/relationships/hyperlink" Target="#HOME_RH!A1"/><Relationship Id="rId31" Type="http://schemas.openxmlformats.org/officeDocument/2006/relationships/hyperlink" Target="#HOME_BD!A1"/><Relationship Id="rId4" Type="http://schemas.openxmlformats.org/officeDocument/2006/relationships/hyperlink" Target="#PRODU&#199;&#195;O_EQUIPES!A1"/><Relationship Id="rId9" Type="http://schemas.microsoft.com/office/2007/relationships/hdphoto" Target="../media/hdphoto1.wdp"/><Relationship Id="rId14" Type="http://schemas.openxmlformats.org/officeDocument/2006/relationships/image" Target="../media/image6.png"/><Relationship Id="rId22" Type="http://schemas.openxmlformats.org/officeDocument/2006/relationships/hyperlink" Target="#HOME_FINANCAS!A1"/><Relationship Id="rId27" Type="http://schemas.microsoft.com/office/2007/relationships/hdphoto" Target="../media/hdphoto7.wdp"/><Relationship Id="rId30" Type="http://schemas.microsoft.com/office/2007/relationships/hdphoto" Target="../media/hdphoto8.wdp"/><Relationship Id="rId8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3" Type="http://schemas.microsoft.com/office/2007/relationships/hdphoto" Target="../media/hdphoto2.wdp"/><Relationship Id="rId18" Type="http://schemas.openxmlformats.org/officeDocument/2006/relationships/image" Target="../media/image7.png"/><Relationship Id="rId26" Type="http://schemas.openxmlformats.org/officeDocument/2006/relationships/hyperlink" Target="#HOME_COMPRAS!A1"/><Relationship Id="rId3" Type="http://schemas.openxmlformats.org/officeDocument/2006/relationships/hyperlink" Target="#PRODU&#199;&#195;O_REQUISI&#199;&#213;ES!A1"/><Relationship Id="rId21" Type="http://schemas.openxmlformats.org/officeDocument/2006/relationships/image" Target="../media/image8.png"/><Relationship Id="rId34" Type="http://schemas.microsoft.com/office/2007/relationships/hdphoto" Target="../media/hdphoto9.wdp"/><Relationship Id="rId7" Type="http://schemas.openxmlformats.org/officeDocument/2006/relationships/hyperlink" Target="#NOVO!A1"/><Relationship Id="rId12" Type="http://schemas.openxmlformats.org/officeDocument/2006/relationships/image" Target="../media/image5.png"/><Relationship Id="rId17" Type="http://schemas.openxmlformats.org/officeDocument/2006/relationships/hyperlink" Target="#HOME_ESTOQUE!A1"/><Relationship Id="rId25" Type="http://schemas.microsoft.com/office/2007/relationships/hdphoto" Target="../media/hdphoto6.wdp"/><Relationship Id="rId33" Type="http://schemas.openxmlformats.org/officeDocument/2006/relationships/image" Target="../media/image12.png"/><Relationship Id="rId2" Type="http://schemas.openxmlformats.org/officeDocument/2006/relationships/image" Target="../media/image3.png"/><Relationship Id="rId16" Type="http://schemas.microsoft.com/office/2007/relationships/hdphoto" Target="../media/hdphoto3.wdp"/><Relationship Id="rId20" Type="http://schemas.openxmlformats.org/officeDocument/2006/relationships/hyperlink" Target="#HOME_RH!A1"/><Relationship Id="rId29" Type="http://schemas.openxmlformats.org/officeDocument/2006/relationships/hyperlink" Target="#HOME_VENDAS!A1"/><Relationship Id="rId1" Type="http://schemas.openxmlformats.org/officeDocument/2006/relationships/chart" Target="../charts/chart1.xml"/><Relationship Id="rId6" Type="http://schemas.openxmlformats.org/officeDocument/2006/relationships/hyperlink" Target="#PRODU&#199;&#195;O_CONSULTA!A1"/><Relationship Id="rId11" Type="http://schemas.openxmlformats.org/officeDocument/2006/relationships/hyperlink" Target="#PROD_HOME!A1"/><Relationship Id="rId24" Type="http://schemas.openxmlformats.org/officeDocument/2006/relationships/image" Target="../media/image9.png"/><Relationship Id="rId32" Type="http://schemas.openxmlformats.org/officeDocument/2006/relationships/hyperlink" Target="#HOME_BD!A1"/><Relationship Id="rId5" Type="http://schemas.openxmlformats.org/officeDocument/2006/relationships/hyperlink" Target="#PRODU&#199;&#195;O_EQUIPES!A1"/><Relationship Id="rId15" Type="http://schemas.openxmlformats.org/officeDocument/2006/relationships/image" Target="../media/image6.png"/><Relationship Id="rId23" Type="http://schemas.openxmlformats.org/officeDocument/2006/relationships/hyperlink" Target="#HOME_FINANCAS!A1"/><Relationship Id="rId28" Type="http://schemas.microsoft.com/office/2007/relationships/hdphoto" Target="../media/hdphoto7.wdp"/><Relationship Id="rId10" Type="http://schemas.microsoft.com/office/2007/relationships/hdphoto" Target="../media/hdphoto1.wdp"/><Relationship Id="rId19" Type="http://schemas.microsoft.com/office/2007/relationships/hdphoto" Target="../media/hdphoto4.wdp"/><Relationship Id="rId31" Type="http://schemas.microsoft.com/office/2007/relationships/hdphoto" Target="../media/hdphoto8.wdp"/><Relationship Id="rId4" Type="http://schemas.openxmlformats.org/officeDocument/2006/relationships/hyperlink" Target="#PRODU&#199;&#195;O_LAN&#199;AMENTOS!A1"/><Relationship Id="rId9" Type="http://schemas.openxmlformats.org/officeDocument/2006/relationships/image" Target="../media/image4.png"/><Relationship Id="rId14" Type="http://schemas.openxmlformats.org/officeDocument/2006/relationships/hyperlink" Target="#HOME_LOGISTICA!A1"/><Relationship Id="rId22" Type="http://schemas.microsoft.com/office/2007/relationships/hdphoto" Target="../media/hdphoto5.wdp"/><Relationship Id="rId27" Type="http://schemas.openxmlformats.org/officeDocument/2006/relationships/image" Target="../media/image10.png"/><Relationship Id="rId30" Type="http://schemas.openxmlformats.org/officeDocument/2006/relationships/image" Target="../media/image11.png"/><Relationship Id="rId8" Type="http://schemas.openxmlformats.org/officeDocument/2006/relationships/hyperlink" Target="#Home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5" Type="http://schemas.microsoft.com/office/2007/relationships/hdphoto" Target="../media/hdphoto10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24" Type="http://schemas.openxmlformats.org/officeDocument/2006/relationships/image" Target="../media/image13.png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17.png"/><Relationship Id="rId17" Type="http://schemas.microsoft.com/office/2007/relationships/hdphoto" Target="../media/hdphoto6.wdp"/><Relationship Id="rId25" Type="http://schemas.microsoft.com/office/2007/relationships/hdphoto" Target="../media/hdphoto10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24" Type="http://schemas.openxmlformats.org/officeDocument/2006/relationships/image" Target="../media/image13.png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1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1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5" Type="http://schemas.microsoft.com/office/2007/relationships/hdphoto" Target="../media/hdphoto10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24" Type="http://schemas.openxmlformats.org/officeDocument/2006/relationships/image" Target="../media/image13.png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18.png"/><Relationship Id="rId22" Type="http://schemas.openxmlformats.org/officeDocument/2006/relationships/image" Target="../media/image12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18.png"/><Relationship Id="rId22" Type="http://schemas.openxmlformats.org/officeDocument/2006/relationships/image" Target="../media/image12.pn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18.png"/><Relationship Id="rId22" Type="http://schemas.openxmlformats.org/officeDocument/2006/relationships/image" Target="../media/image12.png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18.png"/><Relationship Id="rId22" Type="http://schemas.openxmlformats.org/officeDocument/2006/relationships/image" Target="../media/image12.png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18.png"/><Relationship Id="rId22" Type="http://schemas.openxmlformats.org/officeDocument/2006/relationships/image" Target="../media/image12.png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5" Type="http://schemas.microsoft.com/office/2007/relationships/hdphoto" Target="../media/hdphoto10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9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24" Type="http://schemas.openxmlformats.org/officeDocument/2006/relationships/image" Target="../media/image13.png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9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9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9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9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9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2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5" Type="http://schemas.microsoft.com/office/2007/relationships/hdphoto" Target="../media/hdphoto10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24" Type="http://schemas.openxmlformats.org/officeDocument/2006/relationships/image" Target="../media/image13.png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2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2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2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24" Type="http://schemas.openxmlformats.org/officeDocument/2006/relationships/hyperlink" Target="#SOLICITA&#199;&#213;ES!A1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2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3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2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24" Type="http://schemas.openxmlformats.org/officeDocument/2006/relationships/hyperlink" Target="#N_CSOLICITAR!A1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3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2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3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5" Type="http://schemas.microsoft.com/office/2007/relationships/hdphoto" Target="../media/hdphoto10.wdp"/><Relationship Id="rId2" Type="http://schemas.openxmlformats.org/officeDocument/2006/relationships/image" Target="../media/image14.png"/><Relationship Id="rId16" Type="http://schemas.openxmlformats.org/officeDocument/2006/relationships/image" Target="../media/image21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24" Type="http://schemas.openxmlformats.org/officeDocument/2006/relationships/image" Target="../media/image13.png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3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21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3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21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3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1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21.png"/><Relationship Id="rId20" Type="http://schemas.openxmlformats.org/officeDocument/2006/relationships/image" Target="../media/image11.png"/><Relationship Id="rId1" Type="http://schemas.openxmlformats.org/officeDocument/2006/relationships/hyperlink" Target="#Produ&#231;&#227;o!A1"/><Relationship Id="rId6" Type="http://schemas.openxmlformats.org/officeDocument/2006/relationships/image" Target="../media/image4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9.wdp"/><Relationship Id="rId10" Type="http://schemas.openxmlformats.org/officeDocument/2006/relationships/image" Target="../media/image6.png"/><Relationship Id="rId19" Type="http://schemas.microsoft.com/office/2007/relationships/hdphoto" Target="../media/hdphoto7.wdp"/><Relationship Id="rId4" Type="http://schemas.openxmlformats.org/officeDocument/2006/relationships/image" Target="../media/image3.png"/><Relationship Id="rId9" Type="http://schemas.microsoft.com/office/2007/relationships/hdphoto" Target="../media/hdphoto2.wdp"/><Relationship Id="rId14" Type="http://schemas.openxmlformats.org/officeDocument/2006/relationships/image" Target="../media/image8.png"/><Relationship Id="rId22" Type="http://schemas.openxmlformats.org/officeDocument/2006/relationships/image" Target="../media/image12.png"/></Relationships>
</file>

<file path=xl/drawings/_rels/drawing40.xml.rels><?xml version="1.0" encoding="UTF-8" standalone="yes"?>
<Relationships xmlns="http://schemas.openxmlformats.org/package/2006/relationships"><Relationship Id="rId8" Type="http://schemas.openxmlformats.org/officeDocument/2006/relationships/hyperlink" Target="#Home!A1"/><Relationship Id="rId13" Type="http://schemas.openxmlformats.org/officeDocument/2006/relationships/image" Target="../media/image6.png"/><Relationship Id="rId18" Type="http://schemas.microsoft.com/office/2007/relationships/hdphoto" Target="../media/hdphoto5.wdp"/><Relationship Id="rId26" Type="http://schemas.microsoft.com/office/2007/relationships/hdphoto" Target="../media/hdphoto9.wdp"/><Relationship Id="rId3" Type="http://schemas.microsoft.com/office/2007/relationships/hdphoto" Target="../media/hdphoto11.wdp"/><Relationship Id="rId21" Type="http://schemas.openxmlformats.org/officeDocument/2006/relationships/image" Target="../media/image10.png"/><Relationship Id="rId7" Type="http://schemas.openxmlformats.org/officeDocument/2006/relationships/hyperlink" Target="#'B2'!A1"/><Relationship Id="rId12" Type="http://schemas.microsoft.com/office/2007/relationships/hdphoto" Target="../media/hdphoto2.wdp"/><Relationship Id="rId17" Type="http://schemas.openxmlformats.org/officeDocument/2006/relationships/image" Target="../media/image8.png"/><Relationship Id="rId25" Type="http://schemas.openxmlformats.org/officeDocument/2006/relationships/image" Target="../media/image22.png"/><Relationship Id="rId2" Type="http://schemas.openxmlformats.org/officeDocument/2006/relationships/image" Target="../media/image14.png"/><Relationship Id="rId16" Type="http://schemas.microsoft.com/office/2007/relationships/hdphoto" Target="../media/hdphoto4.wdp"/><Relationship Id="rId20" Type="http://schemas.microsoft.com/office/2007/relationships/hdphoto" Target="../media/hdphoto6.wdp"/><Relationship Id="rId1" Type="http://schemas.openxmlformats.org/officeDocument/2006/relationships/hyperlink" Target="#Produ&#231;&#227;o!A1"/><Relationship Id="rId6" Type="http://schemas.openxmlformats.org/officeDocument/2006/relationships/hyperlink" Target="#'B3'!A1"/><Relationship Id="rId11" Type="http://schemas.openxmlformats.org/officeDocument/2006/relationships/image" Target="../media/image15.png"/><Relationship Id="rId24" Type="http://schemas.microsoft.com/office/2007/relationships/hdphoto" Target="../media/hdphoto8.wdp"/><Relationship Id="rId5" Type="http://schemas.openxmlformats.org/officeDocument/2006/relationships/hyperlink" Target="#'B1'!A1"/><Relationship Id="rId15" Type="http://schemas.openxmlformats.org/officeDocument/2006/relationships/image" Target="../media/image7.png"/><Relationship Id="rId23" Type="http://schemas.openxmlformats.org/officeDocument/2006/relationships/image" Target="../media/image11.png"/><Relationship Id="rId28" Type="http://schemas.microsoft.com/office/2007/relationships/hdphoto" Target="../media/hdphoto10.wdp"/><Relationship Id="rId10" Type="http://schemas.microsoft.com/office/2007/relationships/hdphoto" Target="../media/hdphoto1.wdp"/><Relationship Id="rId19" Type="http://schemas.openxmlformats.org/officeDocument/2006/relationships/image" Target="../media/image9.png"/><Relationship Id="rId4" Type="http://schemas.openxmlformats.org/officeDocument/2006/relationships/image" Target="../media/image3.png"/><Relationship Id="rId9" Type="http://schemas.openxmlformats.org/officeDocument/2006/relationships/image" Target="../media/image4.png"/><Relationship Id="rId14" Type="http://schemas.microsoft.com/office/2007/relationships/hdphoto" Target="../media/hdphoto3.wdp"/><Relationship Id="rId22" Type="http://schemas.microsoft.com/office/2007/relationships/hdphoto" Target="../media/hdphoto7.wdp"/><Relationship Id="rId27" Type="http://schemas.openxmlformats.org/officeDocument/2006/relationships/image" Target="../media/image13.png"/></Relationships>
</file>

<file path=xl/drawings/_rels/drawing41.xml.rels><?xml version="1.0" encoding="UTF-8" standalone="yes"?>
<Relationships xmlns="http://schemas.openxmlformats.org/package/2006/relationships"><Relationship Id="rId8" Type="http://schemas.openxmlformats.org/officeDocument/2006/relationships/hyperlink" Target="#Home!A1"/><Relationship Id="rId13" Type="http://schemas.openxmlformats.org/officeDocument/2006/relationships/image" Target="../media/image6.png"/><Relationship Id="rId18" Type="http://schemas.microsoft.com/office/2007/relationships/hdphoto" Target="../media/hdphoto5.wdp"/><Relationship Id="rId26" Type="http://schemas.microsoft.com/office/2007/relationships/hdphoto" Target="../media/hdphoto9.wdp"/><Relationship Id="rId3" Type="http://schemas.microsoft.com/office/2007/relationships/hdphoto" Target="../media/hdphoto11.wdp"/><Relationship Id="rId21" Type="http://schemas.openxmlformats.org/officeDocument/2006/relationships/image" Target="../media/image10.png"/><Relationship Id="rId7" Type="http://schemas.openxmlformats.org/officeDocument/2006/relationships/hyperlink" Target="#'B2'!A1"/><Relationship Id="rId12" Type="http://schemas.microsoft.com/office/2007/relationships/hdphoto" Target="../media/hdphoto2.wdp"/><Relationship Id="rId17" Type="http://schemas.openxmlformats.org/officeDocument/2006/relationships/image" Target="../media/image8.png"/><Relationship Id="rId25" Type="http://schemas.openxmlformats.org/officeDocument/2006/relationships/image" Target="../media/image22.png"/><Relationship Id="rId2" Type="http://schemas.openxmlformats.org/officeDocument/2006/relationships/image" Target="../media/image14.png"/><Relationship Id="rId16" Type="http://schemas.microsoft.com/office/2007/relationships/hdphoto" Target="../media/hdphoto4.wdp"/><Relationship Id="rId20" Type="http://schemas.microsoft.com/office/2007/relationships/hdphoto" Target="../media/hdphoto6.wdp"/><Relationship Id="rId1" Type="http://schemas.openxmlformats.org/officeDocument/2006/relationships/hyperlink" Target="#Produ&#231;&#227;o!A1"/><Relationship Id="rId6" Type="http://schemas.openxmlformats.org/officeDocument/2006/relationships/hyperlink" Target="#'B3'!A1"/><Relationship Id="rId11" Type="http://schemas.openxmlformats.org/officeDocument/2006/relationships/image" Target="../media/image15.png"/><Relationship Id="rId24" Type="http://schemas.microsoft.com/office/2007/relationships/hdphoto" Target="../media/hdphoto8.wdp"/><Relationship Id="rId5" Type="http://schemas.openxmlformats.org/officeDocument/2006/relationships/hyperlink" Target="#'B1'!A1"/><Relationship Id="rId15" Type="http://schemas.openxmlformats.org/officeDocument/2006/relationships/image" Target="../media/image7.png"/><Relationship Id="rId23" Type="http://schemas.openxmlformats.org/officeDocument/2006/relationships/image" Target="../media/image11.png"/><Relationship Id="rId10" Type="http://schemas.microsoft.com/office/2007/relationships/hdphoto" Target="../media/hdphoto1.wdp"/><Relationship Id="rId19" Type="http://schemas.openxmlformats.org/officeDocument/2006/relationships/image" Target="../media/image9.png"/><Relationship Id="rId4" Type="http://schemas.openxmlformats.org/officeDocument/2006/relationships/image" Target="../media/image3.png"/><Relationship Id="rId9" Type="http://schemas.openxmlformats.org/officeDocument/2006/relationships/image" Target="../media/image4.png"/><Relationship Id="rId14" Type="http://schemas.microsoft.com/office/2007/relationships/hdphoto" Target="../media/hdphoto3.wdp"/><Relationship Id="rId22" Type="http://schemas.microsoft.com/office/2007/relationships/hdphoto" Target="../media/hdphoto7.wdp"/></Relationships>
</file>

<file path=xl/drawings/_rels/drawing42.xml.rels><?xml version="1.0" encoding="UTF-8" standalone="yes"?>
<Relationships xmlns="http://schemas.openxmlformats.org/package/2006/relationships"><Relationship Id="rId8" Type="http://schemas.openxmlformats.org/officeDocument/2006/relationships/hyperlink" Target="#Home!A1"/><Relationship Id="rId13" Type="http://schemas.openxmlformats.org/officeDocument/2006/relationships/image" Target="../media/image6.png"/><Relationship Id="rId18" Type="http://schemas.microsoft.com/office/2007/relationships/hdphoto" Target="../media/hdphoto5.wdp"/><Relationship Id="rId26" Type="http://schemas.microsoft.com/office/2007/relationships/hdphoto" Target="../media/hdphoto9.wdp"/><Relationship Id="rId3" Type="http://schemas.microsoft.com/office/2007/relationships/hdphoto" Target="../media/hdphoto11.wdp"/><Relationship Id="rId21" Type="http://schemas.openxmlformats.org/officeDocument/2006/relationships/image" Target="../media/image10.png"/><Relationship Id="rId7" Type="http://schemas.openxmlformats.org/officeDocument/2006/relationships/hyperlink" Target="#'B2'!A1"/><Relationship Id="rId12" Type="http://schemas.microsoft.com/office/2007/relationships/hdphoto" Target="../media/hdphoto2.wdp"/><Relationship Id="rId17" Type="http://schemas.openxmlformats.org/officeDocument/2006/relationships/image" Target="../media/image8.png"/><Relationship Id="rId25" Type="http://schemas.openxmlformats.org/officeDocument/2006/relationships/image" Target="../media/image22.png"/><Relationship Id="rId2" Type="http://schemas.openxmlformats.org/officeDocument/2006/relationships/image" Target="../media/image14.png"/><Relationship Id="rId16" Type="http://schemas.microsoft.com/office/2007/relationships/hdphoto" Target="../media/hdphoto4.wdp"/><Relationship Id="rId20" Type="http://schemas.microsoft.com/office/2007/relationships/hdphoto" Target="../media/hdphoto6.wdp"/><Relationship Id="rId1" Type="http://schemas.openxmlformats.org/officeDocument/2006/relationships/hyperlink" Target="#Produ&#231;&#227;o!A1"/><Relationship Id="rId6" Type="http://schemas.openxmlformats.org/officeDocument/2006/relationships/hyperlink" Target="#'B3'!A1"/><Relationship Id="rId11" Type="http://schemas.openxmlformats.org/officeDocument/2006/relationships/image" Target="../media/image15.png"/><Relationship Id="rId24" Type="http://schemas.microsoft.com/office/2007/relationships/hdphoto" Target="../media/hdphoto8.wdp"/><Relationship Id="rId5" Type="http://schemas.openxmlformats.org/officeDocument/2006/relationships/hyperlink" Target="#'B1'!A1"/><Relationship Id="rId15" Type="http://schemas.openxmlformats.org/officeDocument/2006/relationships/image" Target="../media/image7.png"/><Relationship Id="rId23" Type="http://schemas.openxmlformats.org/officeDocument/2006/relationships/image" Target="../media/image11.png"/><Relationship Id="rId10" Type="http://schemas.microsoft.com/office/2007/relationships/hdphoto" Target="../media/hdphoto1.wdp"/><Relationship Id="rId19" Type="http://schemas.openxmlformats.org/officeDocument/2006/relationships/image" Target="../media/image9.png"/><Relationship Id="rId4" Type="http://schemas.openxmlformats.org/officeDocument/2006/relationships/image" Target="../media/image3.png"/><Relationship Id="rId9" Type="http://schemas.openxmlformats.org/officeDocument/2006/relationships/image" Target="../media/image4.png"/><Relationship Id="rId14" Type="http://schemas.microsoft.com/office/2007/relationships/hdphoto" Target="../media/hdphoto3.wdp"/><Relationship Id="rId22" Type="http://schemas.microsoft.com/office/2007/relationships/hdphoto" Target="../media/hdphoto7.wdp"/></Relationships>
</file>

<file path=xl/drawings/_rels/drawing43.xml.rels><?xml version="1.0" encoding="UTF-8" standalone="yes"?>
<Relationships xmlns="http://schemas.openxmlformats.org/package/2006/relationships"><Relationship Id="rId8" Type="http://schemas.openxmlformats.org/officeDocument/2006/relationships/hyperlink" Target="#Home!A1"/><Relationship Id="rId13" Type="http://schemas.openxmlformats.org/officeDocument/2006/relationships/image" Target="../media/image6.png"/><Relationship Id="rId18" Type="http://schemas.microsoft.com/office/2007/relationships/hdphoto" Target="../media/hdphoto5.wdp"/><Relationship Id="rId26" Type="http://schemas.microsoft.com/office/2007/relationships/hdphoto" Target="../media/hdphoto9.wdp"/><Relationship Id="rId3" Type="http://schemas.microsoft.com/office/2007/relationships/hdphoto" Target="../media/hdphoto11.wdp"/><Relationship Id="rId21" Type="http://schemas.openxmlformats.org/officeDocument/2006/relationships/image" Target="../media/image10.png"/><Relationship Id="rId7" Type="http://schemas.openxmlformats.org/officeDocument/2006/relationships/hyperlink" Target="#'B2'!A1"/><Relationship Id="rId12" Type="http://schemas.microsoft.com/office/2007/relationships/hdphoto" Target="../media/hdphoto2.wdp"/><Relationship Id="rId17" Type="http://schemas.openxmlformats.org/officeDocument/2006/relationships/image" Target="../media/image8.png"/><Relationship Id="rId25" Type="http://schemas.openxmlformats.org/officeDocument/2006/relationships/image" Target="../media/image22.png"/><Relationship Id="rId2" Type="http://schemas.openxmlformats.org/officeDocument/2006/relationships/image" Target="../media/image14.png"/><Relationship Id="rId16" Type="http://schemas.microsoft.com/office/2007/relationships/hdphoto" Target="../media/hdphoto4.wdp"/><Relationship Id="rId20" Type="http://schemas.microsoft.com/office/2007/relationships/hdphoto" Target="../media/hdphoto6.wdp"/><Relationship Id="rId1" Type="http://schemas.openxmlformats.org/officeDocument/2006/relationships/hyperlink" Target="#Produ&#231;&#227;o!A1"/><Relationship Id="rId6" Type="http://schemas.openxmlformats.org/officeDocument/2006/relationships/hyperlink" Target="#'B3'!A1"/><Relationship Id="rId11" Type="http://schemas.openxmlformats.org/officeDocument/2006/relationships/image" Target="../media/image15.png"/><Relationship Id="rId24" Type="http://schemas.microsoft.com/office/2007/relationships/hdphoto" Target="../media/hdphoto8.wdp"/><Relationship Id="rId5" Type="http://schemas.openxmlformats.org/officeDocument/2006/relationships/hyperlink" Target="#'B1'!A1"/><Relationship Id="rId15" Type="http://schemas.openxmlformats.org/officeDocument/2006/relationships/image" Target="../media/image7.png"/><Relationship Id="rId23" Type="http://schemas.openxmlformats.org/officeDocument/2006/relationships/image" Target="../media/image11.png"/><Relationship Id="rId10" Type="http://schemas.microsoft.com/office/2007/relationships/hdphoto" Target="../media/hdphoto1.wdp"/><Relationship Id="rId19" Type="http://schemas.openxmlformats.org/officeDocument/2006/relationships/image" Target="../media/image9.png"/><Relationship Id="rId4" Type="http://schemas.openxmlformats.org/officeDocument/2006/relationships/image" Target="../media/image3.png"/><Relationship Id="rId9" Type="http://schemas.openxmlformats.org/officeDocument/2006/relationships/image" Target="../media/image4.png"/><Relationship Id="rId14" Type="http://schemas.microsoft.com/office/2007/relationships/hdphoto" Target="../media/hdphoto3.wdp"/><Relationship Id="rId22" Type="http://schemas.microsoft.com/office/2007/relationships/hdphoto" Target="../media/hdphoto7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27</xdr:col>
      <xdr:colOff>266700</xdr:colOff>
      <xdr:row>0</xdr:row>
      <xdr:rowOff>95250</xdr:rowOff>
    </xdr:from>
    <xdr:to>
      <xdr:col>31</xdr:col>
      <xdr:colOff>514350</xdr:colOff>
      <xdr:row>0</xdr:row>
      <xdr:rowOff>762000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AD69FCF3-1DA2-47EC-9F09-304C9D0E1885}"/>
            </a:ext>
            <a:ext uri="{147F2762-F138-4A5C-976F-8EAC2B608ADB}">
              <a16:predDERef xmlns:a16="http://schemas.microsoft.com/office/drawing/2014/main" pred="{1A271014-B2D8-45B4-B4B0-3B0A451723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1896" b="31628"/>
        <a:stretch/>
      </xdr:blipFill>
      <xdr:spPr>
        <a:xfrm>
          <a:off x="16725900" y="95250"/>
          <a:ext cx="2686050" cy="666750"/>
        </a:xfrm>
        <a:prstGeom prst="rect">
          <a:avLst/>
        </a:prstGeom>
      </xdr:spPr>
    </xdr:pic>
    <xdr:clientData/>
  </xdr:twoCellAnchor>
  <xdr:twoCellAnchor>
    <xdr:from>
      <xdr:col>14</xdr:col>
      <xdr:colOff>243840</xdr:colOff>
      <xdr:row>0</xdr:row>
      <xdr:rowOff>691749</xdr:rowOff>
    </xdr:from>
    <xdr:to>
      <xdr:col>45</xdr:col>
      <xdr:colOff>182297</xdr:colOff>
      <xdr:row>76</xdr:row>
      <xdr:rowOff>2543080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4DC50336-6207-48CC-B652-28021BA5AAA2}"/>
            </a:ext>
          </a:extLst>
        </xdr:cNvPr>
        <xdr:cNvGrpSpPr/>
      </xdr:nvGrpSpPr>
      <xdr:grpSpPr>
        <a:xfrm>
          <a:off x="8778240" y="691749"/>
          <a:ext cx="18836057" cy="17319931"/>
          <a:chOff x="8778240" y="691749"/>
          <a:chExt cx="18836057" cy="17319931"/>
        </a:xfrm>
      </xdr:grpSpPr>
      <xdr:pic>
        <xdr:nvPicPr>
          <xdr:cNvPr id="9" name="Imagem 8">
            <a:extLst>
              <a:ext uri="{FF2B5EF4-FFF2-40B4-BE49-F238E27FC236}">
                <a16:creationId xmlns:a16="http://schemas.microsoft.com/office/drawing/2014/main" id="{1A271014-B2D8-45B4-B4B0-3B0A45172369}"/>
              </a:ext>
              <a:ext uri="{147F2762-F138-4A5C-976F-8EAC2B608ADB}">
                <a16:predDERef xmlns:a16="http://schemas.microsoft.com/office/drawing/2014/main" pred="{45AAF0B4-637A-42E1-B7D2-A6E46851A7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330773" y="691749"/>
            <a:ext cx="11730990" cy="12432269"/>
          </a:xfrm>
          <a:prstGeom prst="rect">
            <a:avLst/>
          </a:prstGeom>
        </xdr:spPr>
      </xdr:pic>
      <xdr:grpSp>
        <xdr:nvGrpSpPr>
          <xdr:cNvPr id="3" name="Agrupar 2">
            <a:extLst>
              <a:ext uri="{FF2B5EF4-FFF2-40B4-BE49-F238E27FC236}">
                <a16:creationId xmlns:a16="http://schemas.microsoft.com/office/drawing/2014/main" id="{511367E3-8F60-4615-B9E2-D76D9B6A4A1B}"/>
              </a:ext>
            </a:extLst>
          </xdr:cNvPr>
          <xdr:cNvGrpSpPr/>
        </xdr:nvGrpSpPr>
        <xdr:grpSpPr>
          <a:xfrm>
            <a:off x="8778240" y="12809825"/>
            <a:ext cx="18836057" cy="5201855"/>
            <a:chOff x="9753600" y="12480070"/>
            <a:chExt cx="18836057" cy="5150610"/>
          </a:xfrm>
        </xdr:grpSpPr>
        <xdr:sp macro="" textlink="">
          <xdr:nvSpPr>
            <xdr:cNvPr id="2" name="Retângulo 1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A27A1621-AD33-48E5-89E5-B6102C9218FB}"/>
                </a:ext>
                <a:ext uri="{147F2762-F138-4A5C-976F-8EAC2B608ADB}">
                  <a16:predDERef xmlns:a16="http://schemas.microsoft.com/office/drawing/2014/main" pred="{AD69FCF3-1DA2-47EC-9F09-304C9D0E1885}"/>
                </a:ext>
              </a:extLst>
            </xdr:cNvPr>
            <xdr:cNvSpPr/>
          </xdr:nvSpPr>
          <xdr:spPr>
            <a:xfrm>
              <a:off x="9753600" y="12480070"/>
              <a:ext cx="4815257" cy="1206718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en-US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sp macro="" textlink="">
          <xdr:nvSpPr>
            <xdr:cNvPr id="6" name="Retângulo 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3363B077-DCDF-4B4E-A3A8-52F50972E801}"/>
                </a:ext>
              </a:extLst>
            </xdr:cNvPr>
            <xdr:cNvSpPr/>
          </xdr:nvSpPr>
          <xdr:spPr>
            <a:xfrm>
              <a:off x="16764000" y="12483880"/>
              <a:ext cx="4815257" cy="1199098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LOGISTICA</a:t>
              </a:r>
            </a:p>
          </xdr:txBody>
        </xdr:sp>
        <xdr:sp macro="" textlink="">
          <xdr:nvSpPr>
            <xdr:cNvPr id="7" name="Retângulo 6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85E8954-78EF-4B2D-BBED-94A436E7D4D0}"/>
                </a:ext>
              </a:extLst>
            </xdr:cNvPr>
            <xdr:cNvSpPr/>
          </xdr:nvSpPr>
          <xdr:spPr>
            <a:xfrm>
              <a:off x="9753600" y="14384018"/>
              <a:ext cx="4815257" cy="1228094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sp macro="" textlink="">
          <xdr:nvSpPr>
            <xdr:cNvPr id="8" name="Retângulo 7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F6759180-4857-4EE9-8789-D8F31EA8B3E6}"/>
                </a:ext>
              </a:extLst>
            </xdr:cNvPr>
            <xdr:cNvSpPr/>
          </xdr:nvSpPr>
          <xdr:spPr>
            <a:xfrm>
              <a:off x="16764000" y="14387828"/>
              <a:ext cx="4815257" cy="1220474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sp macro="" textlink="">
          <xdr:nvSpPr>
            <xdr:cNvPr id="10" name="Retângulo 9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9CADF97B-1A34-49F5-99DD-83EA451C57DC}"/>
                </a:ext>
              </a:extLst>
            </xdr:cNvPr>
            <xdr:cNvSpPr/>
          </xdr:nvSpPr>
          <xdr:spPr>
            <a:xfrm>
              <a:off x="23774400" y="12488468"/>
              <a:ext cx="4815257" cy="1189923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sp macro="" textlink="">
          <xdr:nvSpPr>
            <xdr:cNvPr id="12" name="Retângulo 11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39E58D9A-D3C6-44CA-863A-BE15222A48E2}"/>
                </a:ext>
              </a:extLst>
            </xdr:cNvPr>
            <xdr:cNvSpPr/>
          </xdr:nvSpPr>
          <xdr:spPr>
            <a:xfrm>
              <a:off x="23774400" y="14387828"/>
              <a:ext cx="4815257" cy="1220474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sp macro="" textlink="">
          <xdr:nvSpPr>
            <xdr:cNvPr id="13" name="Retângulo 1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975C4812-9CB2-4690-BF00-90C779BCD6B5}"/>
                </a:ext>
              </a:extLst>
            </xdr:cNvPr>
            <xdr:cNvSpPr/>
          </xdr:nvSpPr>
          <xdr:spPr>
            <a:xfrm>
              <a:off x="16764000" y="16411762"/>
              <a:ext cx="4815257" cy="1218918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</xdr:grpSp>
    </xdr:grpSp>
    <xdr:clientData/>
  </xdr:twoCellAnchor>
  <xdr:twoCellAnchor>
    <xdr:from>
      <xdr:col>1</xdr:col>
      <xdr:colOff>131620</xdr:colOff>
      <xdr:row>0</xdr:row>
      <xdr:rowOff>226870</xdr:rowOff>
    </xdr:from>
    <xdr:to>
      <xdr:col>2</xdr:col>
      <xdr:colOff>533400</xdr:colOff>
      <xdr:row>1</xdr:row>
      <xdr:rowOff>476250</xdr:rowOff>
    </xdr:to>
    <xdr:sp macro="[0]!BotaoComLogin" textlink="">
      <xdr:nvSpPr>
        <xdr:cNvPr id="15" name="Círculo: Vazio 14">
          <a:extLst>
            <a:ext uri="{FF2B5EF4-FFF2-40B4-BE49-F238E27FC236}">
              <a16:creationId xmlns:a16="http://schemas.microsoft.com/office/drawing/2014/main" id="{712F380D-EDC3-4A67-AE6E-466806333055}"/>
            </a:ext>
          </a:extLst>
        </xdr:cNvPr>
        <xdr:cNvSpPr/>
      </xdr:nvSpPr>
      <xdr:spPr>
        <a:xfrm>
          <a:off x="741220" y="226870"/>
          <a:ext cx="1011380" cy="1030430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285750</xdr:colOff>
      <xdr:row>3</xdr:row>
      <xdr:rowOff>182682</xdr:rowOff>
    </xdr:from>
    <xdr:to>
      <xdr:col>4</xdr:col>
      <xdr:colOff>1245042</xdr:colOff>
      <xdr:row>5</xdr:row>
      <xdr:rowOff>171449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DED53B5-C183-41B7-BA06-5BE376667DEA}"/>
            </a:ext>
          </a:extLst>
        </xdr:cNvPr>
        <xdr:cNvSpPr/>
      </xdr:nvSpPr>
      <xdr:spPr>
        <a:xfrm>
          <a:off x="285750" y="132568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11</xdr:col>
      <xdr:colOff>640200</xdr:colOff>
      <xdr:row>3</xdr:row>
      <xdr:rowOff>201150</xdr:rowOff>
    </xdr:from>
    <xdr:to>
      <xdr:col>16</xdr:col>
      <xdr:colOff>190500</xdr:colOff>
      <xdr:row>6</xdr:row>
      <xdr:rowOff>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67F52C2-48CF-4196-809B-4AE5DB20EA06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94840" y="1344150"/>
          <a:ext cx="341364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6</xdr:col>
      <xdr:colOff>590550</xdr:colOff>
      <xdr:row>3</xdr:row>
      <xdr:rowOff>201150</xdr:rowOff>
    </xdr:from>
    <xdr:to>
      <xdr:col>9</xdr:col>
      <xdr:colOff>1074300</xdr:colOff>
      <xdr:row>6</xdr:row>
      <xdr:rowOff>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7F89333-0539-4CA4-88F2-E7EEF6CC4FFF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55970" y="1344150"/>
          <a:ext cx="340983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0</xdr:col>
      <xdr:colOff>0</xdr:colOff>
      <xdr:row>0</xdr:row>
      <xdr:rowOff>11303</xdr:rowOff>
    </xdr:from>
    <xdr:to>
      <xdr:col>3</xdr:col>
      <xdr:colOff>438150</xdr:colOff>
      <xdr:row>3</xdr:row>
      <xdr:rowOff>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91782F4-EB70-4DBA-8CC1-4C0769B2A28A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1303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>
    <xdr:from>
      <xdr:col>4</xdr:col>
      <xdr:colOff>28572</xdr:colOff>
      <xdr:row>0</xdr:row>
      <xdr:rowOff>0</xdr:rowOff>
    </xdr:from>
    <xdr:to>
      <xdr:col>38</xdr:col>
      <xdr:colOff>1</xdr:colOff>
      <xdr:row>3</xdr:row>
      <xdr:rowOff>0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16D287D3-4807-4A0F-984C-BB16708EF0E8}"/>
            </a:ext>
          </a:extLst>
        </xdr:cNvPr>
        <xdr:cNvGrpSpPr/>
      </xdr:nvGrpSpPr>
      <xdr:grpSpPr>
        <a:xfrm>
          <a:off x="2466972" y="0"/>
          <a:ext cx="30546679" cy="1162050"/>
          <a:chOff x="2466972" y="0"/>
          <a:chExt cx="30546679" cy="1162050"/>
        </a:xfrm>
      </xdr:grpSpPr>
      <xdr:grpSp>
        <xdr:nvGrpSpPr>
          <xdr:cNvPr id="7" name="Agrupar 6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26A7F4E-F530-414A-9273-C0FDFC6DCC15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66972" y="0"/>
            <a:ext cx="1460344" cy="1162050"/>
            <a:chOff x="1993654" y="0"/>
            <a:chExt cx="1022595" cy="781538"/>
          </a:xfrm>
        </xdr:grpSpPr>
        <xdr:sp macro="" textlink="">
          <xdr:nvSpPr>
            <xdr:cNvPr id="8" name="Retângulo 7">
              <a:extLst>
                <a:ext uri="{FF2B5EF4-FFF2-40B4-BE49-F238E27FC236}">
                  <a16:creationId xmlns:a16="http://schemas.microsoft.com/office/drawing/2014/main" id="{207A8015-998C-4FEA-843D-55B4B608E98A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9" name="Imagem 9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9AFE44F8-489A-4CE1-A152-AF1EBC7F4EB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BEBA8EAE-BF5A-486C-A8C5-ECC9F3942E4B}">
                  <a14:imgProps xmlns:a14="http://schemas.microsoft.com/office/drawing/2010/main">
                    <a14:imgLayer r:embed="rId8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10" name="CaixaDeTexto 9">
              <a:extLst>
                <a:ext uri="{FF2B5EF4-FFF2-40B4-BE49-F238E27FC236}">
                  <a16:creationId xmlns:a16="http://schemas.microsoft.com/office/drawing/2014/main" id="{E426D7F3-2B26-4441-A417-F50BAAD0D766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54" name="Agrupar 53">
            <a:extLst>
              <a:ext uri="{FF2B5EF4-FFF2-40B4-BE49-F238E27FC236}">
                <a16:creationId xmlns:a16="http://schemas.microsoft.com/office/drawing/2014/main" id="{B172B695-19DD-498D-BAAB-21310DBDEB28}"/>
              </a:ext>
            </a:extLst>
          </xdr:cNvPr>
          <xdr:cNvGrpSpPr/>
        </xdr:nvGrpSpPr>
        <xdr:grpSpPr>
          <a:xfrm>
            <a:off x="5966368" y="0"/>
            <a:ext cx="1591474" cy="1162050"/>
            <a:chOff x="5966368" y="0"/>
            <a:chExt cx="1591474" cy="1162050"/>
          </a:xfrm>
        </xdr:grpSpPr>
        <xdr:sp macro="" textlink="">
          <xdr:nvSpPr>
            <xdr:cNvPr id="12" name="Retângulo 11">
              <a:extLst>
                <a:ext uri="{FF2B5EF4-FFF2-40B4-BE49-F238E27FC236}">
                  <a16:creationId xmlns:a16="http://schemas.microsoft.com/office/drawing/2014/main" id="{97D5B4D5-3363-4E37-BA46-39C3DE1D9B2F}"/>
                </a:ext>
              </a:extLst>
            </xdr:cNvPr>
            <xdr:cNvSpPr/>
          </xdr:nvSpPr>
          <xdr:spPr>
            <a:xfrm>
              <a:off x="6033036" y="0"/>
              <a:ext cx="145528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3" name="CaixaDeTexto 12">
              <a:extLst>
                <a:ext uri="{FF2B5EF4-FFF2-40B4-BE49-F238E27FC236}">
                  <a16:creationId xmlns:a16="http://schemas.microsoft.com/office/drawing/2014/main" id="{3C1136C4-A9E9-40AF-8916-13637D787547}"/>
                </a:ext>
              </a:extLst>
            </xdr:cNvPr>
            <xdr:cNvSpPr txBox="1"/>
          </xdr:nvSpPr>
          <xdr:spPr>
            <a:xfrm rot="10800000" flipH="1" flipV="1">
              <a:off x="5966368" y="765583"/>
              <a:ext cx="1591474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14" name="Imagem 17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A929A630-52E2-41BF-B754-2CE7ECD802F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63094" y="126203"/>
              <a:ext cx="595173" cy="619129"/>
            </a:xfrm>
            <a:prstGeom prst="rect">
              <a:avLst/>
            </a:prstGeom>
            <a:solidFill>
              <a:schemeClr val="bg1"/>
            </a:solidFill>
          </xdr:spPr>
        </xdr:pic>
      </xdr:grpSp>
      <xdr:grpSp>
        <xdr:nvGrpSpPr>
          <xdr:cNvPr id="53" name="Agrupar 52">
            <a:extLst>
              <a:ext uri="{FF2B5EF4-FFF2-40B4-BE49-F238E27FC236}">
                <a16:creationId xmlns:a16="http://schemas.microsoft.com/office/drawing/2014/main" id="{B84FFBE2-2D3D-4B8A-AF60-1A6BA4956774}"/>
              </a:ext>
            </a:extLst>
          </xdr:cNvPr>
          <xdr:cNvGrpSpPr/>
        </xdr:nvGrpSpPr>
        <xdr:grpSpPr>
          <a:xfrm>
            <a:off x="9596894" y="0"/>
            <a:ext cx="1598566" cy="1162050"/>
            <a:chOff x="9596894" y="0"/>
            <a:chExt cx="1598566" cy="1162050"/>
          </a:xfrm>
        </xdr:grpSpPr>
        <xdr:sp macro="" textlink="">
          <xdr:nvSpPr>
            <xdr:cNvPr id="16" name="Retângulo 15">
              <a:extLst>
                <a:ext uri="{FF2B5EF4-FFF2-40B4-BE49-F238E27FC236}">
                  <a16:creationId xmlns:a16="http://schemas.microsoft.com/office/drawing/2014/main" id="{5D47FB20-02D7-4AF8-8FA7-8AD925CE6A54}"/>
                </a:ext>
              </a:extLst>
            </xdr:cNvPr>
            <xdr:cNvSpPr/>
          </xdr:nvSpPr>
          <xdr:spPr>
            <a:xfrm>
              <a:off x="9646402" y="0"/>
              <a:ext cx="146177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7" name="CaixaDeTexto 16">
              <a:extLst>
                <a:ext uri="{FF2B5EF4-FFF2-40B4-BE49-F238E27FC236}">
                  <a16:creationId xmlns:a16="http://schemas.microsoft.com/office/drawing/2014/main" id="{6FE199B4-3C58-4457-A36E-F2B6ED8AABF7}"/>
                </a:ext>
              </a:extLst>
            </xdr:cNvPr>
            <xdr:cNvSpPr txBox="1"/>
          </xdr:nvSpPr>
          <xdr:spPr>
            <a:xfrm rot="10800000" flipH="1" flipV="1">
              <a:off x="9596894" y="765583"/>
              <a:ext cx="1598566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18" name="Imagem 17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6671D3E8-9D9A-4487-94A4-199B2826D5B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 cstate="print">
              <a:extLst>
                <a:ext uri="{BEBA8EAE-BF5A-486C-A8C5-ECC9F3942E4B}">
                  <a14:imgProps xmlns:a14="http://schemas.microsoft.com/office/drawing/2010/main">
                    <a14:imgLayer r:embed="rId14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78377" y="136274"/>
              <a:ext cx="597825" cy="598988"/>
            </a:xfrm>
            <a:prstGeom prst="rect">
              <a:avLst/>
            </a:prstGeom>
          </xdr:spPr>
        </xdr:pic>
      </xdr:grpSp>
      <xdr:grpSp>
        <xdr:nvGrpSpPr>
          <xdr:cNvPr id="52" name="Agrupar 51">
            <a:extLst>
              <a:ext uri="{FF2B5EF4-FFF2-40B4-BE49-F238E27FC236}">
                <a16:creationId xmlns:a16="http://schemas.microsoft.com/office/drawing/2014/main" id="{5D93BFE9-4B6F-4FB6-A745-909FB0783BA8}"/>
              </a:ext>
            </a:extLst>
          </xdr:cNvPr>
          <xdr:cNvGrpSpPr/>
        </xdr:nvGrpSpPr>
        <xdr:grpSpPr>
          <a:xfrm>
            <a:off x="13234512" y="0"/>
            <a:ext cx="1591491" cy="1162050"/>
            <a:chOff x="13234512" y="0"/>
            <a:chExt cx="1591491" cy="1162050"/>
          </a:xfrm>
        </xdr:grpSpPr>
        <xdr:sp macro="" textlink="">
          <xdr:nvSpPr>
            <xdr:cNvPr id="20" name="Retângulo 19">
              <a:extLst>
                <a:ext uri="{FF2B5EF4-FFF2-40B4-BE49-F238E27FC236}">
                  <a16:creationId xmlns:a16="http://schemas.microsoft.com/office/drawing/2014/main" id="{F3191B70-A22D-4609-B65C-83DE2A405C39}"/>
                </a:ext>
              </a:extLst>
            </xdr:cNvPr>
            <xdr:cNvSpPr/>
          </xdr:nvSpPr>
          <xdr:spPr>
            <a:xfrm>
              <a:off x="13283801" y="0"/>
              <a:ext cx="145530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1" name="CaixaDeTexto 20">
              <a:extLst>
                <a:ext uri="{FF2B5EF4-FFF2-40B4-BE49-F238E27FC236}">
                  <a16:creationId xmlns:a16="http://schemas.microsoft.com/office/drawing/2014/main" id="{54C4D125-7C8F-4B69-A607-E51111259829}"/>
                </a:ext>
              </a:extLst>
            </xdr:cNvPr>
            <xdr:cNvSpPr txBox="1"/>
          </xdr:nvSpPr>
          <xdr:spPr>
            <a:xfrm rot="10800000" flipH="1" flipV="1">
              <a:off x="13234512" y="765583"/>
              <a:ext cx="1591491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22" name="Imagem 17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DF942C0D-2238-495D-9291-F8703AE3AD5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3716329" y="136274"/>
              <a:ext cx="590248" cy="598988"/>
            </a:xfrm>
            <a:prstGeom prst="rect">
              <a:avLst/>
            </a:prstGeom>
          </xdr:spPr>
        </xdr:pic>
      </xdr:grpSp>
      <xdr:grpSp>
        <xdr:nvGrpSpPr>
          <xdr:cNvPr id="51" name="Agrupar 50">
            <a:extLst>
              <a:ext uri="{FF2B5EF4-FFF2-40B4-BE49-F238E27FC236}">
                <a16:creationId xmlns:a16="http://schemas.microsoft.com/office/drawing/2014/main" id="{E95D69B2-057D-49FE-AF96-F8BDA7E38C7D}"/>
              </a:ext>
            </a:extLst>
          </xdr:cNvPr>
          <xdr:cNvGrpSpPr/>
        </xdr:nvGrpSpPr>
        <xdr:grpSpPr>
          <a:xfrm>
            <a:off x="16865055" y="0"/>
            <a:ext cx="1612288" cy="1162050"/>
            <a:chOff x="16865055" y="0"/>
            <a:chExt cx="1612288" cy="1162050"/>
          </a:xfrm>
        </xdr:grpSpPr>
        <xdr:sp macro="" textlink="">
          <xdr:nvSpPr>
            <xdr:cNvPr id="24" name="Retângulo 23">
              <a:extLst>
                <a:ext uri="{FF2B5EF4-FFF2-40B4-BE49-F238E27FC236}">
                  <a16:creationId xmlns:a16="http://schemas.microsoft.com/office/drawing/2014/main" id="{F423B0B0-12CC-4AE4-8574-1678DD41A3C1}"/>
                </a:ext>
              </a:extLst>
            </xdr:cNvPr>
            <xdr:cNvSpPr/>
          </xdr:nvSpPr>
          <xdr:spPr>
            <a:xfrm>
              <a:off x="16914988" y="0"/>
              <a:ext cx="1474322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5" name="CaixaDeTexto 24">
              <a:extLst>
                <a:ext uri="{FF2B5EF4-FFF2-40B4-BE49-F238E27FC236}">
                  <a16:creationId xmlns:a16="http://schemas.microsoft.com/office/drawing/2014/main" id="{C3521594-A2B8-4731-9733-A3EF4935A566}"/>
                </a:ext>
              </a:extLst>
            </xdr:cNvPr>
            <xdr:cNvSpPr txBox="1"/>
          </xdr:nvSpPr>
          <xdr:spPr>
            <a:xfrm rot="10800000" flipH="1" flipV="1">
              <a:off x="16865055" y="765583"/>
              <a:ext cx="161228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26" name="Imagem 17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5E6986DB-A350-4067-89B3-BD5264423F0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9" cstate="print">
              <a:extLst>
                <a:ext uri="{BEBA8EAE-BF5A-486C-A8C5-ECC9F3942E4B}">
                  <a14:imgProps xmlns:a14="http://schemas.microsoft.com/office/drawing/2010/main">
                    <a14:imgLayer r:embed="rId20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7354362" y="136274"/>
              <a:ext cx="595572" cy="598988"/>
            </a:xfrm>
            <a:prstGeom prst="rect">
              <a:avLst/>
            </a:prstGeom>
          </xdr:spPr>
        </xdr:pic>
      </xdr:grpSp>
      <xdr:grpSp>
        <xdr:nvGrpSpPr>
          <xdr:cNvPr id="50" name="Agrupar 49">
            <a:extLst>
              <a:ext uri="{FF2B5EF4-FFF2-40B4-BE49-F238E27FC236}">
                <a16:creationId xmlns:a16="http://schemas.microsoft.com/office/drawing/2014/main" id="{9182FCB3-0B69-4253-AEE0-881090F99BFB}"/>
              </a:ext>
            </a:extLst>
          </xdr:cNvPr>
          <xdr:cNvGrpSpPr/>
        </xdr:nvGrpSpPr>
        <xdr:grpSpPr>
          <a:xfrm>
            <a:off x="20516395" y="0"/>
            <a:ext cx="1592907" cy="1162050"/>
            <a:chOff x="20516395" y="0"/>
            <a:chExt cx="1592907" cy="1162050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id="{B6F6AEC5-17B9-4ABE-9C98-73EF754BDF98}"/>
                </a:ext>
              </a:extLst>
            </xdr:cNvPr>
            <xdr:cNvSpPr/>
          </xdr:nvSpPr>
          <xdr:spPr>
            <a:xfrm>
              <a:off x="20565728" y="0"/>
              <a:ext cx="1456599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id="{E02F5C7C-69FE-47EC-AED0-C6790785590A}"/>
                </a:ext>
              </a:extLst>
            </xdr:cNvPr>
            <xdr:cNvSpPr txBox="1"/>
          </xdr:nvSpPr>
          <xdr:spPr>
            <a:xfrm rot="10800000" flipH="1" flipV="1">
              <a:off x="20516395" y="765583"/>
              <a:ext cx="159290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30" name="Imagem 17">
              <a:hlinkClick xmlns:r="http://schemas.openxmlformats.org/officeDocument/2006/relationships" r:id="rId21"/>
              <a:extLst>
                <a:ext uri="{FF2B5EF4-FFF2-40B4-BE49-F238E27FC236}">
                  <a16:creationId xmlns:a16="http://schemas.microsoft.com/office/drawing/2014/main" id="{5D17CD25-78B0-43ED-B656-2E56BC75187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1004683" y="136274"/>
              <a:ext cx="578687" cy="598988"/>
            </a:xfrm>
            <a:prstGeom prst="rect">
              <a:avLst/>
            </a:prstGeom>
          </xdr:spPr>
        </xdr:pic>
      </xdr:grpSp>
      <xdr:grpSp>
        <xdr:nvGrpSpPr>
          <xdr:cNvPr id="49" name="Agrupar 48">
            <a:extLst>
              <a:ext uri="{FF2B5EF4-FFF2-40B4-BE49-F238E27FC236}">
                <a16:creationId xmlns:a16="http://schemas.microsoft.com/office/drawing/2014/main" id="{C17925A5-E917-40B8-BE60-2B16F9DBEA4D}"/>
              </a:ext>
            </a:extLst>
          </xdr:cNvPr>
          <xdr:cNvGrpSpPr/>
        </xdr:nvGrpSpPr>
        <xdr:grpSpPr>
          <a:xfrm>
            <a:off x="24148354" y="0"/>
            <a:ext cx="1590058" cy="1162050"/>
            <a:chOff x="24148354" y="0"/>
            <a:chExt cx="1590058" cy="1162050"/>
          </a:xfrm>
        </xdr:grpSpPr>
        <xdr:sp macro="" textlink="">
          <xdr:nvSpPr>
            <xdr:cNvPr id="32" name="Retângulo 31">
              <a:extLst>
                <a:ext uri="{FF2B5EF4-FFF2-40B4-BE49-F238E27FC236}">
                  <a16:creationId xmlns:a16="http://schemas.microsoft.com/office/drawing/2014/main" id="{07D8D865-40A6-4E5C-B13A-4F9455E26A67}"/>
                </a:ext>
              </a:extLst>
            </xdr:cNvPr>
            <xdr:cNvSpPr/>
          </xdr:nvSpPr>
          <xdr:spPr>
            <a:xfrm>
              <a:off x="24197599" y="0"/>
              <a:ext cx="145399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3" name="CaixaDeTexto 32">
              <a:extLst>
                <a:ext uri="{FF2B5EF4-FFF2-40B4-BE49-F238E27FC236}">
                  <a16:creationId xmlns:a16="http://schemas.microsoft.com/office/drawing/2014/main" id="{71DA0D94-E380-4D04-A249-746CAC0394EA}"/>
                </a:ext>
              </a:extLst>
            </xdr:cNvPr>
            <xdr:cNvSpPr txBox="1"/>
          </xdr:nvSpPr>
          <xdr:spPr>
            <a:xfrm rot="10800000" flipH="1" flipV="1">
              <a:off x="24148354" y="765583"/>
              <a:ext cx="159005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34" name="Imagem 17">
              <a:hlinkClick xmlns:r="http://schemas.openxmlformats.org/officeDocument/2006/relationships" r:id="rId24"/>
              <a:extLst>
                <a:ext uri="{FF2B5EF4-FFF2-40B4-BE49-F238E27FC236}">
                  <a16:creationId xmlns:a16="http://schemas.microsoft.com/office/drawing/2014/main" id="{743019B0-36EA-4B63-9511-1547A6B0A8B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5" cstate="print">
              <a:extLst>
                <a:ext uri="{BEBA8EAE-BF5A-486C-A8C5-ECC9F3942E4B}">
                  <a14:imgProps xmlns:a14="http://schemas.microsoft.com/office/drawing/2010/main">
                    <a14:imgLayer r:embed="rId26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4635769" y="136274"/>
              <a:ext cx="577652" cy="598986"/>
            </a:xfrm>
            <a:prstGeom prst="rect">
              <a:avLst/>
            </a:prstGeom>
          </xdr:spPr>
        </xdr:pic>
      </xdr:grpSp>
      <xdr:grpSp>
        <xdr:nvGrpSpPr>
          <xdr:cNvPr id="48" name="Agrupar 47">
            <a:extLst>
              <a:ext uri="{FF2B5EF4-FFF2-40B4-BE49-F238E27FC236}">
                <a16:creationId xmlns:a16="http://schemas.microsoft.com/office/drawing/2014/main" id="{DBEFDCAC-84FB-4493-BDC3-B6570AD7872E}"/>
              </a:ext>
            </a:extLst>
          </xdr:cNvPr>
          <xdr:cNvGrpSpPr/>
        </xdr:nvGrpSpPr>
        <xdr:grpSpPr>
          <a:xfrm>
            <a:off x="27777464" y="0"/>
            <a:ext cx="1598568" cy="1162050"/>
            <a:chOff x="27777464" y="0"/>
            <a:chExt cx="1598568" cy="1162050"/>
          </a:xfrm>
        </xdr:grpSpPr>
        <xdr:sp macro="" textlink="">
          <xdr:nvSpPr>
            <xdr:cNvPr id="36" name="Retângulo 35">
              <a:extLst>
                <a:ext uri="{FF2B5EF4-FFF2-40B4-BE49-F238E27FC236}">
                  <a16:creationId xmlns:a16="http://schemas.microsoft.com/office/drawing/2014/main" id="{C27471FA-D743-4505-A0DB-A8E35D30293E}"/>
                </a:ext>
              </a:extLst>
            </xdr:cNvPr>
            <xdr:cNvSpPr/>
          </xdr:nvSpPr>
          <xdr:spPr>
            <a:xfrm>
              <a:off x="27826972" y="0"/>
              <a:ext cx="146177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7" name="CaixaDeTexto 36">
              <a:extLst>
                <a:ext uri="{FF2B5EF4-FFF2-40B4-BE49-F238E27FC236}">
                  <a16:creationId xmlns:a16="http://schemas.microsoft.com/office/drawing/2014/main" id="{7A9E31A4-7BB2-4CF5-BB6B-11079C967F19}"/>
                </a:ext>
              </a:extLst>
            </xdr:cNvPr>
            <xdr:cNvSpPr txBox="1"/>
          </xdr:nvSpPr>
          <xdr:spPr>
            <a:xfrm rot="10800000" flipH="1" flipV="1">
              <a:off x="27777464" y="765583"/>
              <a:ext cx="159856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38" name="Imagem 17">
              <a:hlinkClick xmlns:r="http://schemas.openxmlformats.org/officeDocument/2006/relationships" r:id="rId27"/>
              <a:extLst>
                <a:ext uri="{FF2B5EF4-FFF2-40B4-BE49-F238E27FC236}">
                  <a16:creationId xmlns:a16="http://schemas.microsoft.com/office/drawing/2014/main" id="{E3521283-844B-4585-B052-A7A9AD9501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8" cstate="print">
              <a:extLst>
                <a:ext uri="{BEBA8EAE-BF5A-486C-A8C5-ECC9F3942E4B}">
                  <a14:imgProps xmlns:a14="http://schemas.microsoft.com/office/drawing/2010/main">
                    <a14:imgLayer r:embed="rId2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8269927" y="136274"/>
              <a:ext cx="575863" cy="598986"/>
            </a:xfrm>
            <a:prstGeom prst="rect">
              <a:avLst/>
            </a:prstGeom>
          </xdr:spPr>
        </xdr:pic>
      </xdr:grpSp>
      <xdr:grpSp>
        <xdr:nvGrpSpPr>
          <xdr:cNvPr id="47" name="Agrupar 46">
            <a:extLst>
              <a:ext uri="{FF2B5EF4-FFF2-40B4-BE49-F238E27FC236}">
                <a16:creationId xmlns:a16="http://schemas.microsoft.com/office/drawing/2014/main" id="{EB756DCD-A276-4D36-98BA-39C99C878673}"/>
              </a:ext>
            </a:extLst>
          </xdr:cNvPr>
          <xdr:cNvGrpSpPr/>
        </xdr:nvGrpSpPr>
        <xdr:grpSpPr>
          <a:xfrm>
            <a:off x="31415083" y="0"/>
            <a:ext cx="1598568" cy="1162049"/>
            <a:chOff x="31415083" y="0"/>
            <a:chExt cx="1598568" cy="1162049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id="{5913CDF5-F23E-4402-9832-E17141C8B349}"/>
                </a:ext>
              </a:extLst>
            </xdr:cNvPr>
            <xdr:cNvSpPr/>
          </xdr:nvSpPr>
          <xdr:spPr>
            <a:xfrm>
              <a:off x="31464589" y="0"/>
              <a:ext cx="1461776" cy="1162049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90AC7DA7-BD6E-4514-9052-C3A1537B6404}"/>
                </a:ext>
              </a:extLst>
            </xdr:cNvPr>
            <xdr:cNvSpPr txBox="1"/>
          </xdr:nvSpPr>
          <xdr:spPr>
            <a:xfrm rot="10800000" flipH="1" flipV="1">
              <a:off x="31415083" y="765583"/>
              <a:ext cx="159856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42" name="Imagem 41" descr="Ícone do banco de dados (símbolo png) preto">
              <a:hlinkClick xmlns:r="http://schemas.openxmlformats.org/officeDocument/2006/relationships" r:id="rId30"/>
              <a:extLst>
                <a:ext uri="{FF2B5EF4-FFF2-40B4-BE49-F238E27FC236}">
                  <a16:creationId xmlns:a16="http://schemas.microsoft.com/office/drawing/2014/main" id="{F647CF7E-4060-4E42-95D6-CF60EB37FE22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31" cstate="print">
              <a:extLst>
                <a:ext uri="{BEBA8EAE-BF5A-486C-A8C5-ECC9F3942E4B}">
                  <a14:imgProps xmlns:a14="http://schemas.microsoft.com/office/drawing/2010/main">
                    <a14:imgLayer r:embed="rId32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31876898" y="105753"/>
              <a:ext cx="621399" cy="635293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 editAs="absolute">
    <xdr:from>
      <xdr:col>16</xdr:col>
      <xdr:colOff>1878450</xdr:colOff>
      <xdr:row>3</xdr:row>
      <xdr:rowOff>182100</xdr:rowOff>
    </xdr:from>
    <xdr:to>
      <xdr:col>19</xdr:col>
      <xdr:colOff>438150</xdr:colOff>
      <xdr:row>5</xdr:row>
      <xdr:rowOff>171450</xdr:rowOff>
    </xdr:to>
    <xdr:sp macro="" textlink="">
      <xdr:nvSpPr>
        <xdr:cNvPr id="44" name="Retângulo 43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920E6C6F-EC20-4CF1-A3A9-1F60DDD2792D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96430" y="1325100"/>
          <a:ext cx="342126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  <xdr:twoCellAnchor editAs="absolute">
    <xdr:from>
      <xdr:col>11</xdr:col>
      <xdr:colOff>190500</xdr:colOff>
      <xdr:row>12</xdr:row>
      <xdr:rowOff>190500</xdr:rowOff>
    </xdr:from>
    <xdr:to>
      <xdr:col>26</xdr:col>
      <xdr:colOff>361950</xdr:colOff>
      <xdr:row>65</xdr:row>
      <xdr:rowOff>160822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9DAAC046-4365-4D70-9D22-ACBD393646C5}"/>
            </a:ext>
            <a:ext uri="{147F2762-F138-4A5C-976F-8EAC2B608ADB}">
              <a16:predDERef xmlns:a16="http://schemas.microsoft.com/office/drawing/2014/main" pred="{45AAF0B4-637A-42E1-B7D2-A6E46851A7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>
          <a:alphaModFix amt="23000"/>
          <a:extLst>
            <a:ext uri="{BEBA8EAE-BF5A-486C-A8C5-ECC9F3942E4B}">
              <a14:imgProps xmlns:a14="http://schemas.microsoft.com/office/drawing/2010/main">
                <a14:imgLayer r:embed="rId35">
                  <a14:imgEffect>
                    <a14:brightnessContrast contrast="1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8158" b="8325"/>
        <a:stretch/>
      </xdr:blipFill>
      <xdr:spPr>
        <a:xfrm>
          <a:off x="10610850" y="3733800"/>
          <a:ext cx="15449550" cy="1395302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285750</xdr:colOff>
      <xdr:row>3</xdr:row>
      <xdr:rowOff>182682</xdr:rowOff>
    </xdr:from>
    <xdr:to>
      <xdr:col>4</xdr:col>
      <xdr:colOff>1245042</xdr:colOff>
      <xdr:row>5</xdr:row>
      <xdr:rowOff>171449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DD2119BC-029B-45F6-ACBF-276B04306587}"/>
            </a:ext>
          </a:extLst>
        </xdr:cNvPr>
        <xdr:cNvSpPr/>
      </xdr:nvSpPr>
      <xdr:spPr>
        <a:xfrm>
          <a:off x="285750" y="1344732"/>
          <a:ext cx="3397692" cy="76981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11</xdr:col>
      <xdr:colOff>640200</xdr:colOff>
      <xdr:row>3</xdr:row>
      <xdr:rowOff>201150</xdr:rowOff>
    </xdr:from>
    <xdr:to>
      <xdr:col>16</xdr:col>
      <xdr:colOff>190500</xdr:colOff>
      <xdr:row>6</xdr:row>
      <xdr:rowOff>0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3EB06236-FA36-42B1-8B0C-F2FD642A1758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60550" y="13632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6</xdr:col>
      <xdr:colOff>590550</xdr:colOff>
      <xdr:row>3</xdr:row>
      <xdr:rowOff>201150</xdr:rowOff>
    </xdr:from>
    <xdr:to>
      <xdr:col>9</xdr:col>
      <xdr:colOff>1074300</xdr:colOff>
      <xdr:row>6</xdr:row>
      <xdr:rowOff>0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873DC564-DAE4-4475-B1D9-F21F5DC9DCDD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48350" y="13632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18</xdr:col>
      <xdr:colOff>476983</xdr:colOff>
      <xdr:row>35</xdr:row>
      <xdr:rowOff>293668</xdr:rowOff>
    </xdr:from>
    <xdr:to>
      <xdr:col>19</xdr:col>
      <xdr:colOff>723900</xdr:colOff>
      <xdr:row>38</xdr:row>
      <xdr:rowOff>171450</xdr:rowOff>
    </xdr:to>
    <xdr:sp macro="[0]!REQTOP" textlink="">
      <xdr:nvSpPr>
        <xdr:cNvPr id="46" name="Retângulo: Cantos Arredondados 45">
          <a:extLst>
            <a:ext uri="{FF2B5EF4-FFF2-40B4-BE49-F238E27FC236}">
              <a16:creationId xmlns:a16="http://schemas.microsoft.com/office/drawing/2014/main" id="{4CAC7DE0-2950-4685-853F-0E7DD42F235F}"/>
            </a:ext>
          </a:extLst>
        </xdr:cNvPr>
        <xdr:cNvSpPr/>
      </xdr:nvSpPr>
      <xdr:spPr>
        <a:xfrm>
          <a:off x="18136333" y="13266718"/>
          <a:ext cx="1694717" cy="96363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Arial" panose="020B0604020202020204" pitchFamily="34" charset="0"/>
              <a:cs typeface="Arial" panose="020B0604020202020204" pitchFamily="34" charset="0"/>
            </a:rPr>
            <a:t>REQUISIÇÃO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11303</xdr:rowOff>
    </xdr:from>
    <xdr:to>
      <xdr:col>3</xdr:col>
      <xdr:colOff>438150</xdr:colOff>
      <xdr:row>3</xdr:row>
      <xdr:rowOff>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838FC62B-9EB5-0901-C91F-4E877B57F872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9252" t="39637" r="14079" b="25703"/>
        <a:stretch/>
      </xdr:blipFill>
      <xdr:spPr>
        <a:xfrm>
          <a:off x="0" y="11303"/>
          <a:ext cx="2266950" cy="115074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16</xdr:col>
      <xdr:colOff>1878450</xdr:colOff>
      <xdr:row>3</xdr:row>
      <xdr:rowOff>182100</xdr:rowOff>
    </xdr:from>
    <xdr:to>
      <xdr:col>19</xdr:col>
      <xdr:colOff>438150</xdr:colOff>
      <xdr:row>5</xdr:row>
      <xdr:rowOff>171450</xdr:rowOff>
    </xdr:to>
    <xdr:sp macro="" textlink="">
      <xdr:nvSpPr>
        <xdr:cNvPr id="48" name="Retângulo 47">
          <a:extLst>
            <a:ext uri="{FF2B5EF4-FFF2-40B4-BE49-F238E27FC236}">
              <a16:creationId xmlns:a16="http://schemas.microsoft.com/office/drawing/2014/main" id="{BBE69C41-F214-4756-A858-082FE8EB997D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46900" y="13441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  <xdr:twoCellAnchor editAs="absolute">
    <xdr:from>
      <xdr:col>0</xdr:col>
      <xdr:colOff>285750</xdr:colOff>
      <xdr:row>3</xdr:row>
      <xdr:rowOff>191082</xdr:rowOff>
    </xdr:from>
    <xdr:to>
      <xdr:col>4</xdr:col>
      <xdr:colOff>1245042</xdr:colOff>
      <xdr:row>5</xdr:row>
      <xdr:rowOff>179849</xdr:rowOff>
    </xdr:to>
    <xdr:sp macro="" textlink="">
      <xdr:nvSpPr>
        <xdr:cNvPr id="74" name="Retângulo 7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7A11772-7B3E-49EF-9DDA-F58CAB4A2E36}"/>
            </a:ext>
          </a:extLst>
        </xdr:cNvPr>
        <xdr:cNvSpPr/>
      </xdr:nvSpPr>
      <xdr:spPr>
        <a:xfrm>
          <a:off x="285750" y="1353132"/>
          <a:ext cx="3397692" cy="76981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11</xdr:col>
      <xdr:colOff>640200</xdr:colOff>
      <xdr:row>3</xdr:row>
      <xdr:rowOff>209550</xdr:rowOff>
    </xdr:from>
    <xdr:to>
      <xdr:col>16</xdr:col>
      <xdr:colOff>190500</xdr:colOff>
      <xdr:row>6</xdr:row>
      <xdr:rowOff>8400</xdr:rowOff>
    </xdr:to>
    <xdr:sp macro="" textlink="">
      <xdr:nvSpPr>
        <xdr:cNvPr id="75" name="Retângulo 7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2B69BB-D8D0-4B66-8E83-BEFC08A315AE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60550" y="13716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6</xdr:col>
      <xdr:colOff>590550</xdr:colOff>
      <xdr:row>3</xdr:row>
      <xdr:rowOff>209550</xdr:rowOff>
    </xdr:from>
    <xdr:to>
      <xdr:col>9</xdr:col>
      <xdr:colOff>1074300</xdr:colOff>
      <xdr:row>6</xdr:row>
      <xdr:rowOff>8400</xdr:rowOff>
    </xdr:to>
    <xdr:sp macro="" textlink="">
      <xdr:nvSpPr>
        <xdr:cNvPr id="76" name="Retângulo 7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93B34E-644D-4A72-8B05-7CF85F9C2B52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48350" y="13716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16</xdr:col>
      <xdr:colOff>1878450</xdr:colOff>
      <xdr:row>3</xdr:row>
      <xdr:rowOff>190500</xdr:rowOff>
    </xdr:from>
    <xdr:to>
      <xdr:col>19</xdr:col>
      <xdr:colOff>438150</xdr:colOff>
      <xdr:row>5</xdr:row>
      <xdr:rowOff>179850</xdr:rowOff>
    </xdr:to>
    <xdr:sp macro="" textlink="">
      <xdr:nvSpPr>
        <xdr:cNvPr id="77" name="Retângulo 7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3F365E5-3773-41C5-9622-5912D2D3D27A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46900" y="13525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37</xdr:col>
      <xdr:colOff>581029</xdr:colOff>
      <xdr:row>3</xdr:row>
      <xdr:rowOff>0</xdr:rowOff>
    </xdr:to>
    <xdr:grpSp>
      <xdr:nvGrpSpPr>
        <xdr:cNvPr id="78" name="Agrupar 77">
          <a:extLst>
            <a:ext uri="{FF2B5EF4-FFF2-40B4-BE49-F238E27FC236}">
              <a16:creationId xmlns:a16="http://schemas.microsoft.com/office/drawing/2014/main" id="{69C37D11-1918-4489-92D8-BE537B525F1B}"/>
            </a:ext>
          </a:extLst>
        </xdr:cNvPr>
        <xdr:cNvGrpSpPr/>
      </xdr:nvGrpSpPr>
      <xdr:grpSpPr>
        <a:xfrm>
          <a:off x="2438400" y="0"/>
          <a:ext cx="30546679" cy="1162050"/>
          <a:chOff x="2466972" y="0"/>
          <a:chExt cx="30546679" cy="1162050"/>
        </a:xfrm>
      </xdr:grpSpPr>
      <xdr:grpSp>
        <xdr:nvGrpSpPr>
          <xdr:cNvPr id="79" name="Agrupar 7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949DA68-9C3D-428F-BD5C-1AFDADB9BEB0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66972" y="0"/>
            <a:ext cx="1460344" cy="1162050"/>
            <a:chOff x="1993654" y="0"/>
            <a:chExt cx="1022595" cy="781538"/>
          </a:xfrm>
        </xdr:grpSpPr>
        <xdr:sp macro="" textlink="">
          <xdr:nvSpPr>
            <xdr:cNvPr id="112" name="Retângulo 111">
              <a:extLst>
                <a:ext uri="{FF2B5EF4-FFF2-40B4-BE49-F238E27FC236}">
                  <a16:creationId xmlns:a16="http://schemas.microsoft.com/office/drawing/2014/main" id="{7D7C959A-463E-4921-99CA-A3B769D4176E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113" name="Imagem 9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9D3310A7-1671-429C-94FE-580929DA505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114" name="CaixaDeTexto 113">
              <a:extLst>
                <a:ext uri="{FF2B5EF4-FFF2-40B4-BE49-F238E27FC236}">
                  <a16:creationId xmlns:a16="http://schemas.microsoft.com/office/drawing/2014/main" id="{D0BFDF53-39F1-4860-A8EC-3CFA5721BB8D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80" name="Agrupar 79">
            <a:extLst>
              <a:ext uri="{FF2B5EF4-FFF2-40B4-BE49-F238E27FC236}">
                <a16:creationId xmlns:a16="http://schemas.microsoft.com/office/drawing/2014/main" id="{1D195B3D-C7DA-458C-90A6-A4736215750A}"/>
              </a:ext>
            </a:extLst>
          </xdr:cNvPr>
          <xdr:cNvGrpSpPr/>
        </xdr:nvGrpSpPr>
        <xdr:grpSpPr>
          <a:xfrm>
            <a:off x="5966368" y="0"/>
            <a:ext cx="1591474" cy="1162050"/>
            <a:chOff x="5966368" y="0"/>
            <a:chExt cx="1591474" cy="1162050"/>
          </a:xfrm>
        </xdr:grpSpPr>
        <xdr:sp macro="" textlink="">
          <xdr:nvSpPr>
            <xdr:cNvPr id="109" name="Retângulo 108">
              <a:extLst>
                <a:ext uri="{FF2B5EF4-FFF2-40B4-BE49-F238E27FC236}">
                  <a16:creationId xmlns:a16="http://schemas.microsoft.com/office/drawing/2014/main" id="{C7A24234-FAF6-42BD-B886-93C3FACCBA33}"/>
                </a:ext>
              </a:extLst>
            </xdr:cNvPr>
            <xdr:cNvSpPr/>
          </xdr:nvSpPr>
          <xdr:spPr>
            <a:xfrm>
              <a:off x="6033036" y="0"/>
              <a:ext cx="145528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0" name="CaixaDeTexto 109">
              <a:extLst>
                <a:ext uri="{FF2B5EF4-FFF2-40B4-BE49-F238E27FC236}">
                  <a16:creationId xmlns:a16="http://schemas.microsoft.com/office/drawing/2014/main" id="{ACB9DC01-4501-411C-9526-47FAF57FD492}"/>
                </a:ext>
              </a:extLst>
            </xdr:cNvPr>
            <xdr:cNvSpPr txBox="1"/>
          </xdr:nvSpPr>
          <xdr:spPr>
            <a:xfrm rot="10800000" flipH="1" flipV="1">
              <a:off x="5966368" y="765583"/>
              <a:ext cx="1591474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111" name="Imagem 1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E1114F01-8E59-4D4A-8221-0F4A9A29CFC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BEBA8EAE-BF5A-486C-A8C5-ECC9F3942E4B}">
                  <a14:imgProps xmlns:a14="http://schemas.microsoft.com/office/drawing/2010/main">
                    <a14:imgLayer r:embed="rId12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63094" y="126203"/>
              <a:ext cx="595173" cy="619129"/>
            </a:xfrm>
            <a:prstGeom prst="rect">
              <a:avLst/>
            </a:prstGeom>
            <a:solidFill>
              <a:schemeClr val="bg1"/>
            </a:solidFill>
          </xdr:spPr>
        </xdr:pic>
      </xdr:grpSp>
      <xdr:grpSp>
        <xdr:nvGrpSpPr>
          <xdr:cNvPr id="81" name="Agrupar 80">
            <a:extLst>
              <a:ext uri="{FF2B5EF4-FFF2-40B4-BE49-F238E27FC236}">
                <a16:creationId xmlns:a16="http://schemas.microsoft.com/office/drawing/2014/main" id="{50B11AC7-5ED8-46F9-AC0B-7E8CA47A654E}"/>
              </a:ext>
            </a:extLst>
          </xdr:cNvPr>
          <xdr:cNvGrpSpPr/>
        </xdr:nvGrpSpPr>
        <xdr:grpSpPr>
          <a:xfrm>
            <a:off x="9596894" y="0"/>
            <a:ext cx="1598566" cy="1162050"/>
            <a:chOff x="9596894" y="0"/>
            <a:chExt cx="1598566" cy="1162050"/>
          </a:xfrm>
        </xdr:grpSpPr>
        <xdr:sp macro="" textlink="">
          <xdr:nvSpPr>
            <xdr:cNvPr id="106" name="Retângulo 105">
              <a:extLst>
                <a:ext uri="{FF2B5EF4-FFF2-40B4-BE49-F238E27FC236}">
                  <a16:creationId xmlns:a16="http://schemas.microsoft.com/office/drawing/2014/main" id="{11E3E4F3-E09A-4FC7-975E-DC1626961732}"/>
                </a:ext>
              </a:extLst>
            </xdr:cNvPr>
            <xdr:cNvSpPr/>
          </xdr:nvSpPr>
          <xdr:spPr>
            <a:xfrm>
              <a:off x="9646402" y="0"/>
              <a:ext cx="146177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7" name="CaixaDeTexto 106">
              <a:extLst>
                <a:ext uri="{FF2B5EF4-FFF2-40B4-BE49-F238E27FC236}">
                  <a16:creationId xmlns:a16="http://schemas.microsoft.com/office/drawing/2014/main" id="{0A876542-DC74-401B-9B18-DC9B9FAA8C4F}"/>
                </a:ext>
              </a:extLst>
            </xdr:cNvPr>
            <xdr:cNvSpPr txBox="1"/>
          </xdr:nvSpPr>
          <xdr:spPr>
            <a:xfrm rot="10800000" flipH="1" flipV="1">
              <a:off x="9596894" y="765583"/>
              <a:ext cx="1598566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108" name="Imagem 107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1BCE424-8678-440F-9DE2-BD06461EBC4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78377" y="136274"/>
              <a:ext cx="597825" cy="598988"/>
            </a:xfrm>
            <a:prstGeom prst="rect">
              <a:avLst/>
            </a:prstGeom>
          </xdr:spPr>
        </xdr:pic>
      </xdr:grpSp>
      <xdr:grpSp>
        <xdr:nvGrpSpPr>
          <xdr:cNvPr id="82" name="Agrupar 81">
            <a:extLst>
              <a:ext uri="{FF2B5EF4-FFF2-40B4-BE49-F238E27FC236}">
                <a16:creationId xmlns:a16="http://schemas.microsoft.com/office/drawing/2014/main" id="{929640AB-8AA1-473C-ACDA-2A4D636462E3}"/>
              </a:ext>
            </a:extLst>
          </xdr:cNvPr>
          <xdr:cNvGrpSpPr/>
        </xdr:nvGrpSpPr>
        <xdr:grpSpPr>
          <a:xfrm>
            <a:off x="13234512" y="0"/>
            <a:ext cx="1591491" cy="1162050"/>
            <a:chOff x="13234512" y="0"/>
            <a:chExt cx="1591491" cy="1162050"/>
          </a:xfrm>
        </xdr:grpSpPr>
        <xdr:sp macro="" textlink="">
          <xdr:nvSpPr>
            <xdr:cNvPr id="103" name="Retângulo 102">
              <a:extLst>
                <a:ext uri="{FF2B5EF4-FFF2-40B4-BE49-F238E27FC236}">
                  <a16:creationId xmlns:a16="http://schemas.microsoft.com/office/drawing/2014/main" id="{F883C91D-18A0-46ED-B500-EABEF0BA30D9}"/>
                </a:ext>
              </a:extLst>
            </xdr:cNvPr>
            <xdr:cNvSpPr/>
          </xdr:nvSpPr>
          <xdr:spPr>
            <a:xfrm>
              <a:off x="13283801" y="0"/>
              <a:ext cx="145530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4" name="CaixaDeTexto 103">
              <a:extLst>
                <a:ext uri="{FF2B5EF4-FFF2-40B4-BE49-F238E27FC236}">
                  <a16:creationId xmlns:a16="http://schemas.microsoft.com/office/drawing/2014/main" id="{44F47F77-7CBF-4170-A66E-99B58B3232C2}"/>
                </a:ext>
              </a:extLst>
            </xdr:cNvPr>
            <xdr:cNvSpPr txBox="1"/>
          </xdr:nvSpPr>
          <xdr:spPr>
            <a:xfrm rot="10800000" flipH="1" flipV="1">
              <a:off x="13234512" y="765583"/>
              <a:ext cx="1591491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105" name="Imagem 17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EA92BBF-D689-4EA9-AE8B-B0258D693F6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 cstate="print">
              <a:extLst>
                <a:ext uri="{BEBA8EAE-BF5A-486C-A8C5-ECC9F3942E4B}">
                  <a14:imgProps xmlns:a14="http://schemas.microsoft.com/office/drawing/2010/main">
                    <a14:imgLayer r:embed="rId18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3716329" y="136274"/>
              <a:ext cx="590248" cy="598988"/>
            </a:xfrm>
            <a:prstGeom prst="rect">
              <a:avLst/>
            </a:prstGeom>
          </xdr:spPr>
        </xdr:pic>
      </xdr:grpSp>
      <xdr:grpSp>
        <xdr:nvGrpSpPr>
          <xdr:cNvPr id="83" name="Agrupar 82">
            <a:extLst>
              <a:ext uri="{FF2B5EF4-FFF2-40B4-BE49-F238E27FC236}">
                <a16:creationId xmlns:a16="http://schemas.microsoft.com/office/drawing/2014/main" id="{81D630AA-B065-4259-A412-C08B6BF5EE09}"/>
              </a:ext>
            </a:extLst>
          </xdr:cNvPr>
          <xdr:cNvGrpSpPr/>
        </xdr:nvGrpSpPr>
        <xdr:grpSpPr>
          <a:xfrm>
            <a:off x="16865055" y="0"/>
            <a:ext cx="1612288" cy="1162050"/>
            <a:chOff x="16865055" y="0"/>
            <a:chExt cx="1612288" cy="1162050"/>
          </a:xfrm>
        </xdr:grpSpPr>
        <xdr:sp macro="" textlink="">
          <xdr:nvSpPr>
            <xdr:cNvPr id="100" name="Retângulo 99">
              <a:extLst>
                <a:ext uri="{FF2B5EF4-FFF2-40B4-BE49-F238E27FC236}">
                  <a16:creationId xmlns:a16="http://schemas.microsoft.com/office/drawing/2014/main" id="{8EB67026-0E6D-49EC-A309-99953CCAD5CF}"/>
                </a:ext>
              </a:extLst>
            </xdr:cNvPr>
            <xdr:cNvSpPr/>
          </xdr:nvSpPr>
          <xdr:spPr>
            <a:xfrm>
              <a:off x="16914988" y="0"/>
              <a:ext cx="1474322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1" name="CaixaDeTexto 100">
              <a:extLst>
                <a:ext uri="{FF2B5EF4-FFF2-40B4-BE49-F238E27FC236}">
                  <a16:creationId xmlns:a16="http://schemas.microsoft.com/office/drawing/2014/main" id="{FCD59C17-EC2F-4D07-909E-1A35E0308AD4}"/>
                </a:ext>
              </a:extLst>
            </xdr:cNvPr>
            <xdr:cNvSpPr txBox="1"/>
          </xdr:nvSpPr>
          <xdr:spPr>
            <a:xfrm rot="10800000" flipH="1" flipV="1">
              <a:off x="16865055" y="765583"/>
              <a:ext cx="161228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102" name="Imagem 17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5B5AE5B4-E050-4E42-AE9F-624CDAE8F2B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7354362" y="136274"/>
              <a:ext cx="595572" cy="598988"/>
            </a:xfrm>
            <a:prstGeom prst="rect">
              <a:avLst/>
            </a:prstGeom>
          </xdr:spPr>
        </xdr:pic>
      </xdr:grpSp>
      <xdr:grpSp>
        <xdr:nvGrpSpPr>
          <xdr:cNvPr id="84" name="Agrupar 83">
            <a:extLst>
              <a:ext uri="{FF2B5EF4-FFF2-40B4-BE49-F238E27FC236}">
                <a16:creationId xmlns:a16="http://schemas.microsoft.com/office/drawing/2014/main" id="{2D2840F1-5A0D-4BCD-BD1E-9C288A905B69}"/>
              </a:ext>
            </a:extLst>
          </xdr:cNvPr>
          <xdr:cNvGrpSpPr/>
        </xdr:nvGrpSpPr>
        <xdr:grpSpPr>
          <a:xfrm>
            <a:off x="20516395" y="0"/>
            <a:ext cx="1592907" cy="1162050"/>
            <a:chOff x="20516395" y="0"/>
            <a:chExt cx="1592907" cy="1162050"/>
          </a:xfrm>
        </xdr:grpSpPr>
        <xdr:sp macro="" textlink="">
          <xdr:nvSpPr>
            <xdr:cNvPr id="97" name="Retângulo 96">
              <a:extLst>
                <a:ext uri="{FF2B5EF4-FFF2-40B4-BE49-F238E27FC236}">
                  <a16:creationId xmlns:a16="http://schemas.microsoft.com/office/drawing/2014/main" id="{36E62163-21DC-4337-96F0-29856FC83CF5}"/>
                </a:ext>
              </a:extLst>
            </xdr:cNvPr>
            <xdr:cNvSpPr/>
          </xdr:nvSpPr>
          <xdr:spPr>
            <a:xfrm>
              <a:off x="20565728" y="0"/>
              <a:ext cx="1456599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8" name="CaixaDeTexto 97">
              <a:extLst>
                <a:ext uri="{FF2B5EF4-FFF2-40B4-BE49-F238E27FC236}">
                  <a16:creationId xmlns:a16="http://schemas.microsoft.com/office/drawing/2014/main" id="{54208E3B-34D1-4D5E-8278-8FFA25FAC31A}"/>
                </a:ext>
              </a:extLst>
            </xdr:cNvPr>
            <xdr:cNvSpPr txBox="1"/>
          </xdr:nvSpPr>
          <xdr:spPr>
            <a:xfrm rot="10800000" flipH="1" flipV="1">
              <a:off x="20516395" y="765583"/>
              <a:ext cx="159290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99" name="Imagem 17">
              <a:hlinkClick xmlns:r="http://schemas.openxmlformats.org/officeDocument/2006/relationships" r:id="rId22"/>
              <a:extLst>
                <a:ext uri="{FF2B5EF4-FFF2-40B4-BE49-F238E27FC236}">
                  <a16:creationId xmlns:a16="http://schemas.microsoft.com/office/drawing/2014/main" id="{28613B27-25B9-482B-9A5E-4677F57D4CE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BEBA8EAE-BF5A-486C-A8C5-ECC9F3942E4B}">
                  <a14:imgProps xmlns:a14="http://schemas.microsoft.com/office/drawing/2010/main">
                    <a14:imgLayer r:embed="rId24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1004683" y="136274"/>
              <a:ext cx="578687" cy="598988"/>
            </a:xfrm>
            <a:prstGeom prst="rect">
              <a:avLst/>
            </a:prstGeom>
          </xdr:spPr>
        </xdr:pic>
      </xdr:grpSp>
      <xdr:grpSp>
        <xdr:nvGrpSpPr>
          <xdr:cNvPr id="85" name="Agrupar 84">
            <a:extLst>
              <a:ext uri="{FF2B5EF4-FFF2-40B4-BE49-F238E27FC236}">
                <a16:creationId xmlns:a16="http://schemas.microsoft.com/office/drawing/2014/main" id="{70120646-1865-4B38-A78A-113621047779}"/>
              </a:ext>
            </a:extLst>
          </xdr:cNvPr>
          <xdr:cNvGrpSpPr/>
        </xdr:nvGrpSpPr>
        <xdr:grpSpPr>
          <a:xfrm>
            <a:off x="24148354" y="0"/>
            <a:ext cx="1590058" cy="1162050"/>
            <a:chOff x="24148354" y="0"/>
            <a:chExt cx="1590058" cy="1162050"/>
          </a:xfrm>
        </xdr:grpSpPr>
        <xdr:sp macro="" textlink="">
          <xdr:nvSpPr>
            <xdr:cNvPr id="94" name="Retângulo 93">
              <a:extLst>
                <a:ext uri="{FF2B5EF4-FFF2-40B4-BE49-F238E27FC236}">
                  <a16:creationId xmlns:a16="http://schemas.microsoft.com/office/drawing/2014/main" id="{B9A3BF0E-F807-4C9F-BCAD-D09F221B2865}"/>
                </a:ext>
              </a:extLst>
            </xdr:cNvPr>
            <xdr:cNvSpPr/>
          </xdr:nvSpPr>
          <xdr:spPr>
            <a:xfrm>
              <a:off x="24197599" y="0"/>
              <a:ext cx="145399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5" name="CaixaDeTexto 94">
              <a:extLst>
                <a:ext uri="{FF2B5EF4-FFF2-40B4-BE49-F238E27FC236}">
                  <a16:creationId xmlns:a16="http://schemas.microsoft.com/office/drawing/2014/main" id="{059544F6-D653-489D-9D07-EC5FE355C5DE}"/>
                </a:ext>
              </a:extLst>
            </xdr:cNvPr>
            <xdr:cNvSpPr txBox="1"/>
          </xdr:nvSpPr>
          <xdr:spPr>
            <a:xfrm rot="10800000" flipH="1" flipV="1">
              <a:off x="24148354" y="765583"/>
              <a:ext cx="159005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96" name="Imagem 17">
              <a:hlinkClick xmlns:r="http://schemas.openxmlformats.org/officeDocument/2006/relationships" r:id="rId25"/>
              <a:extLst>
                <a:ext uri="{FF2B5EF4-FFF2-40B4-BE49-F238E27FC236}">
                  <a16:creationId xmlns:a16="http://schemas.microsoft.com/office/drawing/2014/main" id="{20369CBF-E8F4-4F8A-9E44-180398E560F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BEBA8EAE-BF5A-486C-A8C5-ECC9F3942E4B}">
                  <a14:imgProps xmlns:a14="http://schemas.microsoft.com/office/drawing/2010/main">
                    <a14:imgLayer r:embed="rId2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4635769" y="136274"/>
              <a:ext cx="577652" cy="598986"/>
            </a:xfrm>
            <a:prstGeom prst="rect">
              <a:avLst/>
            </a:prstGeom>
          </xdr:spPr>
        </xdr:pic>
      </xdr:grpSp>
      <xdr:grpSp>
        <xdr:nvGrpSpPr>
          <xdr:cNvPr id="86" name="Agrupar 85">
            <a:extLst>
              <a:ext uri="{FF2B5EF4-FFF2-40B4-BE49-F238E27FC236}">
                <a16:creationId xmlns:a16="http://schemas.microsoft.com/office/drawing/2014/main" id="{E618CD7E-AE3A-4552-8500-9BD357DEC4C9}"/>
              </a:ext>
            </a:extLst>
          </xdr:cNvPr>
          <xdr:cNvGrpSpPr/>
        </xdr:nvGrpSpPr>
        <xdr:grpSpPr>
          <a:xfrm>
            <a:off x="27777464" y="0"/>
            <a:ext cx="1598568" cy="1162050"/>
            <a:chOff x="27777464" y="0"/>
            <a:chExt cx="1598568" cy="1162050"/>
          </a:xfrm>
        </xdr:grpSpPr>
        <xdr:sp macro="" textlink="">
          <xdr:nvSpPr>
            <xdr:cNvPr id="91" name="Retângulo 90">
              <a:extLst>
                <a:ext uri="{FF2B5EF4-FFF2-40B4-BE49-F238E27FC236}">
                  <a16:creationId xmlns:a16="http://schemas.microsoft.com/office/drawing/2014/main" id="{A737769E-E6D0-4D5A-937F-D9ACA8ABC2CC}"/>
                </a:ext>
              </a:extLst>
            </xdr:cNvPr>
            <xdr:cNvSpPr/>
          </xdr:nvSpPr>
          <xdr:spPr>
            <a:xfrm>
              <a:off x="27826972" y="0"/>
              <a:ext cx="146177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2" name="CaixaDeTexto 91">
              <a:extLst>
                <a:ext uri="{FF2B5EF4-FFF2-40B4-BE49-F238E27FC236}">
                  <a16:creationId xmlns:a16="http://schemas.microsoft.com/office/drawing/2014/main" id="{3E49F32B-CA86-430F-ADDB-9EF5D19981F0}"/>
                </a:ext>
              </a:extLst>
            </xdr:cNvPr>
            <xdr:cNvSpPr txBox="1"/>
          </xdr:nvSpPr>
          <xdr:spPr>
            <a:xfrm rot="10800000" flipH="1" flipV="1">
              <a:off x="27777464" y="765583"/>
              <a:ext cx="159856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93" name="Imagem 17">
              <a:hlinkClick xmlns:r="http://schemas.openxmlformats.org/officeDocument/2006/relationships" r:id="rId28"/>
              <a:extLst>
                <a:ext uri="{FF2B5EF4-FFF2-40B4-BE49-F238E27FC236}">
                  <a16:creationId xmlns:a16="http://schemas.microsoft.com/office/drawing/2014/main" id="{17CF5B09-3C7F-4603-9CCC-F6F4CA7DA04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9" cstate="print">
              <a:extLst>
                <a:ext uri="{BEBA8EAE-BF5A-486C-A8C5-ECC9F3942E4B}">
                  <a14:imgProps xmlns:a14="http://schemas.microsoft.com/office/drawing/2010/main">
                    <a14:imgLayer r:embed="rId30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8269927" y="136274"/>
              <a:ext cx="575863" cy="598986"/>
            </a:xfrm>
            <a:prstGeom prst="rect">
              <a:avLst/>
            </a:prstGeom>
          </xdr:spPr>
        </xdr:pic>
      </xdr:grpSp>
      <xdr:grpSp>
        <xdr:nvGrpSpPr>
          <xdr:cNvPr id="87" name="Agrupar 86">
            <a:extLst>
              <a:ext uri="{FF2B5EF4-FFF2-40B4-BE49-F238E27FC236}">
                <a16:creationId xmlns:a16="http://schemas.microsoft.com/office/drawing/2014/main" id="{0659C500-AD1A-443A-B00E-BCE1FF9FBB5A}"/>
              </a:ext>
            </a:extLst>
          </xdr:cNvPr>
          <xdr:cNvGrpSpPr/>
        </xdr:nvGrpSpPr>
        <xdr:grpSpPr>
          <a:xfrm>
            <a:off x="31415083" y="0"/>
            <a:ext cx="1598568" cy="1162049"/>
            <a:chOff x="31415083" y="0"/>
            <a:chExt cx="1598568" cy="1162049"/>
          </a:xfrm>
        </xdr:grpSpPr>
        <xdr:sp macro="" textlink="">
          <xdr:nvSpPr>
            <xdr:cNvPr id="88" name="Retângulo 87">
              <a:extLst>
                <a:ext uri="{FF2B5EF4-FFF2-40B4-BE49-F238E27FC236}">
                  <a16:creationId xmlns:a16="http://schemas.microsoft.com/office/drawing/2014/main" id="{FB919FE8-AB95-4A05-B3E1-E0D28D1F4918}"/>
                </a:ext>
              </a:extLst>
            </xdr:cNvPr>
            <xdr:cNvSpPr/>
          </xdr:nvSpPr>
          <xdr:spPr>
            <a:xfrm>
              <a:off x="31464589" y="0"/>
              <a:ext cx="1461776" cy="1162049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89" name="CaixaDeTexto 88">
              <a:extLst>
                <a:ext uri="{FF2B5EF4-FFF2-40B4-BE49-F238E27FC236}">
                  <a16:creationId xmlns:a16="http://schemas.microsoft.com/office/drawing/2014/main" id="{9A058E81-812F-4690-99CB-34B6F7B9AA5A}"/>
                </a:ext>
              </a:extLst>
            </xdr:cNvPr>
            <xdr:cNvSpPr txBox="1"/>
          </xdr:nvSpPr>
          <xdr:spPr>
            <a:xfrm rot="10800000" flipH="1" flipV="1">
              <a:off x="31415083" y="765583"/>
              <a:ext cx="159856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90" name="Imagem 89" descr="Ícone do banco de dados (símbolo png) preto">
              <a:hlinkClick xmlns:r="http://schemas.openxmlformats.org/officeDocument/2006/relationships" r:id="rId31"/>
              <a:extLst>
                <a:ext uri="{FF2B5EF4-FFF2-40B4-BE49-F238E27FC236}">
                  <a16:creationId xmlns:a16="http://schemas.microsoft.com/office/drawing/2014/main" id="{D590DE44-C6BF-4F93-9E02-C4F51517E272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32" cstate="print">
              <a:extLst>
                <a:ext uri="{BEBA8EAE-BF5A-486C-A8C5-ECC9F3942E4B}">
                  <a14:imgProps xmlns:a14="http://schemas.microsoft.com/office/drawing/2010/main">
                    <a14:imgLayer r:embed="rId3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31876898" y="105753"/>
              <a:ext cx="621399" cy="635293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285750</xdr:colOff>
      <xdr:row>3</xdr:row>
      <xdr:rowOff>182682</xdr:rowOff>
    </xdr:from>
    <xdr:to>
      <xdr:col>6</xdr:col>
      <xdr:colOff>25842</xdr:colOff>
      <xdr:row>5</xdr:row>
      <xdr:rowOff>171449</xdr:rowOff>
    </xdr:to>
    <xdr:sp macro="" textlink="">
      <xdr:nvSpPr>
        <xdr:cNvPr id="78" name="Retângulo 77">
          <a:extLst>
            <a:ext uri="{FF2B5EF4-FFF2-40B4-BE49-F238E27FC236}">
              <a16:creationId xmlns:a16="http://schemas.microsoft.com/office/drawing/2014/main" id="{6387E164-EE07-4080-A517-A2AC7830177E}"/>
            </a:ext>
          </a:extLst>
        </xdr:cNvPr>
        <xdr:cNvSpPr/>
      </xdr:nvSpPr>
      <xdr:spPr>
        <a:xfrm>
          <a:off x="285750" y="1344732"/>
          <a:ext cx="3397692" cy="76981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13</xdr:col>
      <xdr:colOff>1306950</xdr:colOff>
      <xdr:row>3</xdr:row>
      <xdr:rowOff>201150</xdr:rowOff>
    </xdr:from>
    <xdr:to>
      <xdr:col>17</xdr:col>
      <xdr:colOff>1104900</xdr:colOff>
      <xdr:row>6</xdr:row>
      <xdr:rowOff>0</xdr:rowOff>
    </xdr:to>
    <xdr:sp macro="" textlink="">
      <xdr:nvSpPr>
        <xdr:cNvPr id="79" name="Retângulo 78">
          <a:extLst>
            <a:ext uri="{FF2B5EF4-FFF2-40B4-BE49-F238E27FC236}">
              <a16:creationId xmlns:a16="http://schemas.microsoft.com/office/drawing/2014/main" id="{6B9085FD-6DBC-43D7-9686-6C53E958877C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60550" y="13632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9</xdr:col>
      <xdr:colOff>361950</xdr:colOff>
      <xdr:row>3</xdr:row>
      <xdr:rowOff>201150</xdr:rowOff>
    </xdr:from>
    <xdr:to>
      <xdr:col>12</xdr:col>
      <xdr:colOff>102750</xdr:colOff>
      <xdr:row>6</xdr:row>
      <xdr:rowOff>0</xdr:rowOff>
    </xdr:to>
    <xdr:sp macro="" textlink="">
      <xdr:nvSpPr>
        <xdr:cNvPr id="80" name="Retângulo 79">
          <a:extLst>
            <a:ext uri="{FF2B5EF4-FFF2-40B4-BE49-F238E27FC236}">
              <a16:creationId xmlns:a16="http://schemas.microsoft.com/office/drawing/2014/main" id="{DB25D4EA-B2B7-492C-9C81-6A37759D5B17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48350" y="1363200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438150</xdr:colOff>
      <xdr:row>2</xdr:row>
      <xdr:rowOff>769747</xdr:rowOff>
    </xdr:to>
    <xdr:pic>
      <xdr:nvPicPr>
        <xdr:cNvPr id="81" name="Imagem 80">
          <a:extLst>
            <a:ext uri="{FF2B5EF4-FFF2-40B4-BE49-F238E27FC236}">
              <a16:creationId xmlns:a16="http://schemas.microsoft.com/office/drawing/2014/main" id="{9DED9435-1324-498D-9FE9-B350CFD762AD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9252" t="39637" r="14079" b="25703"/>
        <a:stretch/>
      </xdr:blipFill>
      <xdr:spPr>
        <a:xfrm>
          <a:off x="0" y="0"/>
          <a:ext cx="2266950" cy="115074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17</xdr:col>
      <xdr:colOff>2781300</xdr:colOff>
      <xdr:row>3</xdr:row>
      <xdr:rowOff>171450</xdr:rowOff>
    </xdr:from>
    <xdr:to>
      <xdr:col>22</xdr:col>
      <xdr:colOff>483750</xdr:colOff>
      <xdr:row>5</xdr:row>
      <xdr:rowOff>160800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13F0E146-F0FE-4F12-9F3D-F635CF3A63AE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5350" y="13335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  <xdr:twoCellAnchor editAs="absolute">
    <xdr:from>
      <xdr:col>0</xdr:col>
      <xdr:colOff>285750</xdr:colOff>
      <xdr:row>3</xdr:row>
      <xdr:rowOff>172032</xdr:rowOff>
    </xdr:from>
    <xdr:to>
      <xdr:col>6</xdr:col>
      <xdr:colOff>25842</xdr:colOff>
      <xdr:row>5</xdr:row>
      <xdr:rowOff>160799</xdr:rowOff>
    </xdr:to>
    <xdr:sp macro="" textlink="">
      <xdr:nvSpPr>
        <xdr:cNvPr id="45" name="Retângulo 4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B9CA70-0F75-409B-B0EE-14FFCA1A810A}"/>
            </a:ext>
          </a:extLst>
        </xdr:cNvPr>
        <xdr:cNvSpPr/>
      </xdr:nvSpPr>
      <xdr:spPr>
        <a:xfrm>
          <a:off x="285750" y="1334082"/>
          <a:ext cx="3397692" cy="76981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13</xdr:col>
      <xdr:colOff>1306950</xdr:colOff>
      <xdr:row>3</xdr:row>
      <xdr:rowOff>190500</xdr:rowOff>
    </xdr:from>
    <xdr:to>
      <xdr:col>17</xdr:col>
      <xdr:colOff>1104900</xdr:colOff>
      <xdr:row>5</xdr:row>
      <xdr:rowOff>179850</xdr:rowOff>
    </xdr:to>
    <xdr:sp macro="" textlink="">
      <xdr:nvSpPr>
        <xdr:cNvPr id="46" name="Retângulo 4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7D7EF1C-B103-40EA-B6C4-4192331CED36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60550" y="13525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9</xdr:col>
      <xdr:colOff>361950</xdr:colOff>
      <xdr:row>3</xdr:row>
      <xdr:rowOff>190500</xdr:rowOff>
    </xdr:from>
    <xdr:to>
      <xdr:col>12</xdr:col>
      <xdr:colOff>102750</xdr:colOff>
      <xdr:row>5</xdr:row>
      <xdr:rowOff>179850</xdr:rowOff>
    </xdr:to>
    <xdr:sp macro="" textlink="">
      <xdr:nvSpPr>
        <xdr:cNvPr id="47" name="Retângulo 4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D2263CB-8144-4D29-AD6F-CE2257763DD7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48350" y="1352550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17</xdr:col>
      <xdr:colOff>2792850</xdr:colOff>
      <xdr:row>3</xdr:row>
      <xdr:rowOff>171450</xdr:rowOff>
    </xdr:from>
    <xdr:to>
      <xdr:col>22</xdr:col>
      <xdr:colOff>495300</xdr:colOff>
      <xdr:row>5</xdr:row>
      <xdr:rowOff>160800</xdr:rowOff>
    </xdr:to>
    <xdr:sp macro="" textlink="">
      <xdr:nvSpPr>
        <xdr:cNvPr id="48" name="Retângulo 4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715832B-6E6D-4D2A-BC1A-91F0D2A0990F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46900" y="13335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32</xdr:col>
      <xdr:colOff>1990729</xdr:colOff>
      <xdr:row>3</xdr:row>
      <xdr:rowOff>0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3BB20D42-B832-4C4B-88B2-8406203801D8}"/>
            </a:ext>
          </a:extLst>
        </xdr:cNvPr>
        <xdr:cNvGrpSpPr/>
      </xdr:nvGrpSpPr>
      <xdr:grpSpPr>
        <a:xfrm>
          <a:off x="2438400" y="0"/>
          <a:ext cx="30546679" cy="1162050"/>
          <a:chOff x="2466972" y="0"/>
          <a:chExt cx="30546679" cy="1162050"/>
        </a:xfrm>
      </xdr:grpSpPr>
      <xdr:grpSp>
        <xdr:nvGrpSpPr>
          <xdr:cNvPr id="50" name="Agrupar 49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395F13E-97B4-4988-A2C1-07E115C63B8E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66972" y="0"/>
            <a:ext cx="1460344" cy="1162050"/>
            <a:chOff x="1993654" y="0"/>
            <a:chExt cx="1022595" cy="781538"/>
          </a:xfrm>
        </xdr:grpSpPr>
        <xdr:sp macro="" textlink="">
          <xdr:nvSpPr>
            <xdr:cNvPr id="123" name="Retângulo 122">
              <a:extLst>
                <a:ext uri="{FF2B5EF4-FFF2-40B4-BE49-F238E27FC236}">
                  <a16:creationId xmlns:a16="http://schemas.microsoft.com/office/drawing/2014/main" id="{7C2AE7FB-DBE7-4EA2-9A50-B458DE893DD6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124" name="Imagem 9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99022DBD-6052-49B7-9CA9-A7EA3090836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125" name="CaixaDeTexto 124">
              <a:extLst>
                <a:ext uri="{FF2B5EF4-FFF2-40B4-BE49-F238E27FC236}">
                  <a16:creationId xmlns:a16="http://schemas.microsoft.com/office/drawing/2014/main" id="{0075C0C6-0AD1-454A-97B0-35DC34DB5398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51" name="Agrupar 50">
            <a:extLst>
              <a:ext uri="{FF2B5EF4-FFF2-40B4-BE49-F238E27FC236}">
                <a16:creationId xmlns:a16="http://schemas.microsoft.com/office/drawing/2014/main" id="{3B559A3A-3B63-4E79-A9D7-A043B5DF567B}"/>
              </a:ext>
            </a:extLst>
          </xdr:cNvPr>
          <xdr:cNvGrpSpPr/>
        </xdr:nvGrpSpPr>
        <xdr:grpSpPr>
          <a:xfrm>
            <a:off x="5966368" y="0"/>
            <a:ext cx="1591474" cy="1162050"/>
            <a:chOff x="5966368" y="0"/>
            <a:chExt cx="1591474" cy="1162050"/>
          </a:xfrm>
        </xdr:grpSpPr>
        <xdr:sp macro="" textlink="">
          <xdr:nvSpPr>
            <xdr:cNvPr id="120" name="Retângulo 119">
              <a:extLst>
                <a:ext uri="{FF2B5EF4-FFF2-40B4-BE49-F238E27FC236}">
                  <a16:creationId xmlns:a16="http://schemas.microsoft.com/office/drawing/2014/main" id="{A9A5E404-9F2E-4A82-B50D-27F03B164A3B}"/>
                </a:ext>
              </a:extLst>
            </xdr:cNvPr>
            <xdr:cNvSpPr/>
          </xdr:nvSpPr>
          <xdr:spPr>
            <a:xfrm>
              <a:off x="6033036" y="0"/>
              <a:ext cx="145528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21" name="CaixaDeTexto 120">
              <a:extLst>
                <a:ext uri="{FF2B5EF4-FFF2-40B4-BE49-F238E27FC236}">
                  <a16:creationId xmlns:a16="http://schemas.microsoft.com/office/drawing/2014/main" id="{CD33D963-2C0F-4A5C-B47D-88B1A7406AB2}"/>
                </a:ext>
              </a:extLst>
            </xdr:cNvPr>
            <xdr:cNvSpPr txBox="1"/>
          </xdr:nvSpPr>
          <xdr:spPr>
            <a:xfrm rot="10800000" flipH="1" flipV="1">
              <a:off x="5966368" y="765583"/>
              <a:ext cx="1591474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122" name="Imagem 1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F3012B9D-F1A1-45A7-BA01-E2968B3F1D6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BEBA8EAE-BF5A-486C-A8C5-ECC9F3942E4B}">
                  <a14:imgProps xmlns:a14="http://schemas.microsoft.com/office/drawing/2010/main">
                    <a14:imgLayer r:embed="rId12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63094" y="126203"/>
              <a:ext cx="595173" cy="619129"/>
            </a:xfrm>
            <a:prstGeom prst="rect">
              <a:avLst/>
            </a:prstGeom>
            <a:solidFill>
              <a:schemeClr val="bg1"/>
            </a:solidFill>
          </xdr:spPr>
        </xdr:pic>
      </xdr:grpSp>
      <xdr:grpSp>
        <xdr:nvGrpSpPr>
          <xdr:cNvPr id="52" name="Agrupar 51">
            <a:extLst>
              <a:ext uri="{FF2B5EF4-FFF2-40B4-BE49-F238E27FC236}">
                <a16:creationId xmlns:a16="http://schemas.microsoft.com/office/drawing/2014/main" id="{0EDA2FEF-C064-4752-9305-D140472B605D}"/>
              </a:ext>
            </a:extLst>
          </xdr:cNvPr>
          <xdr:cNvGrpSpPr/>
        </xdr:nvGrpSpPr>
        <xdr:grpSpPr>
          <a:xfrm>
            <a:off x="9596894" y="0"/>
            <a:ext cx="1598566" cy="1162050"/>
            <a:chOff x="9596894" y="0"/>
            <a:chExt cx="1598566" cy="1162050"/>
          </a:xfrm>
        </xdr:grpSpPr>
        <xdr:sp macro="" textlink="">
          <xdr:nvSpPr>
            <xdr:cNvPr id="77" name="Retângulo 76">
              <a:extLst>
                <a:ext uri="{FF2B5EF4-FFF2-40B4-BE49-F238E27FC236}">
                  <a16:creationId xmlns:a16="http://schemas.microsoft.com/office/drawing/2014/main" id="{CE7D064C-814D-41FC-8909-DDA2A3DC5C2A}"/>
                </a:ext>
              </a:extLst>
            </xdr:cNvPr>
            <xdr:cNvSpPr/>
          </xdr:nvSpPr>
          <xdr:spPr>
            <a:xfrm>
              <a:off x="9646402" y="0"/>
              <a:ext cx="146177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8" name="CaixaDeTexto 117">
              <a:extLst>
                <a:ext uri="{FF2B5EF4-FFF2-40B4-BE49-F238E27FC236}">
                  <a16:creationId xmlns:a16="http://schemas.microsoft.com/office/drawing/2014/main" id="{72238F4D-123B-4C2E-9250-E9D6345157B0}"/>
                </a:ext>
              </a:extLst>
            </xdr:cNvPr>
            <xdr:cNvSpPr txBox="1"/>
          </xdr:nvSpPr>
          <xdr:spPr>
            <a:xfrm rot="10800000" flipH="1" flipV="1">
              <a:off x="9596894" y="765583"/>
              <a:ext cx="1598566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119" name="Imagem 118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CF13DEB6-CF7D-4ECB-84B5-28C4EEEFB4A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78377" y="136274"/>
              <a:ext cx="597825" cy="598988"/>
            </a:xfrm>
            <a:prstGeom prst="rect">
              <a:avLst/>
            </a:prstGeom>
          </xdr:spPr>
        </xdr:pic>
      </xdr:grpSp>
      <xdr:grpSp>
        <xdr:nvGrpSpPr>
          <xdr:cNvPr id="53" name="Agrupar 52">
            <a:extLst>
              <a:ext uri="{FF2B5EF4-FFF2-40B4-BE49-F238E27FC236}">
                <a16:creationId xmlns:a16="http://schemas.microsoft.com/office/drawing/2014/main" id="{F05BA8DD-D328-4DBF-931B-248BF2D6F9A6}"/>
              </a:ext>
            </a:extLst>
          </xdr:cNvPr>
          <xdr:cNvGrpSpPr/>
        </xdr:nvGrpSpPr>
        <xdr:grpSpPr>
          <a:xfrm>
            <a:off x="13234512" y="0"/>
            <a:ext cx="1591491" cy="1162050"/>
            <a:chOff x="13234512" y="0"/>
            <a:chExt cx="1591491" cy="1162050"/>
          </a:xfrm>
        </xdr:grpSpPr>
        <xdr:sp macro="" textlink="">
          <xdr:nvSpPr>
            <xdr:cNvPr id="74" name="Retângulo 73">
              <a:extLst>
                <a:ext uri="{FF2B5EF4-FFF2-40B4-BE49-F238E27FC236}">
                  <a16:creationId xmlns:a16="http://schemas.microsoft.com/office/drawing/2014/main" id="{5E5914E8-4081-4B72-9BC6-947901703315}"/>
                </a:ext>
              </a:extLst>
            </xdr:cNvPr>
            <xdr:cNvSpPr/>
          </xdr:nvSpPr>
          <xdr:spPr>
            <a:xfrm>
              <a:off x="13283801" y="0"/>
              <a:ext cx="145530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5" name="CaixaDeTexto 74">
              <a:extLst>
                <a:ext uri="{FF2B5EF4-FFF2-40B4-BE49-F238E27FC236}">
                  <a16:creationId xmlns:a16="http://schemas.microsoft.com/office/drawing/2014/main" id="{B8E2AECE-060B-4C3E-85CA-C74A75331BC8}"/>
                </a:ext>
              </a:extLst>
            </xdr:cNvPr>
            <xdr:cNvSpPr txBox="1"/>
          </xdr:nvSpPr>
          <xdr:spPr>
            <a:xfrm rot="10800000" flipH="1" flipV="1">
              <a:off x="13234512" y="765583"/>
              <a:ext cx="1591491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76" name="Imagem 17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806690FF-2D07-434D-9062-B21ABA62C6C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 cstate="print">
              <a:extLst>
                <a:ext uri="{BEBA8EAE-BF5A-486C-A8C5-ECC9F3942E4B}">
                  <a14:imgProps xmlns:a14="http://schemas.microsoft.com/office/drawing/2010/main">
                    <a14:imgLayer r:embed="rId18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3716329" y="136274"/>
              <a:ext cx="590248" cy="598988"/>
            </a:xfrm>
            <a:prstGeom prst="rect">
              <a:avLst/>
            </a:prstGeom>
          </xdr:spPr>
        </xdr:pic>
      </xdr:grpSp>
      <xdr:grpSp>
        <xdr:nvGrpSpPr>
          <xdr:cNvPr id="54" name="Agrupar 53">
            <a:extLst>
              <a:ext uri="{FF2B5EF4-FFF2-40B4-BE49-F238E27FC236}">
                <a16:creationId xmlns:a16="http://schemas.microsoft.com/office/drawing/2014/main" id="{7EA791A8-38BC-4D65-850E-781C73D3CA3C}"/>
              </a:ext>
            </a:extLst>
          </xdr:cNvPr>
          <xdr:cNvGrpSpPr/>
        </xdr:nvGrpSpPr>
        <xdr:grpSpPr>
          <a:xfrm>
            <a:off x="16865055" y="0"/>
            <a:ext cx="1612288" cy="1162050"/>
            <a:chOff x="16865055" y="0"/>
            <a:chExt cx="1612288" cy="1162050"/>
          </a:xfrm>
        </xdr:grpSpPr>
        <xdr:sp macro="" textlink="">
          <xdr:nvSpPr>
            <xdr:cNvPr id="71" name="Retângulo 70">
              <a:extLst>
                <a:ext uri="{FF2B5EF4-FFF2-40B4-BE49-F238E27FC236}">
                  <a16:creationId xmlns:a16="http://schemas.microsoft.com/office/drawing/2014/main" id="{DFCE6D8A-F035-4861-B797-B26C3B57119E}"/>
                </a:ext>
              </a:extLst>
            </xdr:cNvPr>
            <xdr:cNvSpPr/>
          </xdr:nvSpPr>
          <xdr:spPr>
            <a:xfrm>
              <a:off x="16914988" y="0"/>
              <a:ext cx="1474322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2" name="CaixaDeTexto 71">
              <a:extLst>
                <a:ext uri="{FF2B5EF4-FFF2-40B4-BE49-F238E27FC236}">
                  <a16:creationId xmlns:a16="http://schemas.microsoft.com/office/drawing/2014/main" id="{A761038E-C258-4406-AF6F-B6D08BA7FE78}"/>
                </a:ext>
              </a:extLst>
            </xdr:cNvPr>
            <xdr:cNvSpPr txBox="1"/>
          </xdr:nvSpPr>
          <xdr:spPr>
            <a:xfrm rot="10800000" flipH="1" flipV="1">
              <a:off x="16865055" y="765583"/>
              <a:ext cx="161228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73" name="Imagem 17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12B0BEBA-82B5-4147-BF6F-EC4D64B56AE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7354362" y="136274"/>
              <a:ext cx="595572" cy="598988"/>
            </a:xfrm>
            <a:prstGeom prst="rect">
              <a:avLst/>
            </a:prstGeom>
          </xdr:spPr>
        </xdr:pic>
      </xdr:grpSp>
      <xdr:grpSp>
        <xdr:nvGrpSpPr>
          <xdr:cNvPr id="55" name="Agrupar 54">
            <a:extLst>
              <a:ext uri="{FF2B5EF4-FFF2-40B4-BE49-F238E27FC236}">
                <a16:creationId xmlns:a16="http://schemas.microsoft.com/office/drawing/2014/main" id="{FDE422F6-FAE2-4EF7-9F38-7402D9F8B040}"/>
              </a:ext>
            </a:extLst>
          </xdr:cNvPr>
          <xdr:cNvGrpSpPr/>
        </xdr:nvGrpSpPr>
        <xdr:grpSpPr>
          <a:xfrm>
            <a:off x="20516395" y="0"/>
            <a:ext cx="1592907" cy="1162050"/>
            <a:chOff x="20516395" y="0"/>
            <a:chExt cx="1592907" cy="1162050"/>
          </a:xfrm>
        </xdr:grpSpPr>
        <xdr:sp macro="" textlink="">
          <xdr:nvSpPr>
            <xdr:cNvPr id="68" name="Retângulo 67">
              <a:extLst>
                <a:ext uri="{FF2B5EF4-FFF2-40B4-BE49-F238E27FC236}">
                  <a16:creationId xmlns:a16="http://schemas.microsoft.com/office/drawing/2014/main" id="{7CB1399D-3CEB-4E0B-9DA8-AD9579680DEB}"/>
                </a:ext>
              </a:extLst>
            </xdr:cNvPr>
            <xdr:cNvSpPr/>
          </xdr:nvSpPr>
          <xdr:spPr>
            <a:xfrm>
              <a:off x="20565728" y="0"/>
              <a:ext cx="1456599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9" name="CaixaDeTexto 68">
              <a:extLst>
                <a:ext uri="{FF2B5EF4-FFF2-40B4-BE49-F238E27FC236}">
                  <a16:creationId xmlns:a16="http://schemas.microsoft.com/office/drawing/2014/main" id="{C56B0819-8E14-4A19-89B4-A45C3A110A1C}"/>
                </a:ext>
              </a:extLst>
            </xdr:cNvPr>
            <xdr:cNvSpPr txBox="1"/>
          </xdr:nvSpPr>
          <xdr:spPr>
            <a:xfrm rot="10800000" flipH="1" flipV="1">
              <a:off x="20516395" y="765583"/>
              <a:ext cx="159290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70" name="Imagem 17">
              <a:hlinkClick xmlns:r="http://schemas.openxmlformats.org/officeDocument/2006/relationships" r:id="rId22"/>
              <a:extLst>
                <a:ext uri="{FF2B5EF4-FFF2-40B4-BE49-F238E27FC236}">
                  <a16:creationId xmlns:a16="http://schemas.microsoft.com/office/drawing/2014/main" id="{F7EE0461-BE7B-4FC6-BF4C-1E887ABFB8E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BEBA8EAE-BF5A-486C-A8C5-ECC9F3942E4B}">
                  <a14:imgProps xmlns:a14="http://schemas.microsoft.com/office/drawing/2010/main">
                    <a14:imgLayer r:embed="rId24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1004683" y="136274"/>
              <a:ext cx="578687" cy="598988"/>
            </a:xfrm>
            <a:prstGeom prst="rect">
              <a:avLst/>
            </a:prstGeom>
          </xdr:spPr>
        </xdr:pic>
      </xdr:grpSp>
      <xdr:grpSp>
        <xdr:nvGrpSpPr>
          <xdr:cNvPr id="56" name="Agrupar 55">
            <a:extLst>
              <a:ext uri="{FF2B5EF4-FFF2-40B4-BE49-F238E27FC236}">
                <a16:creationId xmlns:a16="http://schemas.microsoft.com/office/drawing/2014/main" id="{BA9EE820-86B4-41B7-94AB-604835F22FBF}"/>
              </a:ext>
            </a:extLst>
          </xdr:cNvPr>
          <xdr:cNvGrpSpPr/>
        </xdr:nvGrpSpPr>
        <xdr:grpSpPr>
          <a:xfrm>
            <a:off x="24148354" y="0"/>
            <a:ext cx="1590058" cy="1162050"/>
            <a:chOff x="24148354" y="0"/>
            <a:chExt cx="1590058" cy="1162050"/>
          </a:xfrm>
        </xdr:grpSpPr>
        <xdr:sp macro="" textlink="">
          <xdr:nvSpPr>
            <xdr:cNvPr id="65" name="Retângulo 64">
              <a:extLst>
                <a:ext uri="{FF2B5EF4-FFF2-40B4-BE49-F238E27FC236}">
                  <a16:creationId xmlns:a16="http://schemas.microsoft.com/office/drawing/2014/main" id="{0AC661D9-7CED-4464-BBBE-0AAA554D8146}"/>
                </a:ext>
              </a:extLst>
            </xdr:cNvPr>
            <xdr:cNvSpPr/>
          </xdr:nvSpPr>
          <xdr:spPr>
            <a:xfrm>
              <a:off x="24197599" y="0"/>
              <a:ext cx="145399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6" name="CaixaDeTexto 65">
              <a:extLst>
                <a:ext uri="{FF2B5EF4-FFF2-40B4-BE49-F238E27FC236}">
                  <a16:creationId xmlns:a16="http://schemas.microsoft.com/office/drawing/2014/main" id="{CA1A0E86-3B72-4DC1-9D8E-238214C76CCF}"/>
                </a:ext>
              </a:extLst>
            </xdr:cNvPr>
            <xdr:cNvSpPr txBox="1"/>
          </xdr:nvSpPr>
          <xdr:spPr>
            <a:xfrm rot="10800000" flipH="1" flipV="1">
              <a:off x="24148354" y="765583"/>
              <a:ext cx="159005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67" name="Imagem 17">
              <a:hlinkClick xmlns:r="http://schemas.openxmlformats.org/officeDocument/2006/relationships" r:id="rId25"/>
              <a:extLst>
                <a:ext uri="{FF2B5EF4-FFF2-40B4-BE49-F238E27FC236}">
                  <a16:creationId xmlns:a16="http://schemas.microsoft.com/office/drawing/2014/main" id="{284D5D20-D828-41DF-8AEA-3A04D026735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BEBA8EAE-BF5A-486C-A8C5-ECC9F3942E4B}">
                  <a14:imgProps xmlns:a14="http://schemas.microsoft.com/office/drawing/2010/main">
                    <a14:imgLayer r:embed="rId2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4635769" y="136274"/>
              <a:ext cx="577652" cy="598986"/>
            </a:xfrm>
            <a:prstGeom prst="rect">
              <a:avLst/>
            </a:prstGeom>
          </xdr:spPr>
        </xdr:pic>
      </xdr:grpSp>
      <xdr:grpSp>
        <xdr:nvGrpSpPr>
          <xdr:cNvPr id="57" name="Agrupar 56">
            <a:extLst>
              <a:ext uri="{FF2B5EF4-FFF2-40B4-BE49-F238E27FC236}">
                <a16:creationId xmlns:a16="http://schemas.microsoft.com/office/drawing/2014/main" id="{D88679D8-7566-45FC-B4F7-58537F3E1B21}"/>
              </a:ext>
            </a:extLst>
          </xdr:cNvPr>
          <xdr:cNvGrpSpPr/>
        </xdr:nvGrpSpPr>
        <xdr:grpSpPr>
          <a:xfrm>
            <a:off x="27777464" y="0"/>
            <a:ext cx="1598568" cy="1162050"/>
            <a:chOff x="27777464" y="0"/>
            <a:chExt cx="1598568" cy="1162050"/>
          </a:xfrm>
        </xdr:grpSpPr>
        <xdr:sp macro="" textlink="">
          <xdr:nvSpPr>
            <xdr:cNvPr id="62" name="Retângulo 61">
              <a:extLst>
                <a:ext uri="{FF2B5EF4-FFF2-40B4-BE49-F238E27FC236}">
                  <a16:creationId xmlns:a16="http://schemas.microsoft.com/office/drawing/2014/main" id="{66ACB10B-4269-4975-A685-ECC4CFC67B25}"/>
                </a:ext>
              </a:extLst>
            </xdr:cNvPr>
            <xdr:cNvSpPr/>
          </xdr:nvSpPr>
          <xdr:spPr>
            <a:xfrm>
              <a:off x="27826972" y="0"/>
              <a:ext cx="146177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3" name="CaixaDeTexto 62">
              <a:extLst>
                <a:ext uri="{FF2B5EF4-FFF2-40B4-BE49-F238E27FC236}">
                  <a16:creationId xmlns:a16="http://schemas.microsoft.com/office/drawing/2014/main" id="{F9D391BB-CE8D-4491-8D48-07726E10BC85}"/>
                </a:ext>
              </a:extLst>
            </xdr:cNvPr>
            <xdr:cNvSpPr txBox="1"/>
          </xdr:nvSpPr>
          <xdr:spPr>
            <a:xfrm rot="10800000" flipH="1" flipV="1">
              <a:off x="27777464" y="765583"/>
              <a:ext cx="159856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64" name="Imagem 17">
              <a:hlinkClick xmlns:r="http://schemas.openxmlformats.org/officeDocument/2006/relationships" r:id="rId28"/>
              <a:extLst>
                <a:ext uri="{FF2B5EF4-FFF2-40B4-BE49-F238E27FC236}">
                  <a16:creationId xmlns:a16="http://schemas.microsoft.com/office/drawing/2014/main" id="{459164D9-3E9E-40F0-8E5A-5BCFC7ADC38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9" cstate="print">
              <a:extLst>
                <a:ext uri="{BEBA8EAE-BF5A-486C-A8C5-ECC9F3942E4B}">
                  <a14:imgProps xmlns:a14="http://schemas.microsoft.com/office/drawing/2010/main">
                    <a14:imgLayer r:embed="rId30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8269927" y="136274"/>
              <a:ext cx="575863" cy="598986"/>
            </a:xfrm>
            <a:prstGeom prst="rect">
              <a:avLst/>
            </a:prstGeom>
          </xdr:spPr>
        </xdr:pic>
      </xdr:grpSp>
      <xdr:grpSp>
        <xdr:nvGrpSpPr>
          <xdr:cNvPr id="58" name="Agrupar 57">
            <a:extLst>
              <a:ext uri="{FF2B5EF4-FFF2-40B4-BE49-F238E27FC236}">
                <a16:creationId xmlns:a16="http://schemas.microsoft.com/office/drawing/2014/main" id="{EE62A363-C46A-429A-AF6B-B9CFFFD55383}"/>
              </a:ext>
            </a:extLst>
          </xdr:cNvPr>
          <xdr:cNvGrpSpPr/>
        </xdr:nvGrpSpPr>
        <xdr:grpSpPr>
          <a:xfrm>
            <a:off x="31415083" y="0"/>
            <a:ext cx="1598568" cy="1162049"/>
            <a:chOff x="31415083" y="0"/>
            <a:chExt cx="1598568" cy="1162049"/>
          </a:xfrm>
        </xdr:grpSpPr>
        <xdr:sp macro="" textlink="">
          <xdr:nvSpPr>
            <xdr:cNvPr id="59" name="Retângulo 58">
              <a:extLst>
                <a:ext uri="{FF2B5EF4-FFF2-40B4-BE49-F238E27FC236}">
                  <a16:creationId xmlns:a16="http://schemas.microsoft.com/office/drawing/2014/main" id="{6A220D63-15E4-489C-9A88-D60C603F940B}"/>
                </a:ext>
              </a:extLst>
            </xdr:cNvPr>
            <xdr:cNvSpPr/>
          </xdr:nvSpPr>
          <xdr:spPr>
            <a:xfrm>
              <a:off x="31464589" y="0"/>
              <a:ext cx="1461776" cy="1162049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0" name="CaixaDeTexto 59">
              <a:extLst>
                <a:ext uri="{FF2B5EF4-FFF2-40B4-BE49-F238E27FC236}">
                  <a16:creationId xmlns:a16="http://schemas.microsoft.com/office/drawing/2014/main" id="{2071CCE8-4CF1-4CC2-AADE-0C6E8F9E1A67}"/>
                </a:ext>
              </a:extLst>
            </xdr:cNvPr>
            <xdr:cNvSpPr txBox="1"/>
          </xdr:nvSpPr>
          <xdr:spPr>
            <a:xfrm rot="10800000" flipH="1" flipV="1">
              <a:off x="31415083" y="765583"/>
              <a:ext cx="159856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61" name="Imagem 60" descr="Ícone do banco de dados (símbolo png) preto">
              <a:hlinkClick xmlns:r="http://schemas.openxmlformats.org/officeDocument/2006/relationships" r:id="rId31"/>
              <a:extLst>
                <a:ext uri="{FF2B5EF4-FFF2-40B4-BE49-F238E27FC236}">
                  <a16:creationId xmlns:a16="http://schemas.microsoft.com/office/drawing/2014/main" id="{192837CA-FC55-40DC-BFFD-DFA75F5F4513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32" cstate="print">
              <a:extLst>
                <a:ext uri="{BEBA8EAE-BF5A-486C-A8C5-ECC9F3942E4B}">
                  <a14:imgProps xmlns:a14="http://schemas.microsoft.com/office/drawing/2010/main">
                    <a14:imgLayer r:embed="rId3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31876898" y="105753"/>
              <a:ext cx="621399" cy="635293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</xdr:col>
      <xdr:colOff>438150</xdr:colOff>
      <xdr:row>2</xdr:row>
      <xdr:rowOff>769747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98F6044-3435-4A9B-94D6-20C32595DB41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9252" t="39637" r="14079" b="25703"/>
        <a:stretch/>
      </xdr:blipFill>
      <xdr:spPr>
        <a:xfrm>
          <a:off x="0" y="0"/>
          <a:ext cx="2266950" cy="115074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285750</xdr:colOff>
      <xdr:row>3</xdr:row>
      <xdr:rowOff>182683</xdr:rowOff>
    </xdr:from>
    <xdr:to>
      <xdr:col>5</xdr:col>
      <xdr:colOff>635442</xdr:colOff>
      <xdr:row>5</xdr:row>
      <xdr:rowOff>171450</xdr:rowOff>
    </xdr:to>
    <xdr:sp macro="" textlink="">
      <xdr:nvSpPr>
        <xdr:cNvPr id="81" name="Retângulo 80">
          <a:extLst>
            <a:ext uri="{FF2B5EF4-FFF2-40B4-BE49-F238E27FC236}">
              <a16:creationId xmlns:a16="http://schemas.microsoft.com/office/drawing/2014/main" id="{01FCF6E8-6876-4350-BC64-77B42BD14375}"/>
            </a:ext>
          </a:extLst>
        </xdr:cNvPr>
        <xdr:cNvSpPr/>
      </xdr:nvSpPr>
      <xdr:spPr>
        <a:xfrm>
          <a:off x="285750" y="1344733"/>
          <a:ext cx="3397692" cy="76981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13</xdr:col>
      <xdr:colOff>354450</xdr:colOff>
      <xdr:row>3</xdr:row>
      <xdr:rowOff>201151</xdr:rowOff>
    </xdr:from>
    <xdr:to>
      <xdr:col>18</xdr:col>
      <xdr:colOff>704850</xdr:colOff>
      <xdr:row>6</xdr:row>
      <xdr:rowOff>1</xdr:rowOff>
    </xdr:to>
    <xdr:sp macro="" textlink="">
      <xdr:nvSpPr>
        <xdr:cNvPr id="82" name="Retângulo 81">
          <a:extLst>
            <a:ext uri="{FF2B5EF4-FFF2-40B4-BE49-F238E27FC236}">
              <a16:creationId xmlns:a16="http://schemas.microsoft.com/office/drawing/2014/main" id="{0EB0024F-8E8A-418A-BE9D-A8C972EE3636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60550" y="1363201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7</xdr:col>
      <xdr:colOff>571500</xdr:colOff>
      <xdr:row>3</xdr:row>
      <xdr:rowOff>201151</xdr:rowOff>
    </xdr:from>
    <xdr:to>
      <xdr:col>10</xdr:col>
      <xdr:colOff>369450</xdr:colOff>
      <xdr:row>6</xdr:row>
      <xdr:rowOff>1</xdr:rowOff>
    </xdr:to>
    <xdr:sp macro="" textlink="">
      <xdr:nvSpPr>
        <xdr:cNvPr id="83" name="Retângulo 82">
          <a:extLst>
            <a:ext uri="{FF2B5EF4-FFF2-40B4-BE49-F238E27FC236}">
              <a16:creationId xmlns:a16="http://schemas.microsoft.com/office/drawing/2014/main" id="{BC8D0F71-272B-4B75-BDD1-17351949F8B1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48350" y="1363201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18</xdr:col>
      <xdr:colOff>3143250</xdr:colOff>
      <xdr:row>23</xdr:row>
      <xdr:rowOff>57150</xdr:rowOff>
    </xdr:from>
    <xdr:to>
      <xdr:col>21</xdr:col>
      <xdr:colOff>457200</xdr:colOff>
      <xdr:row>26</xdr:row>
      <xdr:rowOff>125432</xdr:rowOff>
    </xdr:to>
    <xdr:sp macro="[1]!REQ_MP" textlink="">
      <xdr:nvSpPr>
        <xdr:cNvPr id="84" name="Retângulo: Cantos Arredondados 83">
          <a:extLst>
            <a:ext uri="{FF2B5EF4-FFF2-40B4-BE49-F238E27FC236}">
              <a16:creationId xmlns:a16="http://schemas.microsoft.com/office/drawing/2014/main" id="{1617A9C8-3F1D-43C2-9C94-CA9ABB1EAB0D}"/>
            </a:ext>
          </a:extLst>
        </xdr:cNvPr>
        <xdr:cNvSpPr/>
      </xdr:nvSpPr>
      <xdr:spPr>
        <a:xfrm>
          <a:off x="16897350" y="8172450"/>
          <a:ext cx="1981200" cy="115413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Arial" panose="020B0604020202020204" pitchFamily="34" charset="0"/>
              <a:cs typeface="Arial" panose="020B0604020202020204" pitchFamily="34" charset="0"/>
            </a:rPr>
            <a:t>LANÇAR PRODUÇÃO</a:t>
          </a:r>
        </a:p>
      </xdr:txBody>
    </xdr:sp>
    <xdr:clientData/>
  </xdr:twoCellAnchor>
  <xdr:twoCellAnchor editAs="absolute">
    <xdr:from>
      <xdr:col>18</xdr:col>
      <xdr:colOff>2362200</xdr:colOff>
      <xdr:row>3</xdr:row>
      <xdr:rowOff>171450</xdr:rowOff>
    </xdr:from>
    <xdr:to>
      <xdr:col>22</xdr:col>
      <xdr:colOff>483750</xdr:colOff>
      <xdr:row>5</xdr:row>
      <xdr:rowOff>160800</xdr:rowOff>
    </xdr:to>
    <xdr:sp macro="" textlink="">
      <xdr:nvSpPr>
        <xdr:cNvPr id="85" name="Retângulo 84">
          <a:extLst>
            <a:ext uri="{FF2B5EF4-FFF2-40B4-BE49-F238E27FC236}">
              <a16:creationId xmlns:a16="http://schemas.microsoft.com/office/drawing/2014/main" id="{91AAD696-6C11-4688-BA7C-749C83AE8462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16300" y="13335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  <xdr:twoCellAnchor editAs="absolute">
    <xdr:from>
      <xdr:col>0</xdr:col>
      <xdr:colOff>285750</xdr:colOff>
      <xdr:row>3</xdr:row>
      <xdr:rowOff>191082</xdr:rowOff>
    </xdr:from>
    <xdr:to>
      <xdr:col>5</xdr:col>
      <xdr:colOff>635442</xdr:colOff>
      <xdr:row>5</xdr:row>
      <xdr:rowOff>179849</xdr:rowOff>
    </xdr:to>
    <xdr:sp macro="" textlink="">
      <xdr:nvSpPr>
        <xdr:cNvPr id="86" name="Retângulo 8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2C8E728-0AD2-4B4F-A608-E7FF0D44A570}"/>
            </a:ext>
          </a:extLst>
        </xdr:cNvPr>
        <xdr:cNvSpPr/>
      </xdr:nvSpPr>
      <xdr:spPr>
        <a:xfrm>
          <a:off x="285750" y="1353132"/>
          <a:ext cx="3397692" cy="76981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13</xdr:col>
      <xdr:colOff>354450</xdr:colOff>
      <xdr:row>3</xdr:row>
      <xdr:rowOff>209550</xdr:rowOff>
    </xdr:from>
    <xdr:to>
      <xdr:col>18</xdr:col>
      <xdr:colOff>704850</xdr:colOff>
      <xdr:row>6</xdr:row>
      <xdr:rowOff>8400</xdr:rowOff>
    </xdr:to>
    <xdr:sp macro="" textlink="">
      <xdr:nvSpPr>
        <xdr:cNvPr id="87" name="Retângulo 8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46A88D9-DB68-4D64-8735-15FD13563114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60550" y="1371600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7</xdr:col>
      <xdr:colOff>571500</xdr:colOff>
      <xdr:row>3</xdr:row>
      <xdr:rowOff>209550</xdr:rowOff>
    </xdr:from>
    <xdr:to>
      <xdr:col>10</xdr:col>
      <xdr:colOff>369450</xdr:colOff>
      <xdr:row>6</xdr:row>
      <xdr:rowOff>8400</xdr:rowOff>
    </xdr:to>
    <xdr:sp macro="" textlink="">
      <xdr:nvSpPr>
        <xdr:cNvPr id="88" name="Retângulo 8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7496021-B371-43CB-8642-C47CFDC6A81A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48350" y="13716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18</xdr:col>
      <xdr:colOff>2392800</xdr:colOff>
      <xdr:row>3</xdr:row>
      <xdr:rowOff>190500</xdr:rowOff>
    </xdr:from>
    <xdr:to>
      <xdr:col>22</xdr:col>
      <xdr:colOff>514350</xdr:colOff>
      <xdr:row>5</xdr:row>
      <xdr:rowOff>179850</xdr:rowOff>
    </xdr:to>
    <xdr:sp macro="" textlink="">
      <xdr:nvSpPr>
        <xdr:cNvPr id="89" name="Retângulo 8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88488F9-9981-4D2A-9F01-DC7E26D2D322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46900" y="13525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40</xdr:col>
      <xdr:colOff>333379</xdr:colOff>
      <xdr:row>3</xdr:row>
      <xdr:rowOff>0</xdr:rowOff>
    </xdr:to>
    <xdr:grpSp>
      <xdr:nvGrpSpPr>
        <xdr:cNvPr id="90" name="Agrupar 89">
          <a:extLst>
            <a:ext uri="{FF2B5EF4-FFF2-40B4-BE49-F238E27FC236}">
              <a16:creationId xmlns:a16="http://schemas.microsoft.com/office/drawing/2014/main" id="{ABCC02B1-A50A-48F8-A79C-3441A7A848ED}"/>
            </a:ext>
          </a:extLst>
        </xdr:cNvPr>
        <xdr:cNvGrpSpPr/>
      </xdr:nvGrpSpPr>
      <xdr:grpSpPr>
        <a:xfrm>
          <a:off x="2438400" y="0"/>
          <a:ext cx="30546679" cy="1162050"/>
          <a:chOff x="2466972" y="0"/>
          <a:chExt cx="30546679" cy="1162050"/>
        </a:xfrm>
      </xdr:grpSpPr>
      <xdr:grpSp>
        <xdr:nvGrpSpPr>
          <xdr:cNvPr id="91" name="Agrupar 9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6BBF6EFC-E490-4D2A-840F-79377E72CF32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66972" y="0"/>
            <a:ext cx="1460344" cy="1162050"/>
            <a:chOff x="1993654" y="0"/>
            <a:chExt cx="1022595" cy="781538"/>
          </a:xfrm>
        </xdr:grpSpPr>
        <xdr:sp macro="" textlink="">
          <xdr:nvSpPr>
            <xdr:cNvPr id="124" name="Retângulo 123">
              <a:extLst>
                <a:ext uri="{FF2B5EF4-FFF2-40B4-BE49-F238E27FC236}">
                  <a16:creationId xmlns:a16="http://schemas.microsoft.com/office/drawing/2014/main" id="{0D746A78-9B18-4A56-B9FB-8FDAA8BCD1EC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125" name="Imagem 9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2FE118-628D-427A-A615-F1D16F51AFF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126" name="CaixaDeTexto 125">
              <a:extLst>
                <a:ext uri="{FF2B5EF4-FFF2-40B4-BE49-F238E27FC236}">
                  <a16:creationId xmlns:a16="http://schemas.microsoft.com/office/drawing/2014/main" id="{6E3F6070-A7CF-4408-816E-7039D9D4B17B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92" name="Agrupar 91">
            <a:extLst>
              <a:ext uri="{FF2B5EF4-FFF2-40B4-BE49-F238E27FC236}">
                <a16:creationId xmlns:a16="http://schemas.microsoft.com/office/drawing/2014/main" id="{6F2C2758-00E5-4D67-B817-894642B218D2}"/>
              </a:ext>
            </a:extLst>
          </xdr:cNvPr>
          <xdr:cNvGrpSpPr/>
        </xdr:nvGrpSpPr>
        <xdr:grpSpPr>
          <a:xfrm>
            <a:off x="5966368" y="0"/>
            <a:ext cx="1591474" cy="1162050"/>
            <a:chOff x="5966368" y="0"/>
            <a:chExt cx="1591474" cy="1162050"/>
          </a:xfrm>
        </xdr:grpSpPr>
        <xdr:sp macro="" textlink="">
          <xdr:nvSpPr>
            <xdr:cNvPr id="121" name="Retângulo 120">
              <a:extLst>
                <a:ext uri="{FF2B5EF4-FFF2-40B4-BE49-F238E27FC236}">
                  <a16:creationId xmlns:a16="http://schemas.microsoft.com/office/drawing/2014/main" id="{56B8AEA3-409A-4CC4-AF71-70FEE0C5A540}"/>
                </a:ext>
              </a:extLst>
            </xdr:cNvPr>
            <xdr:cNvSpPr/>
          </xdr:nvSpPr>
          <xdr:spPr>
            <a:xfrm>
              <a:off x="6033036" y="0"/>
              <a:ext cx="145528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22" name="CaixaDeTexto 121">
              <a:extLst>
                <a:ext uri="{FF2B5EF4-FFF2-40B4-BE49-F238E27FC236}">
                  <a16:creationId xmlns:a16="http://schemas.microsoft.com/office/drawing/2014/main" id="{101BDED6-1722-452D-AD0A-458767F516DB}"/>
                </a:ext>
              </a:extLst>
            </xdr:cNvPr>
            <xdr:cNvSpPr txBox="1"/>
          </xdr:nvSpPr>
          <xdr:spPr>
            <a:xfrm rot="10800000" flipH="1" flipV="1">
              <a:off x="5966368" y="765583"/>
              <a:ext cx="1591474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123" name="Imagem 1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2086F362-B3F9-456A-A3E5-F986234F30B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BEBA8EAE-BF5A-486C-A8C5-ECC9F3942E4B}">
                  <a14:imgProps xmlns:a14="http://schemas.microsoft.com/office/drawing/2010/main">
                    <a14:imgLayer r:embed="rId12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63094" y="126203"/>
              <a:ext cx="595173" cy="619129"/>
            </a:xfrm>
            <a:prstGeom prst="rect">
              <a:avLst/>
            </a:prstGeom>
            <a:solidFill>
              <a:schemeClr val="bg1"/>
            </a:solidFill>
          </xdr:spPr>
        </xdr:pic>
      </xdr:grpSp>
      <xdr:grpSp>
        <xdr:nvGrpSpPr>
          <xdr:cNvPr id="93" name="Agrupar 92">
            <a:extLst>
              <a:ext uri="{FF2B5EF4-FFF2-40B4-BE49-F238E27FC236}">
                <a16:creationId xmlns:a16="http://schemas.microsoft.com/office/drawing/2014/main" id="{EF96C8B1-F810-4567-AB5A-CF7976A4BF28}"/>
              </a:ext>
            </a:extLst>
          </xdr:cNvPr>
          <xdr:cNvGrpSpPr/>
        </xdr:nvGrpSpPr>
        <xdr:grpSpPr>
          <a:xfrm>
            <a:off x="9596894" y="0"/>
            <a:ext cx="1598566" cy="1162050"/>
            <a:chOff x="9596894" y="0"/>
            <a:chExt cx="1598566" cy="1162050"/>
          </a:xfrm>
        </xdr:grpSpPr>
        <xdr:sp macro="" textlink="">
          <xdr:nvSpPr>
            <xdr:cNvPr id="118" name="Retângulo 117">
              <a:extLst>
                <a:ext uri="{FF2B5EF4-FFF2-40B4-BE49-F238E27FC236}">
                  <a16:creationId xmlns:a16="http://schemas.microsoft.com/office/drawing/2014/main" id="{1D5CA7AD-6A0F-4167-B5FD-81F89553C442}"/>
                </a:ext>
              </a:extLst>
            </xdr:cNvPr>
            <xdr:cNvSpPr/>
          </xdr:nvSpPr>
          <xdr:spPr>
            <a:xfrm>
              <a:off x="9646402" y="0"/>
              <a:ext cx="146177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9" name="CaixaDeTexto 118">
              <a:extLst>
                <a:ext uri="{FF2B5EF4-FFF2-40B4-BE49-F238E27FC236}">
                  <a16:creationId xmlns:a16="http://schemas.microsoft.com/office/drawing/2014/main" id="{E7852B7F-A494-4FED-8E46-9231B5379DD8}"/>
                </a:ext>
              </a:extLst>
            </xdr:cNvPr>
            <xdr:cNvSpPr txBox="1"/>
          </xdr:nvSpPr>
          <xdr:spPr>
            <a:xfrm rot="10800000" flipH="1" flipV="1">
              <a:off x="9596894" y="765583"/>
              <a:ext cx="1598566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120" name="Imagem 119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187C7F25-3835-44D5-8084-5C250712EC9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78377" y="136274"/>
              <a:ext cx="597825" cy="598988"/>
            </a:xfrm>
            <a:prstGeom prst="rect">
              <a:avLst/>
            </a:prstGeom>
          </xdr:spPr>
        </xdr:pic>
      </xdr:grpSp>
      <xdr:grpSp>
        <xdr:nvGrpSpPr>
          <xdr:cNvPr id="94" name="Agrupar 93">
            <a:extLst>
              <a:ext uri="{FF2B5EF4-FFF2-40B4-BE49-F238E27FC236}">
                <a16:creationId xmlns:a16="http://schemas.microsoft.com/office/drawing/2014/main" id="{E18A090F-BCDA-460A-8DEF-FB96C94F4BBA}"/>
              </a:ext>
            </a:extLst>
          </xdr:cNvPr>
          <xdr:cNvGrpSpPr/>
        </xdr:nvGrpSpPr>
        <xdr:grpSpPr>
          <a:xfrm>
            <a:off x="13234512" y="0"/>
            <a:ext cx="1591491" cy="1162050"/>
            <a:chOff x="13234512" y="0"/>
            <a:chExt cx="1591491" cy="1162050"/>
          </a:xfrm>
        </xdr:grpSpPr>
        <xdr:sp macro="" textlink="">
          <xdr:nvSpPr>
            <xdr:cNvPr id="115" name="Retângulo 114">
              <a:extLst>
                <a:ext uri="{FF2B5EF4-FFF2-40B4-BE49-F238E27FC236}">
                  <a16:creationId xmlns:a16="http://schemas.microsoft.com/office/drawing/2014/main" id="{7E0AADAB-6898-4A87-BC59-BC31392CA890}"/>
                </a:ext>
              </a:extLst>
            </xdr:cNvPr>
            <xdr:cNvSpPr/>
          </xdr:nvSpPr>
          <xdr:spPr>
            <a:xfrm>
              <a:off x="13283801" y="0"/>
              <a:ext cx="145530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6" name="CaixaDeTexto 115">
              <a:extLst>
                <a:ext uri="{FF2B5EF4-FFF2-40B4-BE49-F238E27FC236}">
                  <a16:creationId xmlns:a16="http://schemas.microsoft.com/office/drawing/2014/main" id="{A72F8687-195C-43E1-84E9-25B8775B8DD6}"/>
                </a:ext>
              </a:extLst>
            </xdr:cNvPr>
            <xdr:cNvSpPr txBox="1"/>
          </xdr:nvSpPr>
          <xdr:spPr>
            <a:xfrm rot="10800000" flipH="1" flipV="1">
              <a:off x="13234512" y="765583"/>
              <a:ext cx="1591491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117" name="Imagem 17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C4841CD5-5009-48B1-92F7-21E84433E73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 cstate="print">
              <a:extLst>
                <a:ext uri="{BEBA8EAE-BF5A-486C-A8C5-ECC9F3942E4B}">
                  <a14:imgProps xmlns:a14="http://schemas.microsoft.com/office/drawing/2010/main">
                    <a14:imgLayer r:embed="rId18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3716329" y="136274"/>
              <a:ext cx="590248" cy="598988"/>
            </a:xfrm>
            <a:prstGeom prst="rect">
              <a:avLst/>
            </a:prstGeom>
          </xdr:spPr>
        </xdr:pic>
      </xdr:grpSp>
      <xdr:grpSp>
        <xdr:nvGrpSpPr>
          <xdr:cNvPr id="95" name="Agrupar 94">
            <a:extLst>
              <a:ext uri="{FF2B5EF4-FFF2-40B4-BE49-F238E27FC236}">
                <a16:creationId xmlns:a16="http://schemas.microsoft.com/office/drawing/2014/main" id="{E14D25BC-B016-4B50-92B3-98EA77447068}"/>
              </a:ext>
            </a:extLst>
          </xdr:cNvPr>
          <xdr:cNvGrpSpPr/>
        </xdr:nvGrpSpPr>
        <xdr:grpSpPr>
          <a:xfrm>
            <a:off x="16865055" y="0"/>
            <a:ext cx="1612288" cy="1162050"/>
            <a:chOff x="16865055" y="0"/>
            <a:chExt cx="1612288" cy="1162050"/>
          </a:xfrm>
        </xdr:grpSpPr>
        <xdr:sp macro="" textlink="">
          <xdr:nvSpPr>
            <xdr:cNvPr id="112" name="Retângulo 111">
              <a:extLst>
                <a:ext uri="{FF2B5EF4-FFF2-40B4-BE49-F238E27FC236}">
                  <a16:creationId xmlns:a16="http://schemas.microsoft.com/office/drawing/2014/main" id="{8616B51D-CBD3-4B18-BCED-B418BF08F09D}"/>
                </a:ext>
              </a:extLst>
            </xdr:cNvPr>
            <xdr:cNvSpPr/>
          </xdr:nvSpPr>
          <xdr:spPr>
            <a:xfrm>
              <a:off x="16914988" y="0"/>
              <a:ext cx="1474322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3" name="CaixaDeTexto 112">
              <a:extLst>
                <a:ext uri="{FF2B5EF4-FFF2-40B4-BE49-F238E27FC236}">
                  <a16:creationId xmlns:a16="http://schemas.microsoft.com/office/drawing/2014/main" id="{AB00E12E-DFB2-4B44-A757-069087C5D2D9}"/>
                </a:ext>
              </a:extLst>
            </xdr:cNvPr>
            <xdr:cNvSpPr txBox="1"/>
          </xdr:nvSpPr>
          <xdr:spPr>
            <a:xfrm rot="10800000" flipH="1" flipV="1">
              <a:off x="16865055" y="765583"/>
              <a:ext cx="161228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114" name="Imagem 17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768A9F03-1DCB-4C4B-A2E6-567CD142EBD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7354362" y="136274"/>
              <a:ext cx="595572" cy="598988"/>
            </a:xfrm>
            <a:prstGeom prst="rect">
              <a:avLst/>
            </a:prstGeom>
          </xdr:spPr>
        </xdr:pic>
      </xdr:grpSp>
      <xdr:grpSp>
        <xdr:nvGrpSpPr>
          <xdr:cNvPr id="96" name="Agrupar 95">
            <a:extLst>
              <a:ext uri="{FF2B5EF4-FFF2-40B4-BE49-F238E27FC236}">
                <a16:creationId xmlns:a16="http://schemas.microsoft.com/office/drawing/2014/main" id="{66C74D71-C8F2-4DF1-8B3B-B186EECFD49E}"/>
              </a:ext>
            </a:extLst>
          </xdr:cNvPr>
          <xdr:cNvGrpSpPr/>
        </xdr:nvGrpSpPr>
        <xdr:grpSpPr>
          <a:xfrm>
            <a:off x="20516395" y="0"/>
            <a:ext cx="1592907" cy="1162050"/>
            <a:chOff x="20516395" y="0"/>
            <a:chExt cx="1592907" cy="1162050"/>
          </a:xfrm>
        </xdr:grpSpPr>
        <xdr:sp macro="" textlink="">
          <xdr:nvSpPr>
            <xdr:cNvPr id="109" name="Retângulo 108">
              <a:extLst>
                <a:ext uri="{FF2B5EF4-FFF2-40B4-BE49-F238E27FC236}">
                  <a16:creationId xmlns:a16="http://schemas.microsoft.com/office/drawing/2014/main" id="{C19E9854-391D-4D3A-9111-69BF99E41C65}"/>
                </a:ext>
              </a:extLst>
            </xdr:cNvPr>
            <xdr:cNvSpPr/>
          </xdr:nvSpPr>
          <xdr:spPr>
            <a:xfrm>
              <a:off x="20565728" y="0"/>
              <a:ext cx="1456599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0" name="CaixaDeTexto 109">
              <a:extLst>
                <a:ext uri="{FF2B5EF4-FFF2-40B4-BE49-F238E27FC236}">
                  <a16:creationId xmlns:a16="http://schemas.microsoft.com/office/drawing/2014/main" id="{073B76B0-F984-4C3F-AF92-50D463E7EBA6}"/>
                </a:ext>
              </a:extLst>
            </xdr:cNvPr>
            <xdr:cNvSpPr txBox="1"/>
          </xdr:nvSpPr>
          <xdr:spPr>
            <a:xfrm rot="10800000" flipH="1" flipV="1">
              <a:off x="20516395" y="765583"/>
              <a:ext cx="159290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111" name="Imagem 17">
              <a:hlinkClick xmlns:r="http://schemas.openxmlformats.org/officeDocument/2006/relationships" r:id="rId22"/>
              <a:extLst>
                <a:ext uri="{FF2B5EF4-FFF2-40B4-BE49-F238E27FC236}">
                  <a16:creationId xmlns:a16="http://schemas.microsoft.com/office/drawing/2014/main" id="{9BD943AE-3B4F-4357-9764-968E01398B0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BEBA8EAE-BF5A-486C-A8C5-ECC9F3942E4B}">
                  <a14:imgProps xmlns:a14="http://schemas.microsoft.com/office/drawing/2010/main">
                    <a14:imgLayer r:embed="rId24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1004683" y="136274"/>
              <a:ext cx="578687" cy="598988"/>
            </a:xfrm>
            <a:prstGeom prst="rect">
              <a:avLst/>
            </a:prstGeom>
          </xdr:spPr>
        </xdr:pic>
      </xdr:grpSp>
      <xdr:grpSp>
        <xdr:nvGrpSpPr>
          <xdr:cNvPr id="97" name="Agrupar 96">
            <a:extLst>
              <a:ext uri="{FF2B5EF4-FFF2-40B4-BE49-F238E27FC236}">
                <a16:creationId xmlns:a16="http://schemas.microsoft.com/office/drawing/2014/main" id="{CF334CEE-5347-4D9D-8C93-3917BACF777C}"/>
              </a:ext>
            </a:extLst>
          </xdr:cNvPr>
          <xdr:cNvGrpSpPr/>
        </xdr:nvGrpSpPr>
        <xdr:grpSpPr>
          <a:xfrm>
            <a:off x="24148354" y="0"/>
            <a:ext cx="1590058" cy="1162050"/>
            <a:chOff x="24148354" y="0"/>
            <a:chExt cx="1590058" cy="1162050"/>
          </a:xfrm>
        </xdr:grpSpPr>
        <xdr:sp macro="" textlink="">
          <xdr:nvSpPr>
            <xdr:cNvPr id="106" name="Retângulo 105">
              <a:extLst>
                <a:ext uri="{FF2B5EF4-FFF2-40B4-BE49-F238E27FC236}">
                  <a16:creationId xmlns:a16="http://schemas.microsoft.com/office/drawing/2014/main" id="{EBF2710C-BC4B-4E10-A17F-A8BB9EA7D520}"/>
                </a:ext>
              </a:extLst>
            </xdr:cNvPr>
            <xdr:cNvSpPr/>
          </xdr:nvSpPr>
          <xdr:spPr>
            <a:xfrm>
              <a:off x="24197599" y="0"/>
              <a:ext cx="145399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7" name="CaixaDeTexto 106">
              <a:extLst>
                <a:ext uri="{FF2B5EF4-FFF2-40B4-BE49-F238E27FC236}">
                  <a16:creationId xmlns:a16="http://schemas.microsoft.com/office/drawing/2014/main" id="{96AEAE9B-DBCB-4D8F-8C4A-581B2D564C4C}"/>
                </a:ext>
              </a:extLst>
            </xdr:cNvPr>
            <xdr:cNvSpPr txBox="1"/>
          </xdr:nvSpPr>
          <xdr:spPr>
            <a:xfrm rot="10800000" flipH="1" flipV="1">
              <a:off x="24148354" y="765583"/>
              <a:ext cx="159005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108" name="Imagem 17">
              <a:hlinkClick xmlns:r="http://schemas.openxmlformats.org/officeDocument/2006/relationships" r:id="rId25"/>
              <a:extLst>
                <a:ext uri="{FF2B5EF4-FFF2-40B4-BE49-F238E27FC236}">
                  <a16:creationId xmlns:a16="http://schemas.microsoft.com/office/drawing/2014/main" id="{6099BE66-9FB9-4354-B79F-DACA4901856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BEBA8EAE-BF5A-486C-A8C5-ECC9F3942E4B}">
                  <a14:imgProps xmlns:a14="http://schemas.microsoft.com/office/drawing/2010/main">
                    <a14:imgLayer r:embed="rId2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4635769" y="136274"/>
              <a:ext cx="577652" cy="598986"/>
            </a:xfrm>
            <a:prstGeom prst="rect">
              <a:avLst/>
            </a:prstGeom>
          </xdr:spPr>
        </xdr:pic>
      </xdr:grpSp>
      <xdr:grpSp>
        <xdr:nvGrpSpPr>
          <xdr:cNvPr id="98" name="Agrupar 97">
            <a:extLst>
              <a:ext uri="{FF2B5EF4-FFF2-40B4-BE49-F238E27FC236}">
                <a16:creationId xmlns:a16="http://schemas.microsoft.com/office/drawing/2014/main" id="{FE1237C5-4957-43CE-9A21-E17B153C200C}"/>
              </a:ext>
            </a:extLst>
          </xdr:cNvPr>
          <xdr:cNvGrpSpPr/>
        </xdr:nvGrpSpPr>
        <xdr:grpSpPr>
          <a:xfrm>
            <a:off x="27777464" y="0"/>
            <a:ext cx="1598568" cy="1162050"/>
            <a:chOff x="27777464" y="0"/>
            <a:chExt cx="1598568" cy="1162050"/>
          </a:xfrm>
        </xdr:grpSpPr>
        <xdr:sp macro="" textlink="">
          <xdr:nvSpPr>
            <xdr:cNvPr id="103" name="Retângulo 102">
              <a:extLst>
                <a:ext uri="{FF2B5EF4-FFF2-40B4-BE49-F238E27FC236}">
                  <a16:creationId xmlns:a16="http://schemas.microsoft.com/office/drawing/2014/main" id="{0F9D32CA-2067-4923-889B-27C8A2EBC9C8}"/>
                </a:ext>
              </a:extLst>
            </xdr:cNvPr>
            <xdr:cNvSpPr/>
          </xdr:nvSpPr>
          <xdr:spPr>
            <a:xfrm>
              <a:off x="27826972" y="0"/>
              <a:ext cx="146177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4" name="CaixaDeTexto 103">
              <a:extLst>
                <a:ext uri="{FF2B5EF4-FFF2-40B4-BE49-F238E27FC236}">
                  <a16:creationId xmlns:a16="http://schemas.microsoft.com/office/drawing/2014/main" id="{A243427D-3AE2-44CC-9257-D2C9C128CF31}"/>
                </a:ext>
              </a:extLst>
            </xdr:cNvPr>
            <xdr:cNvSpPr txBox="1"/>
          </xdr:nvSpPr>
          <xdr:spPr>
            <a:xfrm rot="10800000" flipH="1" flipV="1">
              <a:off x="27777464" y="765583"/>
              <a:ext cx="159856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105" name="Imagem 17">
              <a:hlinkClick xmlns:r="http://schemas.openxmlformats.org/officeDocument/2006/relationships" r:id="rId28"/>
              <a:extLst>
                <a:ext uri="{FF2B5EF4-FFF2-40B4-BE49-F238E27FC236}">
                  <a16:creationId xmlns:a16="http://schemas.microsoft.com/office/drawing/2014/main" id="{8224384B-3123-4EE3-8D88-EF4232DA821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9" cstate="print">
              <a:extLst>
                <a:ext uri="{BEBA8EAE-BF5A-486C-A8C5-ECC9F3942E4B}">
                  <a14:imgProps xmlns:a14="http://schemas.microsoft.com/office/drawing/2010/main">
                    <a14:imgLayer r:embed="rId30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8269927" y="136274"/>
              <a:ext cx="575863" cy="598986"/>
            </a:xfrm>
            <a:prstGeom prst="rect">
              <a:avLst/>
            </a:prstGeom>
          </xdr:spPr>
        </xdr:pic>
      </xdr:grpSp>
      <xdr:grpSp>
        <xdr:nvGrpSpPr>
          <xdr:cNvPr id="99" name="Agrupar 98">
            <a:extLst>
              <a:ext uri="{FF2B5EF4-FFF2-40B4-BE49-F238E27FC236}">
                <a16:creationId xmlns:a16="http://schemas.microsoft.com/office/drawing/2014/main" id="{6A7C032D-7F56-4BF3-A1A9-C7B91AEA29CE}"/>
              </a:ext>
            </a:extLst>
          </xdr:cNvPr>
          <xdr:cNvGrpSpPr/>
        </xdr:nvGrpSpPr>
        <xdr:grpSpPr>
          <a:xfrm>
            <a:off x="31415083" y="0"/>
            <a:ext cx="1598568" cy="1162049"/>
            <a:chOff x="31415083" y="0"/>
            <a:chExt cx="1598568" cy="1162049"/>
          </a:xfrm>
        </xdr:grpSpPr>
        <xdr:sp macro="" textlink="">
          <xdr:nvSpPr>
            <xdr:cNvPr id="100" name="Retângulo 99">
              <a:extLst>
                <a:ext uri="{FF2B5EF4-FFF2-40B4-BE49-F238E27FC236}">
                  <a16:creationId xmlns:a16="http://schemas.microsoft.com/office/drawing/2014/main" id="{A705836F-41C6-4270-9C4A-938CE41B2B7E}"/>
                </a:ext>
              </a:extLst>
            </xdr:cNvPr>
            <xdr:cNvSpPr/>
          </xdr:nvSpPr>
          <xdr:spPr>
            <a:xfrm>
              <a:off x="31464589" y="0"/>
              <a:ext cx="1461776" cy="1162049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1" name="CaixaDeTexto 100">
              <a:extLst>
                <a:ext uri="{FF2B5EF4-FFF2-40B4-BE49-F238E27FC236}">
                  <a16:creationId xmlns:a16="http://schemas.microsoft.com/office/drawing/2014/main" id="{B5F0BEDC-1E6D-494B-9A3E-A27450DA376D}"/>
                </a:ext>
              </a:extLst>
            </xdr:cNvPr>
            <xdr:cNvSpPr txBox="1"/>
          </xdr:nvSpPr>
          <xdr:spPr>
            <a:xfrm rot="10800000" flipH="1" flipV="1">
              <a:off x="31415083" y="765583"/>
              <a:ext cx="159856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102" name="Imagem 101" descr="Ícone do banco de dados (símbolo png) preto">
              <a:hlinkClick xmlns:r="http://schemas.openxmlformats.org/officeDocument/2006/relationships" r:id="rId31"/>
              <a:extLst>
                <a:ext uri="{FF2B5EF4-FFF2-40B4-BE49-F238E27FC236}">
                  <a16:creationId xmlns:a16="http://schemas.microsoft.com/office/drawing/2014/main" id="{C1B8DF4C-C102-4719-816D-4EAD6B251382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32" cstate="print">
              <a:extLst>
                <a:ext uri="{BEBA8EAE-BF5A-486C-A8C5-ECC9F3942E4B}">
                  <a14:imgProps xmlns:a14="http://schemas.microsoft.com/office/drawing/2010/main">
                    <a14:imgLayer r:embed="rId3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31876898" y="105753"/>
              <a:ext cx="621399" cy="635293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133350</xdr:colOff>
      <xdr:row>22</xdr:row>
      <xdr:rowOff>285750</xdr:rowOff>
    </xdr:from>
    <xdr:to>
      <xdr:col>24</xdr:col>
      <xdr:colOff>515199</xdr:colOff>
      <xdr:row>45</xdr:row>
      <xdr:rowOff>247650</xdr:rowOff>
    </xdr:to>
    <xdr:graphicFrame macro="">
      <xdr:nvGraphicFramePr>
        <xdr:cNvPr id="42" name="Gráfico 41">
          <a:extLst>
            <a:ext uri="{FF2B5EF4-FFF2-40B4-BE49-F238E27FC236}">
              <a16:creationId xmlns:a16="http://schemas.microsoft.com/office/drawing/2014/main" id="{A58E4694-49DB-457D-9505-DE808B2B1D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285750</xdr:colOff>
      <xdr:row>3</xdr:row>
      <xdr:rowOff>182683</xdr:rowOff>
    </xdr:from>
    <xdr:to>
      <xdr:col>5</xdr:col>
      <xdr:colOff>635442</xdr:colOff>
      <xdr:row>5</xdr:row>
      <xdr:rowOff>171450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A2EF78E8-1936-433D-84CA-B19738E669B5}"/>
            </a:ext>
          </a:extLst>
        </xdr:cNvPr>
        <xdr:cNvSpPr/>
      </xdr:nvSpPr>
      <xdr:spPr>
        <a:xfrm>
          <a:off x="285750" y="1344733"/>
          <a:ext cx="3397692" cy="76981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13</xdr:col>
      <xdr:colOff>354450</xdr:colOff>
      <xdr:row>3</xdr:row>
      <xdr:rowOff>201151</xdr:rowOff>
    </xdr:from>
    <xdr:to>
      <xdr:col>19</xdr:col>
      <xdr:colOff>95250</xdr:colOff>
      <xdr:row>6</xdr:row>
      <xdr:rowOff>1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id="{400EBBFF-35F4-4E32-9C51-DA483560A066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60550" y="1363201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7</xdr:col>
      <xdr:colOff>571500</xdr:colOff>
      <xdr:row>3</xdr:row>
      <xdr:rowOff>201151</xdr:rowOff>
    </xdr:from>
    <xdr:to>
      <xdr:col>10</xdr:col>
      <xdr:colOff>369450</xdr:colOff>
      <xdr:row>6</xdr:row>
      <xdr:rowOff>1</xdr:rowOff>
    </xdr:to>
    <xdr:sp macro="" textlink="">
      <xdr:nvSpPr>
        <xdr:cNvPr id="46" name="Retângulo 45">
          <a:extLst>
            <a:ext uri="{FF2B5EF4-FFF2-40B4-BE49-F238E27FC236}">
              <a16:creationId xmlns:a16="http://schemas.microsoft.com/office/drawing/2014/main" id="{D2E29B54-56DE-4F60-8A80-287F197976A5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48350" y="1363201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438150</xdr:colOff>
      <xdr:row>2</xdr:row>
      <xdr:rowOff>769747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690ED7EE-2CDB-4692-A564-2EF9ED92BAE6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9252" t="39637" r="14079" b="25703"/>
        <a:stretch/>
      </xdr:blipFill>
      <xdr:spPr>
        <a:xfrm>
          <a:off x="0" y="0"/>
          <a:ext cx="2266950" cy="115074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19</xdr:col>
      <xdr:colOff>1752600</xdr:colOff>
      <xdr:row>3</xdr:row>
      <xdr:rowOff>163050</xdr:rowOff>
    </xdr:from>
    <xdr:to>
      <xdr:col>22</xdr:col>
      <xdr:colOff>483750</xdr:colOff>
      <xdr:row>5</xdr:row>
      <xdr:rowOff>152400</xdr:rowOff>
    </xdr:to>
    <xdr:sp macro="" textlink="">
      <xdr:nvSpPr>
        <xdr:cNvPr id="85" name="Retângulo 84">
          <a:extLst>
            <a:ext uri="{FF2B5EF4-FFF2-40B4-BE49-F238E27FC236}">
              <a16:creationId xmlns:a16="http://schemas.microsoft.com/office/drawing/2014/main" id="{9854D1A0-20CD-4B5D-B30B-00FAC2E6D678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16300" y="1325100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  <xdr:twoCellAnchor editAs="absolute">
    <xdr:from>
      <xdr:col>0</xdr:col>
      <xdr:colOff>285750</xdr:colOff>
      <xdr:row>3</xdr:row>
      <xdr:rowOff>191082</xdr:rowOff>
    </xdr:from>
    <xdr:to>
      <xdr:col>5</xdr:col>
      <xdr:colOff>635442</xdr:colOff>
      <xdr:row>5</xdr:row>
      <xdr:rowOff>179849</xdr:rowOff>
    </xdr:to>
    <xdr:sp macro="" textlink="">
      <xdr:nvSpPr>
        <xdr:cNvPr id="86" name="Retângulo 8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610C417-B8F8-4F45-9186-BDEF66837366}"/>
            </a:ext>
          </a:extLst>
        </xdr:cNvPr>
        <xdr:cNvSpPr/>
      </xdr:nvSpPr>
      <xdr:spPr>
        <a:xfrm>
          <a:off x="285750" y="1353132"/>
          <a:ext cx="3397692" cy="76981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13</xdr:col>
      <xdr:colOff>354450</xdr:colOff>
      <xdr:row>3</xdr:row>
      <xdr:rowOff>209550</xdr:rowOff>
    </xdr:from>
    <xdr:to>
      <xdr:col>19</xdr:col>
      <xdr:colOff>95250</xdr:colOff>
      <xdr:row>6</xdr:row>
      <xdr:rowOff>8400</xdr:rowOff>
    </xdr:to>
    <xdr:sp macro="" textlink="">
      <xdr:nvSpPr>
        <xdr:cNvPr id="87" name="Retângulo 8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3317582-EF18-4A46-8403-6A19E9D1B050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60550" y="13716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7</xdr:col>
      <xdr:colOff>571500</xdr:colOff>
      <xdr:row>3</xdr:row>
      <xdr:rowOff>209550</xdr:rowOff>
    </xdr:from>
    <xdr:to>
      <xdr:col>10</xdr:col>
      <xdr:colOff>369450</xdr:colOff>
      <xdr:row>6</xdr:row>
      <xdr:rowOff>8400</xdr:rowOff>
    </xdr:to>
    <xdr:sp macro="" textlink="">
      <xdr:nvSpPr>
        <xdr:cNvPr id="88" name="Retângulo 8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E7371E3-3366-46CA-BB76-3E5106C37E60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48350" y="13716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19</xdr:col>
      <xdr:colOff>1783200</xdr:colOff>
      <xdr:row>3</xdr:row>
      <xdr:rowOff>190500</xdr:rowOff>
    </xdr:from>
    <xdr:to>
      <xdr:col>22</xdr:col>
      <xdr:colOff>514350</xdr:colOff>
      <xdr:row>5</xdr:row>
      <xdr:rowOff>179850</xdr:rowOff>
    </xdr:to>
    <xdr:sp macro="" textlink="">
      <xdr:nvSpPr>
        <xdr:cNvPr id="89" name="Retângulo 8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5BA9A26B-439C-4B0D-99A5-61A8C7876096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46900" y="1352550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40</xdr:col>
      <xdr:colOff>333379</xdr:colOff>
      <xdr:row>3</xdr:row>
      <xdr:rowOff>0</xdr:rowOff>
    </xdr:to>
    <xdr:grpSp>
      <xdr:nvGrpSpPr>
        <xdr:cNvPr id="90" name="Agrupar 89">
          <a:extLst>
            <a:ext uri="{FF2B5EF4-FFF2-40B4-BE49-F238E27FC236}">
              <a16:creationId xmlns:a16="http://schemas.microsoft.com/office/drawing/2014/main" id="{8CF4FBA7-2CF5-4240-9185-3EE5675BA1E7}"/>
            </a:ext>
          </a:extLst>
        </xdr:cNvPr>
        <xdr:cNvGrpSpPr/>
      </xdr:nvGrpSpPr>
      <xdr:grpSpPr>
        <a:xfrm>
          <a:off x="2438400" y="0"/>
          <a:ext cx="30546679" cy="1162050"/>
          <a:chOff x="2466972" y="0"/>
          <a:chExt cx="30546679" cy="1162050"/>
        </a:xfrm>
      </xdr:grpSpPr>
      <xdr:grpSp>
        <xdr:nvGrpSpPr>
          <xdr:cNvPr id="91" name="Agrupar 90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BBDBC924-189A-462D-A590-533780CA0E33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66972" y="0"/>
            <a:ext cx="1460344" cy="1162050"/>
            <a:chOff x="1993654" y="0"/>
            <a:chExt cx="1022595" cy="781538"/>
          </a:xfrm>
        </xdr:grpSpPr>
        <xdr:sp macro="" textlink="">
          <xdr:nvSpPr>
            <xdr:cNvPr id="124" name="Retângulo 123">
              <a:extLst>
                <a:ext uri="{FF2B5EF4-FFF2-40B4-BE49-F238E27FC236}">
                  <a16:creationId xmlns:a16="http://schemas.microsoft.com/office/drawing/2014/main" id="{0D304988-047E-450C-A73F-01B2FBCDF6B2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125" name="Imagem 9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6A76BC9B-4A72-4386-A565-2316F070E38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extLst>
                <a:ext uri="{BEBA8EAE-BF5A-486C-A8C5-ECC9F3942E4B}">
                  <a14:imgProps xmlns:a14="http://schemas.microsoft.com/office/drawing/2010/main">
                    <a14:imgLayer r:embed="rId10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126" name="CaixaDeTexto 125">
              <a:extLst>
                <a:ext uri="{FF2B5EF4-FFF2-40B4-BE49-F238E27FC236}">
                  <a16:creationId xmlns:a16="http://schemas.microsoft.com/office/drawing/2014/main" id="{172779FF-967F-49D4-B836-3754026E41AF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92" name="Agrupar 91">
            <a:extLst>
              <a:ext uri="{FF2B5EF4-FFF2-40B4-BE49-F238E27FC236}">
                <a16:creationId xmlns:a16="http://schemas.microsoft.com/office/drawing/2014/main" id="{9FF9374E-C7C4-479B-8031-A72DBF869BDA}"/>
              </a:ext>
            </a:extLst>
          </xdr:cNvPr>
          <xdr:cNvGrpSpPr/>
        </xdr:nvGrpSpPr>
        <xdr:grpSpPr>
          <a:xfrm>
            <a:off x="5966368" y="0"/>
            <a:ext cx="1591474" cy="1162050"/>
            <a:chOff x="5966368" y="0"/>
            <a:chExt cx="1591474" cy="1162050"/>
          </a:xfrm>
        </xdr:grpSpPr>
        <xdr:sp macro="" textlink="">
          <xdr:nvSpPr>
            <xdr:cNvPr id="121" name="Retângulo 120">
              <a:extLst>
                <a:ext uri="{FF2B5EF4-FFF2-40B4-BE49-F238E27FC236}">
                  <a16:creationId xmlns:a16="http://schemas.microsoft.com/office/drawing/2014/main" id="{A5E62A66-C4C3-4F2D-8194-990C1CE1012B}"/>
                </a:ext>
              </a:extLst>
            </xdr:cNvPr>
            <xdr:cNvSpPr/>
          </xdr:nvSpPr>
          <xdr:spPr>
            <a:xfrm>
              <a:off x="6033036" y="0"/>
              <a:ext cx="145528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22" name="CaixaDeTexto 121">
              <a:extLst>
                <a:ext uri="{FF2B5EF4-FFF2-40B4-BE49-F238E27FC236}">
                  <a16:creationId xmlns:a16="http://schemas.microsoft.com/office/drawing/2014/main" id="{2CE20422-B173-4D08-B285-70AB1D986853}"/>
                </a:ext>
              </a:extLst>
            </xdr:cNvPr>
            <xdr:cNvSpPr txBox="1"/>
          </xdr:nvSpPr>
          <xdr:spPr>
            <a:xfrm rot="10800000" flipH="1" flipV="1">
              <a:off x="5966368" y="765583"/>
              <a:ext cx="1591474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123" name="Imagem 17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F01B2C74-FCA1-4286-BCD1-2C105CA7916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63094" y="126203"/>
              <a:ext cx="595173" cy="619129"/>
            </a:xfrm>
            <a:prstGeom prst="rect">
              <a:avLst/>
            </a:prstGeom>
            <a:solidFill>
              <a:schemeClr val="bg1"/>
            </a:solidFill>
          </xdr:spPr>
        </xdr:pic>
      </xdr:grpSp>
      <xdr:grpSp>
        <xdr:nvGrpSpPr>
          <xdr:cNvPr id="93" name="Agrupar 92">
            <a:extLst>
              <a:ext uri="{FF2B5EF4-FFF2-40B4-BE49-F238E27FC236}">
                <a16:creationId xmlns:a16="http://schemas.microsoft.com/office/drawing/2014/main" id="{CFABA9E3-2887-4431-B438-0BE56CC76797}"/>
              </a:ext>
            </a:extLst>
          </xdr:cNvPr>
          <xdr:cNvGrpSpPr/>
        </xdr:nvGrpSpPr>
        <xdr:grpSpPr>
          <a:xfrm>
            <a:off x="9596894" y="0"/>
            <a:ext cx="1598566" cy="1162050"/>
            <a:chOff x="9596894" y="0"/>
            <a:chExt cx="1598566" cy="1162050"/>
          </a:xfrm>
        </xdr:grpSpPr>
        <xdr:sp macro="" textlink="">
          <xdr:nvSpPr>
            <xdr:cNvPr id="118" name="Retângulo 117">
              <a:extLst>
                <a:ext uri="{FF2B5EF4-FFF2-40B4-BE49-F238E27FC236}">
                  <a16:creationId xmlns:a16="http://schemas.microsoft.com/office/drawing/2014/main" id="{215C1089-F316-434E-A8A0-97F5507323CD}"/>
                </a:ext>
              </a:extLst>
            </xdr:cNvPr>
            <xdr:cNvSpPr/>
          </xdr:nvSpPr>
          <xdr:spPr>
            <a:xfrm>
              <a:off x="9646402" y="0"/>
              <a:ext cx="146177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9" name="CaixaDeTexto 118">
              <a:extLst>
                <a:ext uri="{FF2B5EF4-FFF2-40B4-BE49-F238E27FC236}">
                  <a16:creationId xmlns:a16="http://schemas.microsoft.com/office/drawing/2014/main" id="{1AA71733-2C25-4F98-8336-703C028B19E3}"/>
                </a:ext>
              </a:extLst>
            </xdr:cNvPr>
            <xdr:cNvSpPr txBox="1"/>
          </xdr:nvSpPr>
          <xdr:spPr>
            <a:xfrm rot="10800000" flipH="1" flipV="1">
              <a:off x="9596894" y="765583"/>
              <a:ext cx="1598566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120" name="Imagem 119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D11A6160-97CF-4B24-9A24-BEC27D73065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BEBA8EAE-BF5A-486C-A8C5-ECC9F3942E4B}">
                  <a14:imgProps xmlns:a14="http://schemas.microsoft.com/office/drawing/2010/main">
                    <a14:imgLayer r:embed="rId16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78377" y="136274"/>
              <a:ext cx="597825" cy="598988"/>
            </a:xfrm>
            <a:prstGeom prst="rect">
              <a:avLst/>
            </a:prstGeom>
          </xdr:spPr>
        </xdr:pic>
      </xdr:grpSp>
      <xdr:grpSp>
        <xdr:nvGrpSpPr>
          <xdr:cNvPr id="94" name="Agrupar 93">
            <a:extLst>
              <a:ext uri="{FF2B5EF4-FFF2-40B4-BE49-F238E27FC236}">
                <a16:creationId xmlns:a16="http://schemas.microsoft.com/office/drawing/2014/main" id="{7B24E35B-5997-4C6F-ADA3-CEF35EDC450E}"/>
              </a:ext>
            </a:extLst>
          </xdr:cNvPr>
          <xdr:cNvGrpSpPr/>
        </xdr:nvGrpSpPr>
        <xdr:grpSpPr>
          <a:xfrm>
            <a:off x="13234512" y="0"/>
            <a:ext cx="1591491" cy="1162050"/>
            <a:chOff x="13234512" y="0"/>
            <a:chExt cx="1591491" cy="1162050"/>
          </a:xfrm>
        </xdr:grpSpPr>
        <xdr:sp macro="" textlink="">
          <xdr:nvSpPr>
            <xdr:cNvPr id="115" name="Retângulo 114">
              <a:extLst>
                <a:ext uri="{FF2B5EF4-FFF2-40B4-BE49-F238E27FC236}">
                  <a16:creationId xmlns:a16="http://schemas.microsoft.com/office/drawing/2014/main" id="{CA16EB78-CD0F-4DFA-B595-A43CB16669AD}"/>
                </a:ext>
              </a:extLst>
            </xdr:cNvPr>
            <xdr:cNvSpPr/>
          </xdr:nvSpPr>
          <xdr:spPr>
            <a:xfrm>
              <a:off x="13283801" y="0"/>
              <a:ext cx="145530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6" name="CaixaDeTexto 115">
              <a:extLst>
                <a:ext uri="{FF2B5EF4-FFF2-40B4-BE49-F238E27FC236}">
                  <a16:creationId xmlns:a16="http://schemas.microsoft.com/office/drawing/2014/main" id="{B43C7746-142E-4C31-AE8F-7A24A7BB0605}"/>
                </a:ext>
              </a:extLst>
            </xdr:cNvPr>
            <xdr:cNvSpPr txBox="1"/>
          </xdr:nvSpPr>
          <xdr:spPr>
            <a:xfrm rot="10800000" flipH="1" flipV="1">
              <a:off x="13234512" y="765583"/>
              <a:ext cx="1591491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117" name="Imagem 17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89553F73-FF60-4009-A3E2-1AFF00A6A86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3716329" y="136274"/>
              <a:ext cx="590248" cy="598988"/>
            </a:xfrm>
            <a:prstGeom prst="rect">
              <a:avLst/>
            </a:prstGeom>
          </xdr:spPr>
        </xdr:pic>
      </xdr:grpSp>
      <xdr:grpSp>
        <xdr:nvGrpSpPr>
          <xdr:cNvPr id="95" name="Agrupar 94">
            <a:extLst>
              <a:ext uri="{FF2B5EF4-FFF2-40B4-BE49-F238E27FC236}">
                <a16:creationId xmlns:a16="http://schemas.microsoft.com/office/drawing/2014/main" id="{312B812A-7EF9-401F-A90E-360F7BDBE6CF}"/>
              </a:ext>
            </a:extLst>
          </xdr:cNvPr>
          <xdr:cNvGrpSpPr/>
        </xdr:nvGrpSpPr>
        <xdr:grpSpPr>
          <a:xfrm>
            <a:off x="16865055" y="0"/>
            <a:ext cx="1612288" cy="1162050"/>
            <a:chOff x="16865055" y="0"/>
            <a:chExt cx="1612288" cy="1162050"/>
          </a:xfrm>
        </xdr:grpSpPr>
        <xdr:sp macro="" textlink="">
          <xdr:nvSpPr>
            <xdr:cNvPr id="112" name="Retângulo 111">
              <a:extLst>
                <a:ext uri="{FF2B5EF4-FFF2-40B4-BE49-F238E27FC236}">
                  <a16:creationId xmlns:a16="http://schemas.microsoft.com/office/drawing/2014/main" id="{0029F15A-233B-4528-BDA9-15EAB85067ED}"/>
                </a:ext>
              </a:extLst>
            </xdr:cNvPr>
            <xdr:cNvSpPr/>
          </xdr:nvSpPr>
          <xdr:spPr>
            <a:xfrm>
              <a:off x="16914988" y="0"/>
              <a:ext cx="1474322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3" name="CaixaDeTexto 112">
              <a:extLst>
                <a:ext uri="{FF2B5EF4-FFF2-40B4-BE49-F238E27FC236}">
                  <a16:creationId xmlns:a16="http://schemas.microsoft.com/office/drawing/2014/main" id="{6450ED86-49D1-46FC-AD40-E080216E72E2}"/>
                </a:ext>
              </a:extLst>
            </xdr:cNvPr>
            <xdr:cNvSpPr txBox="1"/>
          </xdr:nvSpPr>
          <xdr:spPr>
            <a:xfrm rot="10800000" flipH="1" flipV="1">
              <a:off x="16865055" y="765583"/>
              <a:ext cx="161228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114" name="Imagem 17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id="{E427D45E-DCE8-4F7D-AD7E-19680B5C9A2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1" cstate="print">
              <a:extLst>
                <a:ext uri="{BEBA8EAE-BF5A-486C-A8C5-ECC9F3942E4B}">
                  <a14:imgProps xmlns:a14="http://schemas.microsoft.com/office/drawing/2010/main">
                    <a14:imgLayer r:embed="rId22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7354362" y="136274"/>
              <a:ext cx="595572" cy="598988"/>
            </a:xfrm>
            <a:prstGeom prst="rect">
              <a:avLst/>
            </a:prstGeom>
          </xdr:spPr>
        </xdr:pic>
      </xdr:grpSp>
      <xdr:grpSp>
        <xdr:nvGrpSpPr>
          <xdr:cNvPr id="96" name="Agrupar 95">
            <a:extLst>
              <a:ext uri="{FF2B5EF4-FFF2-40B4-BE49-F238E27FC236}">
                <a16:creationId xmlns:a16="http://schemas.microsoft.com/office/drawing/2014/main" id="{DFC55B25-59E0-42F5-8B2B-2CD6233812B5}"/>
              </a:ext>
            </a:extLst>
          </xdr:cNvPr>
          <xdr:cNvGrpSpPr/>
        </xdr:nvGrpSpPr>
        <xdr:grpSpPr>
          <a:xfrm>
            <a:off x="20516395" y="0"/>
            <a:ext cx="1592907" cy="1162050"/>
            <a:chOff x="20516395" y="0"/>
            <a:chExt cx="1592907" cy="1162050"/>
          </a:xfrm>
        </xdr:grpSpPr>
        <xdr:sp macro="" textlink="">
          <xdr:nvSpPr>
            <xdr:cNvPr id="109" name="Retângulo 108">
              <a:extLst>
                <a:ext uri="{FF2B5EF4-FFF2-40B4-BE49-F238E27FC236}">
                  <a16:creationId xmlns:a16="http://schemas.microsoft.com/office/drawing/2014/main" id="{5C284D7D-97A6-4277-B7A7-464902F0791F}"/>
                </a:ext>
              </a:extLst>
            </xdr:cNvPr>
            <xdr:cNvSpPr/>
          </xdr:nvSpPr>
          <xdr:spPr>
            <a:xfrm>
              <a:off x="20565728" y="0"/>
              <a:ext cx="1456599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0" name="CaixaDeTexto 109">
              <a:extLst>
                <a:ext uri="{FF2B5EF4-FFF2-40B4-BE49-F238E27FC236}">
                  <a16:creationId xmlns:a16="http://schemas.microsoft.com/office/drawing/2014/main" id="{35C5298B-8D19-49DD-A710-7434A894DF35}"/>
                </a:ext>
              </a:extLst>
            </xdr:cNvPr>
            <xdr:cNvSpPr txBox="1"/>
          </xdr:nvSpPr>
          <xdr:spPr>
            <a:xfrm rot="10800000" flipH="1" flipV="1">
              <a:off x="20516395" y="765583"/>
              <a:ext cx="159290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111" name="Imagem 17">
              <a:hlinkClick xmlns:r="http://schemas.openxmlformats.org/officeDocument/2006/relationships" r:id="rId23"/>
              <a:extLst>
                <a:ext uri="{FF2B5EF4-FFF2-40B4-BE49-F238E27FC236}">
                  <a16:creationId xmlns:a16="http://schemas.microsoft.com/office/drawing/2014/main" id="{1F06AA8A-57B3-4156-9B0F-5736720E54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4" cstate="print">
              <a:extLst>
                <a:ext uri="{BEBA8EAE-BF5A-486C-A8C5-ECC9F3942E4B}">
                  <a14:imgProps xmlns:a14="http://schemas.microsoft.com/office/drawing/2010/main">
                    <a14:imgLayer r:embed="rId2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1004683" y="136274"/>
              <a:ext cx="578687" cy="598988"/>
            </a:xfrm>
            <a:prstGeom prst="rect">
              <a:avLst/>
            </a:prstGeom>
          </xdr:spPr>
        </xdr:pic>
      </xdr:grpSp>
      <xdr:grpSp>
        <xdr:nvGrpSpPr>
          <xdr:cNvPr id="97" name="Agrupar 96">
            <a:extLst>
              <a:ext uri="{FF2B5EF4-FFF2-40B4-BE49-F238E27FC236}">
                <a16:creationId xmlns:a16="http://schemas.microsoft.com/office/drawing/2014/main" id="{105DC37A-E3A6-40F1-A735-F62B26CC9C5C}"/>
              </a:ext>
            </a:extLst>
          </xdr:cNvPr>
          <xdr:cNvGrpSpPr/>
        </xdr:nvGrpSpPr>
        <xdr:grpSpPr>
          <a:xfrm>
            <a:off x="24148354" y="0"/>
            <a:ext cx="1590058" cy="1162050"/>
            <a:chOff x="24148354" y="0"/>
            <a:chExt cx="1590058" cy="1162050"/>
          </a:xfrm>
        </xdr:grpSpPr>
        <xdr:sp macro="" textlink="">
          <xdr:nvSpPr>
            <xdr:cNvPr id="106" name="Retângulo 105">
              <a:extLst>
                <a:ext uri="{FF2B5EF4-FFF2-40B4-BE49-F238E27FC236}">
                  <a16:creationId xmlns:a16="http://schemas.microsoft.com/office/drawing/2014/main" id="{1E1229AA-4C7E-463F-88E6-D1F3272EE69A}"/>
                </a:ext>
              </a:extLst>
            </xdr:cNvPr>
            <xdr:cNvSpPr/>
          </xdr:nvSpPr>
          <xdr:spPr>
            <a:xfrm>
              <a:off x="24197599" y="0"/>
              <a:ext cx="1453994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7" name="CaixaDeTexto 106">
              <a:extLst>
                <a:ext uri="{FF2B5EF4-FFF2-40B4-BE49-F238E27FC236}">
                  <a16:creationId xmlns:a16="http://schemas.microsoft.com/office/drawing/2014/main" id="{213539F2-BA3E-4498-8EE5-D989F7DC24DD}"/>
                </a:ext>
              </a:extLst>
            </xdr:cNvPr>
            <xdr:cNvSpPr txBox="1"/>
          </xdr:nvSpPr>
          <xdr:spPr>
            <a:xfrm rot="10800000" flipH="1" flipV="1">
              <a:off x="24148354" y="765583"/>
              <a:ext cx="159005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108" name="Imagem 17">
              <a:hlinkClick xmlns:r="http://schemas.openxmlformats.org/officeDocument/2006/relationships" r:id="rId26"/>
              <a:extLst>
                <a:ext uri="{FF2B5EF4-FFF2-40B4-BE49-F238E27FC236}">
                  <a16:creationId xmlns:a16="http://schemas.microsoft.com/office/drawing/2014/main" id="{ED05FEE3-C1F2-4999-B8AF-1FD66D3A918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7" cstate="print">
              <a:extLst>
                <a:ext uri="{BEBA8EAE-BF5A-486C-A8C5-ECC9F3942E4B}">
                  <a14:imgProps xmlns:a14="http://schemas.microsoft.com/office/drawing/2010/main">
                    <a14:imgLayer r:embed="rId28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4635769" y="136274"/>
              <a:ext cx="577652" cy="598986"/>
            </a:xfrm>
            <a:prstGeom prst="rect">
              <a:avLst/>
            </a:prstGeom>
          </xdr:spPr>
        </xdr:pic>
      </xdr:grpSp>
      <xdr:grpSp>
        <xdr:nvGrpSpPr>
          <xdr:cNvPr id="98" name="Agrupar 97">
            <a:extLst>
              <a:ext uri="{FF2B5EF4-FFF2-40B4-BE49-F238E27FC236}">
                <a16:creationId xmlns:a16="http://schemas.microsoft.com/office/drawing/2014/main" id="{A800111E-3E94-4E53-AD1B-3C740953AAE8}"/>
              </a:ext>
            </a:extLst>
          </xdr:cNvPr>
          <xdr:cNvGrpSpPr/>
        </xdr:nvGrpSpPr>
        <xdr:grpSpPr>
          <a:xfrm>
            <a:off x="27777464" y="0"/>
            <a:ext cx="1598568" cy="1162050"/>
            <a:chOff x="27777464" y="0"/>
            <a:chExt cx="1598568" cy="1162050"/>
          </a:xfrm>
        </xdr:grpSpPr>
        <xdr:sp macro="" textlink="">
          <xdr:nvSpPr>
            <xdr:cNvPr id="103" name="Retângulo 102">
              <a:extLst>
                <a:ext uri="{FF2B5EF4-FFF2-40B4-BE49-F238E27FC236}">
                  <a16:creationId xmlns:a16="http://schemas.microsoft.com/office/drawing/2014/main" id="{21DE07B6-AB50-461B-BBC3-CEC4EE95BE19}"/>
                </a:ext>
              </a:extLst>
            </xdr:cNvPr>
            <xdr:cNvSpPr/>
          </xdr:nvSpPr>
          <xdr:spPr>
            <a:xfrm>
              <a:off x="27826972" y="0"/>
              <a:ext cx="146177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4" name="CaixaDeTexto 103">
              <a:extLst>
                <a:ext uri="{FF2B5EF4-FFF2-40B4-BE49-F238E27FC236}">
                  <a16:creationId xmlns:a16="http://schemas.microsoft.com/office/drawing/2014/main" id="{AE35BAE4-021E-46AD-A335-90CE7194E964}"/>
                </a:ext>
              </a:extLst>
            </xdr:cNvPr>
            <xdr:cNvSpPr txBox="1"/>
          </xdr:nvSpPr>
          <xdr:spPr>
            <a:xfrm rot="10800000" flipH="1" flipV="1">
              <a:off x="27777464" y="765583"/>
              <a:ext cx="159856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105" name="Imagem 17">
              <a:hlinkClick xmlns:r="http://schemas.openxmlformats.org/officeDocument/2006/relationships" r:id="rId29"/>
              <a:extLst>
                <a:ext uri="{FF2B5EF4-FFF2-40B4-BE49-F238E27FC236}">
                  <a16:creationId xmlns:a16="http://schemas.microsoft.com/office/drawing/2014/main" id="{E3E47686-9EEF-444D-84FB-46285D6BE1C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0" cstate="print">
              <a:extLst>
                <a:ext uri="{BEBA8EAE-BF5A-486C-A8C5-ECC9F3942E4B}">
                  <a14:imgProps xmlns:a14="http://schemas.microsoft.com/office/drawing/2010/main">
                    <a14:imgLayer r:embed="rId3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28269927" y="136274"/>
              <a:ext cx="575863" cy="598986"/>
            </a:xfrm>
            <a:prstGeom prst="rect">
              <a:avLst/>
            </a:prstGeom>
          </xdr:spPr>
        </xdr:pic>
      </xdr:grpSp>
      <xdr:grpSp>
        <xdr:nvGrpSpPr>
          <xdr:cNvPr id="99" name="Agrupar 98">
            <a:extLst>
              <a:ext uri="{FF2B5EF4-FFF2-40B4-BE49-F238E27FC236}">
                <a16:creationId xmlns:a16="http://schemas.microsoft.com/office/drawing/2014/main" id="{569827A0-8920-4DBD-A859-3348D009440D}"/>
              </a:ext>
            </a:extLst>
          </xdr:cNvPr>
          <xdr:cNvGrpSpPr/>
        </xdr:nvGrpSpPr>
        <xdr:grpSpPr>
          <a:xfrm>
            <a:off x="31415083" y="0"/>
            <a:ext cx="1598568" cy="1162049"/>
            <a:chOff x="31415083" y="0"/>
            <a:chExt cx="1598568" cy="1162049"/>
          </a:xfrm>
        </xdr:grpSpPr>
        <xdr:sp macro="" textlink="">
          <xdr:nvSpPr>
            <xdr:cNvPr id="100" name="Retângulo 99">
              <a:extLst>
                <a:ext uri="{FF2B5EF4-FFF2-40B4-BE49-F238E27FC236}">
                  <a16:creationId xmlns:a16="http://schemas.microsoft.com/office/drawing/2014/main" id="{9E200730-B25E-4E10-AD50-1D3FA73D01E7}"/>
                </a:ext>
              </a:extLst>
            </xdr:cNvPr>
            <xdr:cNvSpPr/>
          </xdr:nvSpPr>
          <xdr:spPr>
            <a:xfrm>
              <a:off x="31464589" y="0"/>
              <a:ext cx="1461776" cy="1162049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1" name="CaixaDeTexto 100">
              <a:extLst>
                <a:ext uri="{FF2B5EF4-FFF2-40B4-BE49-F238E27FC236}">
                  <a16:creationId xmlns:a16="http://schemas.microsoft.com/office/drawing/2014/main" id="{0F7CD73A-634C-470B-AEFA-E7743E2623FD}"/>
                </a:ext>
              </a:extLst>
            </xdr:cNvPr>
            <xdr:cNvSpPr txBox="1"/>
          </xdr:nvSpPr>
          <xdr:spPr>
            <a:xfrm rot="10800000" flipH="1" flipV="1">
              <a:off x="31415083" y="765583"/>
              <a:ext cx="1598568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102" name="Imagem 101" descr="Ícone do banco de dados (símbolo png) preto">
              <a:hlinkClick xmlns:r="http://schemas.openxmlformats.org/officeDocument/2006/relationships" r:id="rId32"/>
              <a:extLst>
                <a:ext uri="{FF2B5EF4-FFF2-40B4-BE49-F238E27FC236}">
                  <a16:creationId xmlns:a16="http://schemas.microsoft.com/office/drawing/2014/main" id="{C8837DB9-8463-4099-BD31-B5CED41CAC81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33" cstate="print">
              <a:extLst>
                <a:ext uri="{BEBA8EAE-BF5A-486C-A8C5-ECC9F3942E4B}">
                  <a14:imgProps xmlns:a14="http://schemas.microsoft.com/office/drawing/2010/main">
                    <a14:imgLayer r:embed="rId34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31876898" y="105753"/>
              <a:ext cx="621399" cy="635293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1615770</xdr:colOff>
      <xdr:row>2</xdr:row>
      <xdr:rowOff>133894</xdr:rowOff>
    </xdr:from>
    <xdr:to>
      <xdr:col>6</xdr:col>
      <xdr:colOff>674705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D040D80F-8623-40D2-B006-8301A98EA268}"/>
            </a:ext>
          </a:extLst>
        </xdr:cNvPr>
        <xdr:cNvSpPr txBox="1"/>
      </xdr:nvSpPr>
      <xdr:spPr>
        <a:xfrm rot="10800000" flipH="1" flipV="1">
          <a:off x="4442790" y="499654"/>
          <a:ext cx="110871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5</xdr:col>
      <xdr:colOff>1952595</xdr:colOff>
      <xdr:row>0</xdr:row>
      <xdr:rowOff>91651</xdr:rowOff>
    </xdr:from>
    <xdr:to>
      <xdr:col>6</xdr:col>
      <xdr:colOff>312431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CCA5A95-5FA9-4FD2-8C5F-B58DEEE7A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9615" y="91651"/>
          <a:ext cx="40961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845700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45DF1727-A9D7-4A1B-8222-8660498A2FC8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952500</xdr:colOff>
      <xdr:row>3</xdr:row>
      <xdr:rowOff>190500</xdr:rowOff>
    </xdr:from>
    <xdr:to>
      <xdr:col>7</xdr:col>
      <xdr:colOff>921900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72D5A2DB-FEAD-456F-B2C5-A072ED17D0CE}"/>
            </a:ext>
          </a:extLst>
        </xdr:cNvPr>
        <xdr:cNvSpPr/>
      </xdr:nvSpPr>
      <xdr:spPr>
        <a:xfrm>
          <a:off x="5829300" y="1333500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8</xdr:col>
      <xdr:colOff>640200</xdr:colOff>
      <xdr:row>3</xdr:row>
      <xdr:rowOff>209552</xdr:rowOff>
    </xdr:from>
    <xdr:to>
      <xdr:col>10</xdr:col>
      <xdr:colOff>1200150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B2706F00-EC02-4920-A70F-2D9617D44465}"/>
            </a:ext>
          </a:extLst>
        </xdr:cNvPr>
        <xdr:cNvSpPr/>
      </xdr:nvSpPr>
      <xdr:spPr>
        <a:xfrm>
          <a:off x="11026260" y="1352552"/>
          <a:ext cx="338697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10</xdr:col>
      <xdr:colOff>2857500</xdr:colOff>
      <xdr:row>3</xdr:row>
      <xdr:rowOff>171452</xdr:rowOff>
    </xdr:from>
    <xdr:to>
      <xdr:col>12</xdr:col>
      <xdr:colOff>731400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28230C9D-C04C-4778-93C0-5978337F9EA0}"/>
            </a:ext>
          </a:extLst>
        </xdr:cNvPr>
        <xdr:cNvSpPr/>
      </xdr:nvSpPr>
      <xdr:spPr>
        <a:xfrm>
          <a:off x="16070580" y="1314452"/>
          <a:ext cx="338316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13</xdr:col>
      <xdr:colOff>640896</xdr:colOff>
      <xdr:row>3</xdr:row>
      <xdr:rowOff>171452</xdr:rowOff>
    </xdr:from>
    <xdr:to>
      <xdr:col>14</xdr:col>
      <xdr:colOff>534096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70425B81-E6F6-4470-BFA9-1B9AE0E9ADAA}"/>
            </a:ext>
          </a:extLst>
        </xdr:cNvPr>
        <xdr:cNvSpPr/>
      </xdr:nvSpPr>
      <xdr:spPr>
        <a:xfrm>
          <a:off x="21085356" y="1314452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14</xdr:col>
      <xdr:colOff>2158093</xdr:colOff>
      <xdr:row>3</xdr:row>
      <xdr:rowOff>171452</xdr:rowOff>
    </xdr:from>
    <xdr:to>
      <xdr:col>15</xdr:col>
      <xdr:colOff>2698993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41549FAA-084C-4A68-9C75-F91A3732FF34}"/>
            </a:ext>
          </a:extLst>
        </xdr:cNvPr>
        <xdr:cNvSpPr/>
      </xdr:nvSpPr>
      <xdr:spPr>
        <a:xfrm>
          <a:off x="26115373" y="1314452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B7DC65D8-67F8-4A16-9A19-BC18DAC1AB97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21</xdr:col>
      <xdr:colOff>230508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F946BFAA-14F0-4861-8F74-CDAFBD150886}"/>
            </a:ext>
          </a:extLst>
        </xdr:cNvPr>
        <xdr:cNvGrpSpPr/>
      </xdr:nvGrpSpPr>
      <xdr:grpSpPr>
        <a:xfrm>
          <a:off x="2438400" y="0"/>
          <a:ext cx="30539058" cy="1162050"/>
          <a:chOff x="2438400" y="0"/>
          <a:chExt cx="30539058" cy="1162050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id="{6FC30387-1AB2-44F8-9294-C2C36E6366BD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46" name="Retângulo 45">
              <a:extLst>
                <a:ext uri="{FF2B5EF4-FFF2-40B4-BE49-F238E27FC236}">
                  <a16:creationId xmlns:a16="http://schemas.microsoft.com/office/drawing/2014/main" id="{BFD9D7BE-EFF0-4A7E-99AC-0B6809AE5DE6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47" name="Imagem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65DD4A60-5392-40CD-86FC-29F3723E4D1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id="{49824625-7B04-4ADD-98C5-FF9826DBE2E6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14" name="Agrupar 13">
            <a:extLst>
              <a:ext uri="{FF2B5EF4-FFF2-40B4-BE49-F238E27FC236}">
                <a16:creationId xmlns:a16="http://schemas.microsoft.com/office/drawing/2014/main" id="{D13AFEEC-6576-4571-A67F-E3B5CC31AA21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id="{48FBCA97-6A12-4AC6-964A-AE14AF5F0144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id="{18E46A36-9EC1-4EFA-A349-E568BD9BE5B9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45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370F64F0-7CC9-4470-9891-E445B78E19A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id="{4DEDE5C8-206D-47A9-95BC-8C96889AE0D6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id="{7B0E7B4D-653E-4B67-B67D-AD40B3C4300B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DFE56BB2-CFDF-4B60-979B-50D43CFDB7D6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42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2CB01CD2-52F8-49DF-99C6-A6EF9932E74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id="{A280B614-6718-4928-ADD1-C987417321B5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:a16="http://schemas.microsoft.com/office/drawing/2014/main" id="{3A20F231-0588-494B-B150-860795D3DCAD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id="{4DE99279-21E7-49E6-8F46-09897AE19E55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39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F3BD097F-C419-41F0-9752-5F51033A524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id="{EF005D9A-03BB-4D39-BA45-64BF68B04EF9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34" name="Retângulo 33">
              <a:extLst>
                <a:ext uri="{FF2B5EF4-FFF2-40B4-BE49-F238E27FC236}">
                  <a16:creationId xmlns:a16="http://schemas.microsoft.com/office/drawing/2014/main" id="{3B124877-7F0C-4968-B27D-5B0DFC531349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CaixaDeTexto 34">
              <a:extLst>
                <a:ext uri="{FF2B5EF4-FFF2-40B4-BE49-F238E27FC236}">
                  <a16:creationId xmlns:a16="http://schemas.microsoft.com/office/drawing/2014/main" id="{70C0B48B-DA27-4FB5-AB16-A1E9707892C1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36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2B126312-886A-46D0-A0AF-1EDEE030186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F2B593E4-18ED-4A83-8192-B27E13F03388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31" name="Retângulo 30">
              <a:extLst>
                <a:ext uri="{FF2B5EF4-FFF2-40B4-BE49-F238E27FC236}">
                  <a16:creationId xmlns:a16="http://schemas.microsoft.com/office/drawing/2014/main" id="{7F0671F4-9A33-41D0-A147-BD5CC0CA9BD0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id="{8D22336D-34B7-42EC-9753-BE074B9961C4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33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C720FCA0-1CE4-4FA0-A8A2-1239DDE8E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id="{1B09E2A5-2870-41F2-8138-95CA5E30B93D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id="{BD4241E9-9770-4805-96E9-70D937CBCEAD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id="{9B52F05B-7620-488E-BE87-EAC627115AA6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30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728B1526-4AD7-464A-96A1-7C818C4398A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8A16F50A-4A8C-40AB-9839-1A5D9AA091EA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25" name="Retângulo 24">
              <a:extLst>
                <a:ext uri="{FF2B5EF4-FFF2-40B4-BE49-F238E27FC236}">
                  <a16:creationId xmlns:a16="http://schemas.microsoft.com/office/drawing/2014/main" id="{A09FAEC9-CB78-4BC1-BBFE-ABAAB34890D3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CaixaDeTexto 25">
              <a:extLst>
                <a:ext uri="{FF2B5EF4-FFF2-40B4-BE49-F238E27FC236}">
                  <a16:creationId xmlns:a16="http://schemas.microsoft.com/office/drawing/2014/main" id="{F63B741C-A2E4-48D4-BD7F-AD1E5295628C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27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82283E3D-3A1D-4C18-A5F4-9BC9C18D6A2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7DDD5977-7698-4409-B3DD-13E53538A5EE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id="{806AFE6B-D1F2-4AF2-965C-C6570AF18844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id="{8975D43F-0CC3-4357-BDC0-A3BB30FFED08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24" name="Imagem 23" descr="Ícone do banco de dados (símbolo png) preto">
              <a:extLst>
                <a:ext uri="{FF2B5EF4-FFF2-40B4-BE49-F238E27FC236}">
                  <a16:creationId xmlns:a16="http://schemas.microsoft.com/office/drawing/2014/main" id="{897682EF-742A-431D-A5BE-A5AD1EE5A4CA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 editAs="absolute">
    <xdr:from>
      <xdr:col>8</xdr:col>
      <xdr:colOff>628650</xdr:colOff>
      <xdr:row>12</xdr:row>
      <xdr:rowOff>19050</xdr:rowOff>
    </xdr:from>
    <xdr:to>
      <xdr:col>14</xdr:col>
      <xdr:colOff>2495550</xdr:colOff>
      <xdr:row>50</xdr:row>
      <xdr:rowOff>217972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C99F2DEE-ED7B-4320-8567-3464A1328907}"/>
            </a:ext>
            <a:ext uri="{147F2762-F138-4A5C-976F-8EAC2B608ADB}">
              <a16:predDERef xmlns:a16="http://schemas.microsoft.com/office/drawing/2014/main" pred="{45AAF0B4-637A-42E1-B7D2-A6E46851A7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>
          <a:alphaModFix amt="23000"/>
          <a:extLst>
            <a:ext uri="{BEBA8EAE-BF5A-486C-A8C5-ECC9F3942E4B}">
              <a14:imgProps xmlns:a14="http://schemas.microsoft.com/office/drawing/2010/main">
                <a14:imgLayer r:embed="rId25">
                  <a14:imgEffect>
                    <a14:brightnessContrast contrast="1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8158" b="8325"/>
        <a:stretch/>
      </xdr:blipFill>
      <xdr:spPr>
        <a:xfrm>
          <a:off x="11029950" y="4152900"/>
          <a:ext cx="15449550" cy="1395302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1615770</xdr:colOff>
      <xdr:row>2</xdr:row>
      <xdr:rowOff>133894</xdr:rowOff>
    </xdr:from>
    <xdr:to>
      <xdr:col>6</xdr:col>
      <xdr:colOff>674705</xdr:colOff>
      <xdr:row>2</xdr:row>
      <xdr:rowOff>388325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 txBox="1"/>
      </xdr:nvSpPr>
      <xdr:spPr>
        <a:xfrm rot="10800000" flipH="1" flipV="1">
          <a:off x="4450172" y="514894"/>
          <a:ext cx="1118289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5</xdr:col>
      <xdr:colOff>1952595</xdr:colOff>
      <xdr:row>0</xdr:row>
      <xdr:rowOff>91651</xdr:rowOff>
    </xdr:from>
    <xdr:to>
      <xdr:col>6</xdr:col>
      <xdr:colOff>312431</xdr:colOff>
      <xdr:row>2</xdr:row>
      <xdr:rowOff>113501</xdr:rowOff>
    </xdr:to>
    <xdr:pic>
      <xdr:nvPicPr>
        <xdr:cNvPr id="16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86997" y="91651"/>
          <a:ext cx="418213" cy="40285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845700</xdr:colOff>
      <xdr:row>5</xdr:row>
      <xdr:rowOff>179850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40AF9AC3-AE9B-4BF4-A4AD-F3E97E5BD7B5}"/>
            </a:ext>
          </a:extLst>
        </xdr:cNvPr>
        <xdr:cNvSpPr/>
      </xdr:nvSpPr>
      <xdr:spPr>
        <a:xfrm>
          <a:off x="266700" y="1352550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952500</xdr:colOff>
      <xdr:row>3</xdr:row>
      <xdr:rowOff>190500</xdr:rowOff>
    </xdr:from>
    <xdr:to>
      <xdr:col>7</xdr:col>
      <xdr:colOff>921900</xdr:colOff>
      <xdr:row>5</xdr:row>
      <xdr:rowOff>179850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C848A7C6-D013-4CEC-BF4A-0C55D6414E9F}"/>
            </a:ext>
          </a:extLst>
        </xdr:cNvPr>
        <xdr:cNvSpPr/>
      </xdr:nvSpPr>
      <xdr:spPr>
        <a:xfrm>
          <a:off x="5829300" y="13525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8</xdr:col>
      <xdr:colOff>640200</xdr:colOff>
      <xdr:row>3</xdr:row>
      <xdr:rowOff>209552</xdr:rowOff>
    </xdr:from>
    <xdr:to>
      <xdr:col>10</xdr:col>
      <xdr:colOff>1200150</xdr:colOff>
      <xdr:row>6</xdr:row>
      <xdr:rowOff>8402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6614F270-C3E8-4DA4-B197-D0A65514F2CC}"/>
            </a:ext>
          </a:extLst>
        </xdr:cNvPr>
        <xdr:cNvSpPr/>
      </xdr:nvSpPr>
      <xdr:spPr>
        <a:xfrm>
          <a:off x="11041500" y="1371602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10</xdr:col>
      <xdr:colOff>2857500</xdr:colOff>
      <xdr:row>3</xdr:row>
      <xdr:rowOff>171452</xdr:rowOff>
    </xdr:from>
    <xdr:to>
      <xdr:col>12</xdr:col>
      <xdr:colOff>731400</xdr:colOff>
      <xdr:row>5</xdr:row>
      <xdr:rowOff>160802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9FD508A8-0C9B-43AF-B0B7-5639D954104C}"/>
            </a:ext>
          </a:extLst>
        </xdr:cNvPr>
        <xdr:cNvSpPr/>
      </xdr:nvSpPr>
      <xdr:spPr>
        <a:xfrm>
          <a:off x="16097250" y="1333502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13</xdr:col>
      <xdr:colOff>640896</xdr:colOff>
      <xdr:row>3</xdr:row>
      <xdr:rowOff>171452</xdr:rowOff>
    </xdr:from>
    <xdr:to>
      <xdr:col>14</xdr:col>
      <xdr:colOff>534096</xdr:colOff>
      <xdr:row>5</xdr:row>
      <xdr:rowOff>160802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DC3EA4EA-D623-49F1-8D39-41821F3EF0FA}"/>
            </a:ext>
          </a:extLst>
        </xdr:cNvPr>
        <xdr:cNvSpPr/>
      </xdr:nvSpPr>
      <xdr:spPr>
        <a:xfrm>
          <a:off x="21119646" y="1333502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14</xdr:col>
      <xdr:colOff>2158093</xdr:colOff>
      <xdr:row>3</xdr:row>
      <xdr:rowOff>171452</xdr:rowOff>
    </xdr:from>
    <xdr:to>
      <xdr:col>15</xdr:col>
      <xdr:colOff>2698993</xdr:colOff>
      <xdr:row>5</xdr:row>
      <xdr:rowOff>160802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id="{E4631C0A-D19F-4D54-BBD1-1CA97DB843D4}"/>
            </a:ext>
          </a:extLst>
        </xdr:cNvPr>
        <xdr:cNvSpPr/>
      </xdr:nvSpPr>
      <xdr:spPr>
        <a:xfrm>
          <a:off x="26142043" y="1333502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1AB7B0DD-FB06-421F-9690-CCA1966000A7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5074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21</xdr:col>
      <xdr:colOff>230508</xdr:colOff>
      <xdr:row>3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659F94F6-A5B8-4FBB-B18B-D5CC30C0D270}"/>
            </a:ext>
          </a:extLst>
        </xdr:cNvPr>
        <xdr:cNvGrpSpPr/>
      </xdr:nvGrpSpPr>
      <xdr:grpSpPr>
        <a:xfrm>
          <a:off x="2438400" y="0"/>
          <a:ext cx="30539058" cy="1162050"/>
          <a:chOff x="2438400" y="0"/>
          <a:chExt cx="30539058" cy="1162050"/>
        </a:xfrm>
      </xdr:grpSpPr>
      <xdr:grpSp>
        <xdr:nvGrpSpPr>
          <xdr:cNvPr id="29" name="Agrupar 28">
            <a:extLst>
              <a:ext uri="{FF2B5EF4-FFF2-40B4-BE49-F238E27FC236}">
                <a16:creationId xmlns:a16="http://schemas.microsoft.com/office/drawing/2014/main" id="{DBC0329D-72D4-45E8-84B5-79585B9A3B47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70" name="Retângulo 69">
              <a:extLst>
                <a:ext uri="{FF2B5EF4-FFF2-40B4-BE49-F238E27FC236}">
                  <a16:creationId xmlns:a16="http://schemas.microsoft.com/office/drawing/2014/main" id="{ACB56EBB-1BD1-4220-B001-1114A4DDDFED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71" name="Imagem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455B680D-F024-4648-BB6B-EC125C17FA5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72" name="CaixaDeTexto 71">
              <a:extLst>
                <a:ext uri="{FF2B5EF4-FFF2-40B4-BE49-F238E27FC236}">
                  <a16:creationId xmlns:a16="http://schemas.microsoft.com/office/drawing/2014/main" id="{5070C323-4F6A-4317-A529-0A5CC2C8A0F9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3" name="Agrupar 2">
            <a:extLst>
              <a:ext uri="{FF2B5EF4-FFF2-40B4-BE49-F238E27FC236}">
                <a16:creationId xmlns:a16="http://schemas.microsoft.com/office/drawing/2014/main" id="{67396995-20F5-4620-A4CC-95C165CAFD62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67" name="Retângulo 66">
              <a:extLst>
                <a:ext uri="{FF2B5EF4-FFF2-40B4-BE49-F238E27FC236}">
                  <a16:creationId xmlns:a16="http://schemas.microsoft.com/office/drawing/2014/main" id="{70812E4A-7B18-439E-844F-BD7ECA7E487A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8" name="CaixaDeTexto 67">
              <a:extLst>
                <a:ext uri="{FF2B5EF4-FFF2-40B4-BE49-F238E27FC236}">
                  <a16:creationId xmlns:a16="http://schemas.microsoft.com/office/drawing/2014/main" id="{C5DF049E-BB40-4160-8C38-1740045DA3B5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69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E2705AF3-C447-4AB7-BF33-5773A13F7E8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4" name="Agrupar 3">
            <a:extLst>
              <a:ext uri="{FF2B5EF4-FFF2-40B4-BE49-F238E27FC236}">
                <a16:creationId xmlns:a16="http://schemas.microsoft.com/office/drawing/2014/main" id="{FAE089E5-C30A-4D06-919A-D1FDE4577291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64" name="Retângulo 63">
              <a:extLst>
                <a:ext uri="{FF2B5EF4-FFF2-40B4-BE49-F238E27FC236}">
                  <a16:creationId xmlns:a16="http://schemas.microsoft.com/office/drawing/2014/main" id="{61EB224C-595E-4E01-A559-8C2ADFFB05E5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5" name="CaixaDeTexto 64">
              <a:extLst>
                <a:ext uri="{FF2B5EF4-FFF2-40B4-BE49-F238E27FC236}">
                  <a16:creationId xmlns:a16="http://schemas.microsoft.com/office/drawing/2014/main" id="{E094E5E2-5E3F-452D-9A8D-6D44DF8814B9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66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C516F19C-68B7-4E45-8819-639AB26C22D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32" name="Agrupar 31">
            <a:extLst>
              <a:ext uri="{FF2B5EF4-FFF2-40B4-BE49-F238E27FC236}">
                <a16:creationId xmlns:a16="http://schemas.microsoft.com/office/drawing/2014/main" id="{57986F1E-D922-45B9-8334-5912E9C52E96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61" name="Retângulo 60">
              <a:extLst>
                <a:ext uri="{FF2B5EF4-FFF2-40B4-BE49-F238E27FC236}">
                  <a16:creationId xmlns:a16="http://schemas.microsoft.com/office/drawing/2014/main" id="{23B508FC-DF41-4A1E-8BC0-37CC75F10928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2" name="CaixaDeTexto 61">
              <a:extLst>
                <a:ext uri="{FF2B5EF4-FFF2-40B4-BE49-F238E27FC236}">
                  <a16:creationId xmlns:a16="http://schemas.microsoft.com/office/drawing/2014/main" id="{E914EE36-78CB-48A9-98E0-7B30468C5902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63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882C2071-0B7D-4BAE-A826-446A71D44B1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33" name="Agrupar 32">
            <a:extLst>
              <a:ext uri="{FF2B5EF4-FFF2-40B4-BE49-F238E27FC236}">
                <a16:creationId xmlns:a16="http://schemas.microsoft.com/office/drawing/2014/main" id="{9B77ED5A-6449-43E2-B86F-3137AA4C49B9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58" name="Retângulo 57">
              <a:extLst>
                <a:ext uri="{FF2B5EF4-FFF2-40B4-BE49-F238E27FC236}">
                  <a16:creationId xmlns:a16="http://schemas.microsoft.com/office/drawing/2014/main" id="{D4243DB1-EB20-4F68-BCB4-66A3244822CC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9" name="CaixaDeTexto 58">
              <a:extLst>
                <a:ext uri="{FF2B5EF4-FFF2-40B4-BE49-F238E27FC236}">
                  <a16:creationId xmlns:a16="http://schemas.microsoft.com/office/drawing/2014/main" id="{11915277-CCE7-4BD7-BF82-137AC7508ED8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60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52AD9C40-5794-43CB-A4C7-4C0C3481746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34" name="Agrupar 33">
            <a:extLst>
              <a:ext uri="{FF2B5EF4-FFF2-40B4-BE49-F238E27FC236}">
                <a16:creationId xmlns:a16="http://schemas.microsoft.com/office/drawing/2014/main" id="{F5DC523D-1783-485F-84BA-2705E56DEC49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55" name="Retângulo 54">
              <a:extLst>
                <a:ext uri="{FF2B5EF4-FFF2-40B4-BE49-F238E27FC236}">
                  <a16:creationId xmlns:a16="http://schemas.microsoft.com/office/drawing/2014/main" id="{D26CFE17-C82B-4AD0-82DE-66D4CD86BDC9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6" name="CaixaDeTexto 55">
              <a:extLst>
                <a:ext uri="{FF2B5EF4-FFF2-40B4-BE49-F238E27FC236}">
                  <a16:creationId xmlns:a16="http://schemas.microsoft.com/office/drawing/2014/main" id="{748E2A1B-0DAB-40AC-92EC-2BAFB40230DC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57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64501E5E-214B-4231-8473-31C40F7158D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35" name="Agrupar 34">
            <a:extLst>
              <a:ext uri="{FF2B5EF4-FFF2-40B4-BE49-F238E27FC236}">
                <a16:creationId xmlns:a16="http://schemas.microsoft.com/office/drawing/2014/main" id="{30AED1C0-CA2B-4AE9-B134-4C66D0FED7DA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52" name="Retângulo 51">
              <a:extLst>
                <a:ext uri="{FF2B5EF4-FFF2-40B4-BE49-F238E27FC236}">
                  <a16:creationId xmlns:a16="http://schemas.microsoft.com/office/drawing/2014/main" id="{773058B3-297D-4558-8CBF-F80E6E4E7850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3" name="CaixaDeTexto 52">
              <a:extLst>
                <a:ext uri="{FF2B5EF4-FFF2-40B4-BE49-F238E27FC236}">
                  <a16:creationId xmlns:a16="http://schemas.microsoft.com/office/drawing/2014/main" id="{71A8CAE2-9559-40AA-974B-5541829C7828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54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6876FD07-6135-4E32-8C93-63D5EBA49F3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36" name="Agrupar 35">
            <a:extLst>
              <a:ext uri="{FF2B5EF4-FFF2-40B4-BE49-F238E27FC236}">
                <a16:creationId xmlns:a16="http://schemas.microsoft.com/office/drawing/2014/main" id="{EE5C11E8-3833-4DA2-9027-602B4DA07BBF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49" name="Retângulo 48">
              <a:extLst>
                <a:ext uri="{FF2B5EF4-FFF2-40B4-BE49-F238E27FC236}">
                  <a16:creationId xmlns:a16="http://schemas.microsoft.com/office/drawing/2014/main" id="{08EEC6FF-141D-46C3-9328-414FAA61BA65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0" name="CaixaDeTexto 49">
              <a:extLst>
                <a:ext uri="{FF2B5EF4-FFF2-40B4-BE49-F238E27FC236}">
                  <a16:creationId xmlns:a16="http://schemas.microsoft.com/office/drawing/2014/main" id="{B930003C-D9AE-45AA-B72F-E43ACC4F7BD2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51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9678B13A-06EA-4913-B035-2AB2BE65F3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37" name="Agrupar 36">
            <a:extLst>
              <a:ext uri="{FF2B5EF4-FFF2-40B4-BE49-F238E27FC236}">
                <a16:creationId xmlns:a16="http://schemas.microsoft.com/office/drawing/2014/main" id="{341FE64D-0CB6-4846-92A1-5A2FD0386C4D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38" name="Retângulo 37">
              <a:extLst>
                <a:ext uri="{FF2B5EF4-FFF2-40B4-BE49-F238E27FC236}">
                  <a16:creationId xmlns:a16="http://schemas.microsoft.com/office/drawing/2014/main" id="{855D405E-E3EF-4AF7-AC0C-1B8ADFC7F52F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9" name="CaixaDeTexto 38">
              <a:extLst>
                <a:ext uri="{FF2B5EF4-FFF2-40B4-BE49-F238E27FC236}">
                  <a16:creationId xmlns:a16="http://schemas.microsoft.com/office/drawing/2014/main" id="{F04D02A3-0122-49B5-9F5D-E0602B7822FC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48" name="Imagem 47" descr="Ícone do banco de dados (símbolo png) preto">
              <a:extLst>
                <a:ext uri="{FF2B5EF4-FFF2-40B4-BE49-F238E27FC236}">
                  <a16:creationId xmlns:a16="http://schemas.microsoft.com/office/drawing/2014/main" id="{8295F4D8-926F-4E6E-ABEF-BB9214AC62CD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A5A9444-C0E9-4DB3-AC4A-AC68ECE80C30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99C9F69-91E8-42C7-B9BA-0E2CC94225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9FC3853B-6846-4D45-83DC-530F549A9E77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75A6E65E-C32F-4FE3-8FCE-971BC9202D44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11</xdr:col>
      <xdr:colOff>1573650</xdr:colOff>
      <xdr:row>3</xdr:row>
      <xdr:rowOff>209552</xdr:rowOff>
    </xdr:from>
    <xdr:to>
      <xdr:col>13</xdr:col>
      <xdr:colOff>971550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DE3F393C-BD4C-4DE4-ABFC-A9BDC8B5BAE0}"/>
            </a:ext>
          </a:extLst>
        </xdr:cNvPr>
        <xdr:cNvSpPr/>
      </xdr:nvSpPr>
      <xdr:spPr>
        <a:xfrm>
          <a:off x="11022450" y="1352552"/>
          <a:ext cx="340221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13</xdr:col>
      <xdr:colOff>2628900</xdr:colOff>
      <xdr:row>3</xdr:row>
      <xdr:rowOff>171452</xdr:rowOff>
    </xdr:from>
    <xdr:to>
      <xdr:col>15</xdr:col>
      <xdr:colOff>998100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48F317D0-C8DC-4D17-896A-7C471EE42A1D}"/>
            </a:ext>
          </a:extLst>
        </xdr:cNvPr>
        <xdr:cNvSpPr/>
      </xdr:nvSpPr>
      <xdr:spPr>
        <a:xfrm>
          <a:off x="16082010" y="1314452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16</xdr:col>
      <xdr:colOff>374196</xdr:colOff>
      <xdr:row>3</xdr:row>
      <xdr:rowOff>171452</xdr:rowOff>
    </xdr:from>
    <xdr:to>
      <xdr:col>17</xdr:col>
      <xdr:colOff>1219896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D3F60EBA-3C70-43C0-9EA2-23CD807F8422}"/>
            </a:ext>
          </a:extLst>
        </xdr:cNvPr>
        <xdr:cNvSpPr/>
      </xdr:nvSpPr>
      <xdr:spPr>
        <a:xfrm>
          <a:off x="21104406" y="1314452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19</xdr:col>
      <xdr:colOff>138793</xdr:colOff>
      <xdr:row>3</xdr:row>
      <xdr:rowOff>171452</xdr:rowOff>
    </xdr:from>
    <xdr:to>
      <xdr:col>24</xdr:col>
      <xdr:colOff>489193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C4F57878-C483-45A9-A400-589C8BB2ECD8}"/>
            </a:ext>
          </a:extLst>
        </xdr:cNvPr>
        <xdr:cNvSpPr/>
      </xdr:nvSpPr>
      <xdr:spPr>
        <a:xfrm>
          <a:off x="26126803" y="1314452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AD41383-AA64-401B-BB1B-06A400957886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30</xdr:col>
      <xdr:colOff>268608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0FEAE5E1-3821-46BA-9F11-820456CC4E54}"/>
            </a:ext>
          </a:extLst>
        </xdr:cNvPr>
        <xdr:cNvGrpSpPr/>
      </xdr:nvGrpSpPr>
      <xdr:grpSpPr>
        <a:xfrm>
          <a:off x="2438400" y="0"/>
          <a:ext cx="30539058" cy="1162050"/>
          <a:chOff x="2438400" y="0"/>
          <a:chExt cx="30539058" cy="1162050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id="{FA73073F-0647-46C6-8FB8-E5680BCBA716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46" name="Retângulo 45">
              <a:extLst>
                <a:ext uri="{FF2B5EF4-FFF2-40B4-BE49-F238E27FC236}">
                  <a16:creationId xmlns:a16="http://schemas.microsoft.com/office/drawing/2014/main" id="{1E1260FF-E42C-41BD-8DFF-4480D59F2B0B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47" name="Imagem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4F452992-8991-4057-BE65-87584FA959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id="{D6092158-A6D1-4C9C-942F-161562D094CD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14" name="Agrupar 13">
            <a:extLst>
              <a:ext uri="{FF2B5EF4-FFF2-40B4-BE49-F238E27FC236}">
                <a16:creationId xmlns:a16="http://schemas.microsoft.com/office/drawing/2014/main" id="{BBEB7C33-E23C-48BC-BD82-B2C917CF263F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id="{B151588F-177C-4379-9AA8-CF75D2BB5292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id="{5C3EFB2C-E0AB-44A6-BB68-AE5D30A038B7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45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C765042E-80D8-41F0-AF34-E9B431AF54D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id="{E2787F60-C405-4012-BED6-46FB76C25A27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id="{B054AC1A-61F6-4DA9-9713-30938F934250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E619B64C-E607-43DE-B62C-4710C203C6EE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42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99DC5510-9D9A-4F4F-81EC-23841DC3344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id="{6DE37C33-4666-4D46-8CE2-F609A763DE92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:a16="http://schemas.microsoft.com/office/drawing/2014/main" id="{20702453-EBCA-4BEE-BC48-25F8C1624D54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id="{8E37FB79-2B5A-40FD-88E6-F3B3BCF283CF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39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FC236C86-7471-4C50-AD17-A1D10B6993E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id="{BD17D19E-EB4C-42AC-85D1-B0A8CCCB4CFE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34" name="Retângulo 33">
              <a:extLst>
                <a:ext uri="{FF2B5EF4-FFF2-40B4-BE49-F238E27FC236}">
                  <a16:creationId xmlns:a16="http://schemas.microsoft.com/office/drawing/2014/main" id="{11EB871A-C252-436D-8689-0653D6CD78F6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CaixaDeTexto 34">
              <a:extLst>
                <a:ext uri="{FF2B5EF4-FFF2-40B4-BE49-F238E27FC236}">
                  <a16:creationId xmlns:a16="http://schemas.microsoft.com/office/drawing/2014/main" id="{01D3752D-2B81-4A6A-A78F-73D8CC1E96D6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36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5CCCD1BF-71E9-463A-A2A2-799CEFC62F3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979622A7-7EBC-4922-A2E8-3EE85E94D094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31" name="Retângulo 30">
              <a:extLst>
                <a:ext uri="{FF2B5EF4-FFF2-40B4-BE49-F238E27FC236}">
                  <a16:creationId xmlns:a16="http://schemas.microsoft.com/office/drawing/2014/main" id="{0ADC81F0-B5E1-4BBF-A6C6-5FC9B524A21F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id="{3DB8B14C-C312-4243-9B9C-6DA29A449009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33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988A24A4-4280-404F-92B2-D71E8FD5735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id="{8198932C-FD80-41E5-9882-E3FF784DAF0C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id="{D74AD763-A181-47CB-A617-30E99F59AF67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id="{66FAA381-D526-4203-9DE3-AE6CD3A656A8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30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F7A24312-A00A-460F-B65C-50FEDC8E3B6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D2521B5E-BB4E-4165-9E01-A9AE4967DE15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25" name="Retângulo 24">
              <a:extLst>
                <a:ext uri="{FF2B5EF4-FFF2-40B4-BE49-F238E27FC236}">
                  <a16:creationId xmlns:a16="http://schemas.microsoft.com/office/drawing/2014/main" id="{911DC054-4D47-4357-8344-37FAC243F742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CaixaDeTexto 25">
              <a:extLst>
                <a:ext uri="{FF2B5EF4-FFF2-40B4-BE49-F238E27FC236}">
                  <a16:creationId xmlns:a16="http://schemas.microsoft.com/office/drawing/2014/main" id="{8A365D9D-5427-41A0-B637-5E87F9653C25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27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E044BBF3-EB65-43A1-A37F-6F11392A02B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97AC923D-EEC2-410A-98F3-493FD2B2CC08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id="{33C20F95-C52D-42D1-B4B5-74E0A61B6DCF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id="{C4683181-D8C4-436F-828F-38ED55A433BB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24" name="Imagem 23" descr="Ícone do banco de dados (símbolo png) preto">
              <a:extLst>
                <a:ext uri="{FF2B5EF4-FFF2-40B4-BE49-F238E27FC236}">
                  <a16:creationId xmlns:a16="http://schemas.microsoft.com/office/drawing/2014/main" id="{5ACF5A17-9FB0-44E0-8C97-C8B57C7DB421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332CBB9B-42E0-428F-B7D6-C19C3B2A4BDA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33D1184-65E3-4699-A509-D1FF62DF1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C7C9FB54-E97F-4E44-B4E4-564C321D1335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5FE90BFC-2831-481F-B0F0-6D81AA9627C7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11</xdr:col>
      <xdr:colOff>1611750</xdr:colOff>
      <xdr:row>3</xdr:row>
      <xdr:rowOff>209552</xdr:rowOff>
    </xdr:from>
    <xdr:to>
      <xdr:col>13</xdr:col>
      <xdr:colOff>1428750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8169F5F8-FC79-4EC0-AEC9-CA241F02DDAF}"/>
            </a:ext>
          </a:extLst>
        </xdr:cNvPr>
        <xdr:cNvSpPr/>
      </xdr:nvSpPr>
      <xdr:spPr>
        <a:xfrm>
          <a:off x="11030070" y="1352552"/>
          <a:ext cx="3398400" cy="75135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14</xdr:col>
      <xdr:colOff>1028700</xdr:colOff>
      <xdr:row>3</xdr:row>
      <xdr:rowOff>171452</xdr:rowOff>
    </xdr:from>
    <xdr:to>
      <xdr:col>15</xdr:col>
      <xdr:colOff>845700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5B53735D-7C10-4E06-B717-3F8F30B57BA5}"/>
            </a:ext>
          </a:extLst>
        </xdr:cNvPr>
        <xdr:cNvSpPr/>
      </xdr:nvSpPr>
      <xdr:spPr>
        <a:xfrm>
          <a:off x="16085820" y="1314452"/>
          <a:ext cx="338316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16</xdr:col>
      <xdr:colOff>564696</xdr:colOff>
      <xdr:row>3</xdr:row>
      <xdr:rowOff>171452</xdr:rowOff>
    </xdr:from>
    <xdr:to>
      <xdr:col>18</xdr:col>
      <xdr:colOff>76896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B68D2A24-DEFC-4B80-87CE-507CB3AB6D1E}"/>
            </a:ext>
          </a:extLst>
        </xdr:cNvPr>
        <xdr:cNvSpPr/>
      </xdr:nvSpPr>
      <xdr:spPr>
        <a:xfrm>
          <a:off x="21085356" y="1314452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18</xdr:col>
      <xdr:colOff>1700893</xdr:colOff>
      <xdr:row>3</xdr:row>
      <xdr:rowOff>171452</xdr:rowOff>
    </xdr:from>
    <xdr:to>
      <xdr:col>23</xdr:col>
      <xdr:colOff>489193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F0ADDA53-DF65-47CA-8CE3-6232862F50D1}"/>
            </a:ext>
          </a:extLst>
        </xdr:cNvPr>
        <xdr:cNvSpPr/>
      </xdr:nvSpPr>
      <xdr:spPr>
        <a:xfrm>
          <a:off x="26107753" y="1314452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5DBA03EB-AE50-47AB-ACF6-26E3E4FD945D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29</xdr:col>
      <xdr:colOff>268608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F2759A86-849A-492E-BD16-5E8D3DE6A437}"/>
            </a:ext>
          </a:extLst>
        </xdr:cNvPr>
        <xdr:cNvGrpSpPr/>
      </xdr:nvGrpSpPr>
      <xdr:grpSpPr>
        <a:xfrm>
          <a:off x="2438400" y="0"/>
          <a:ext cx="30539058" cy="1162050"/>
          <a:chOff x="2438400" y="0"/>
          <a:chExt cx="30539058" cy="1162050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id="{65FD128C-4E46-46E8-AAD4-98B01DD983EB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46" name="Retângulo 45">
              <a:extLst>
                <a:ext uri="{FF2B5EF4-FFF2-40B4-BE49-F238E27FC236}">
                  <a16:creationId xmlns:a16="http://schemas.microsoft.com/office/drawing/2014/main" id="{A24407F1-D12A-4726-8C55-85C0002B330B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47" name="Imagem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9210C2AC-14BE-4A3B-8357-88E6C5AB365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id="{44B43CA0-2B0E-4828-855F-6CC889231163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14" name="Agrupar 13">
            <a:extLst>
              <a:ext uri="{FF2B5EF4-FFF2-40B4-BE49-F238E27FC236}">
                <a16:creationId xmlns:a16="http://schemas.microsoft.com/office/drawing/2014/main" id="{69C4C5CF-8097-4473-9873-A3BA088244BB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id="{06A5E027-A7F7-4257-AF5D-85C59FAF72AC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id="{CFA6C075-307C-4AE7-B9C1-C527F3308834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45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71BD1B3D-D471-4E4F-9D20-D2B4B30F8BD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id="{B85847C9-7CE1-4B5F-8FEA-7901DE7C5724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id="{514B9D7A-F973-4A13-BE3F-46C2786E9661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987C6092-480D-4D34-BEAA-82C72B19A1FF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42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6309B487-5EA7-41B2-A058-B38EF259478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id="{DB2EAB78-78FB-4003-8479-16617BE183DC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:a16="http://schemas.microsoft.com/office/drawing/2014/main" id="{3AF6945F-618A-4995-8D67-EEB9ED48927B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id="{51768FCE-5F04-4B9C-9C6B-E106C3A83B04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39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D15351F6-A177-4EA0-800D-68C9739FE6F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id="{0225E516-02F8-4E4A-8EE6-8200E9545492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34" name="Retângulo 33">
              <a:extLst>
                <a:ext uri="{FF2B5EF4-FFF2-40B4-BE49-F238E27FC236}">
                  <a16:creationId xmlns:a16="http://schemas.microsoft.com/office/drawing/2014/main" id="{2FD67F15-836C-4457-9A8F-D61197892D19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CaixaDeTexto 34">
              <a:extLst>
                <a:ext uri="{FF2B5EF4-FFF2-40B4-BE49-F238E27FC236}">
                  <a16:creationId xmlns:a16="http://schemas.microsoft.com/office/drawing/2014/main" id="{9B9890AB-E06C-4D02-8E0C-F05C9038130C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36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A8751B4C-3BF4-476B-801C-F099100C96C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163293AE-43E4-4663-827C-162C34C24903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31" name="Retângulo 30">
              <a:extLst>
                <a:ext uri="{FF2B5EF4-FFF2-40B4-BE49-F238E27FC236}">
                  <a16:creationId xmlns:a16="http://schemas.microsoft.com/office/drawing/2014/main" id="{0BB5E6A3-1EC2-4178-825F-76918367A547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id="{2CFF783D-E1F2-4298-AF0E-29CCE4C6BCDC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33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CD7E565B-A81F-43E6-8465-672BB493F8E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id="{32285D10-9049-47AC-851F-485C6AFB534D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id="{D224B51F-DBCB-4D34-9EC1-162BBDE1080E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id="{092A305D-309C-43D8-9623-E6EA214B5413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30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576100DF-5439-4446-812F-E85090364F7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2AD76C42-B054-4A8C-BF14-22307BE32457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25" name="Retângulo 24">
              <a:extLst>
                <a:ext uri="{FF2B5EF4-FFF2-40B4-BE49-F238E27FC236}">
                  <a16:creationId xmlns:a16="http://schemas.microsoft.com/office/drawing/2014/main" id="{DF7FCB38-859C-4017-9B17-DBFEB3A7DD95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CaixaDeTexto 25">
              <a:extLst>
                <a:ext uri="{FF2B5EF4-FFF2-40B4-BE49-F238E27FC236}">
                  <a16:creationId xmlns:a16="http://schemas.microsoft.com/office/drawing/2014/main" id="{5D9EA1AB-1FA8-4905-BC0D-D4163173056F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27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7EB2D1CC-202A-405F-AD5B-80C5B19BBF7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046482A3-7EBC-4800-8A3C-890B454749FC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id="{B338D797-C7F9-44ED-A2A3-5008E06F5676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id="{12E371FF-E8CE-4DB0-9736-C3AA198905A0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24" name="Imagem 23" descr="Ícone do banco de dados (símbolo png) preto">
              <a:extLst>
                <a:ext uri="{FF2B5EF4-FFF2-40B4-BE49-F238E27FC236}">
                  <a16:creationId xmlns:a16="http://schemas.microsoft.com/office/drawing/2014/main" id="{9EF4D79A-C84D-4BF4-B9A9-1E6E4E104D4C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E46A6F86-34B5-42F4-B663-D69B6932371C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8318984-2E8D-4A18-898D-92C3862ABE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711A9F05-4893-4D6F-9097-CA931DEBB0E1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BA2992B7-443D-4C7A-B3FD-D3A129C9C52A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11</xdr:col>
      <xdr:colOff>1573650</xdr:colOff>
      <xdr:row>3</xdr:row>
      <xdr:rowOff>209552</xdr:rowOff>
    </xdr:from>
    <xdr:to>
      <xdr:col>13</xdr:col>
      <xdr:colOff>1428750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9C01BDEF-1A1C-4A8F-A16D-52C098FB93C8}"/>
            </a:ext>
          </a:extLst>
        </xdr:cNvPr>
        <xdr:cNvSpPr/>
      </xdr:nvSpPr>
      <xdr:spPr>
        <a:xfrm>
          <a:off x="11030070" y="1352552"/>
          <a:ext cx="338316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14</xdr:col>
      <xdr:colOff>1333500</xdr:colOff>
      <xdr:row>3</xdr:row>
      <xdr:rowOff>171452</xdr:rowOff>
    </xdr:from>
    <xdr:to>
      <xdr:col>15</xdr:col>
      <xdr:colOff>3055500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CB001EB8-6CCC-494A-807C-6BF5B6A48BE2}"/>
            </a:ext>
          </a:extLst>
        </xdr:cNvPr>
        <xdr:cNvSpPr/>
      </xdr:nvSpPr>
      <xdr:spPr>
        <a:xfrm>
          <a:off x="16062960" y="1314452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17</xdr:col>
      <xdr:colOff>145596</xdr:colOff>
      <xdr:row>3</xdr:row>
      <xdr:rowOff>171452</xdr:rowOff>
    </xdr:from>
    <xdr:to>
      <xdr:col>18</xdr:col>
      <xdr:colOff>1067496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EB04E908-61FC-49DB-A2B1-902DCCA786F4}"/>
            </a:ext>
          </a:extLst>
        </xdr:cNvPr>
        <xdr:cNvSpPr/>
      </xdr:nvSpPr>
      <xdr:spPr>
        <a:xfrm>
          <a:off x="21085356" y="1314452"/>
          <a:ext cx="338316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19</xdr:col>
      <xdr:colOff>519793</xdr:colOff>
      <xdr:row>3</xdr:row>
      <xdr:rowOff>171452</xdr:rowOff>
    </xdr:from>
    <xdr:to>
      <xdr:col>25</xdr:col>
      <xdr:colOff>260593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9A1249D-1A53-4087-A227-B89D8C92F1A2}"/>
            </a:ext>
          </a:extLst>
        </xdr:cNvPr>
        <xdr:cNvSpPr/>
      </xdr:nvSpPr>
      <xdr:spPr>
        <a:xfrm>
          <a:off x="26092513" y="1314452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5D04748B-E3EB-441F-A033-723B7AC00348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31</xdr:col>
      <xdr:colOff>40008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459B1FA3-27E3-4FA5-AA45-3E8143D02F4A}"/>
            </a:ext>
          </a:extLst>
        </xdr:cNvPr>
        <xdr:cNvGrpSpPr/>
      </xdr:nvGrpSpPr>
      <xdr:grpSpPr>
        <a:xfrm>
          <a:off x="2438400" y="0"/>
          <a:ext cx="30539058" cy="1162050"/>
          <a:chOff x="2438400" y="0"/>
          <a:chExt cx="30539058" cy="1162050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id="{EC2640C8-7D25-4007-B084-723EE408EFD2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46" name="Retângulo 45">
              <a:extLst>
                <a:ext uri="{FF2B5EF4-FFF2-40B4-BE49-F238E27FC236}">
                  <a16:creationId xmlns:a16="http://schemas.microsoft.com/office/drawing/2014/main" id="{E09ADA43-9208-449E-B808-6D2662999B13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47" name="Imagem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5C992622-753B-4FA2-8C56-9426BEA4AEA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id="{7A8AC17D-D809-4D97-A67F-CBAA4B123ADE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14" name="Agrupar 13">
            <a:extLst>
              <a:ext uri="{FF2B5EF4-FFF2-40B4-BE49-F238E27FC236}">
                <a16:creationId xmlns:a16="http://schemas.microsoft.com/office/drawing/2014/main" id="{A34AACEB-0594-4541-8395-1573741896FA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id="{C989E42C-F4B5-46C1-832D-D5939F7B985A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id="{B8A7CF15-7399-428B-B227-4B0A91C650F2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45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A550BFC7-9761-4771-9B3D-CF423BC66B5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id="{6EE24B40-C6BC-425D-9870-1910EB6231C6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id="{C7B09224-7D70-4F59-AEAF-F67903644083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FB4D30FC-583F-4F9D-AC4A-F2FAF53497CA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42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8F5DD01E-5D67-4F37-A120-921ACDD91CD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id="{E246E766-5C6D-41C3-9982-B6530CF26430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:a16="http://schemas.microsoft.com/office/drawing/2014/main" id="{A780B809-B829-47E2-849E-336FF800D77E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id="{F3327C02-B3C7-4DCB-9302-9C8FBB6558A4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39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2C874A6A-4A1E-46AE-9D92-87F0B3A5B56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id="{BE76F083-55BC-46A7-97D1-A56CA863A37C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34" name="Retângulo 33">
              <a:extLst>
                <a:ext uri="{FF2B5EF4-FFF2-40B4-BE49-F238E27FC236}">
                  <a16:creationId xmlns:a16="http://schemas.microsoft.com/office/drawing/2014/main" id="{AD4B5A11-DC67-431A-947B-0FA7484FCBC5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CaixaDeTexto 34">
              <a:extLst>
                <a:ext uri="{FF2B5EF4-FFF2-40B4-BE49-F238E27FC236}">
                  <a16:creationId xmlns:a16="http://schemas.microsoft.com/office/drawing/2014/main" id="{564E9AB4-BC4F-4F5B-B6A6-6C3BEEFF6D5B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36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31EC43C8-CF12-41F6-B3D8-583CB1C7C7D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F3DAFB37-72BE-4F47-9F82-25B5A30C7E17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31" name="Retângulo 30">
              <a:extLst>
                <a:ext uri="{FF2B5EF4-FFF2-40B4-BE49-F238E27FC236}">
                  <a16:creationId xmlns:a16="http://schemas.microsoft.com/office/drawing/2014/main" id="{2A5C544A-85E1-4CD8-A4D0-910FBD0CF39D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id="{50C55E61-D9B4-4F6D-8AE0-A8AD5D93CF8F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33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8CA58D18-B3B9-4DF1-A312-1FFBEE16577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id="{879D6E33-07E3-4212-BC90-3BB7AFC7B753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id="{D667AB98-180C-4696-A61E-AC823B23B352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id="{0A8B7955-72C0-4A0D-B4EE-412CBE10970F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30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6C8BC7E4-0FEC-4C0B-8DD4-5FAAEBBE01B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47A048D1-16CA-4AEE-84E2-15DB076F899B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25" name="Retângulo 24">
              <a:extLst>
                <a:ext uri="{FF2B5EF4-FFF2-40B4-BE49-F238E27FC236}">
                  <a16:creationId xmlns:a16="http://schemas.microsoft.com/office/drawing/2014/main" id="{53106DBE-4F75-4B15-ACDF-8B3EA07C23B3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CaixaDeTexto 25">
              <a:extLst>
                <a:ext uri="{FF2B5EF4-FFF2-40B4-BE49-F238E27FC236}">
                  <a16:creationId xmlns:a16="http://schemas.microsoft.com/office/drawing/2014/main" id="{108C47E3-4BB9-412F-AB50-CCAE19B025CA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27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5A2C7F2D-C0DD-4ED4-99A5-FD5F6D51192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F9A99077-C52E-4348-A1B6-E5C4997D23B1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id="{DCA4E6FC-BBC7-4A03-ADF1-3F09163CA221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id="{90A44F1E-CC38-4A0D-BA18-EBFB38223C49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24" name="Imagem 23" descr="Ícone do banco de dados (símbolo png) preto">
              <a:extLst>
                <a:ext uri="{FF2B5EF4-FFF2-40B4-BE49-F238E27FC236}">
                  <a16:creationId xmlns:a16="http://schemas.microsoft.com/office/drawing/2014/main" id="{E5D1A61D-0CB3-413D-A6DF-2D7E7CE58D04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55AA8987-FDBA-404F-8D86-36EC9525DD7D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52F67D8-BC17-4504-B88E-8B802E31C9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1420EDA2-305E-4732-B24A-3190717272A2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B418D5D2-6666-412F-B71D-0108D78A42D3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11</xdr:col>
      <xdr:colOff>1611750</xdr:colOff>
      <xdr:row>3</xdr:row>
      <xdr:rowOff>209552</xdr:rowOff>
    </xdr:from>
    <xdr:to>
      <xdr:col>13</xdr:col>
      <xdr:colOff>1466850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53C67777-5BFB-478A-8FC3-987069DA1018}"/>
            </a:ext>
          </a:extLst>
        </xdr:cNvPr>
        <xdr:cNvSpPr/>
      </xdr:nvSpPr>
      <xdr:spPr>
        <a:xfrm>
          <a:off x="11014830" y="1352552"/>
          <a:ext cx="339840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14</xdr:col>
      <xdr:colOff>1371600</xdr:colOff>
      <xdr:row>3</xdr:row>
      <xdr:rowOff>171452</xdr:rowOff>
    </xdr:from>
    <xdr:to>
      <xdr:col>15</xdr:col>
      <xdr:colOff>3093600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8630C606-2B63-495C-9CD4-C1EFEF40E653}"/>
            </a:ext>
          </a:extLst>
        </xdr:cNvPr>
        <xdr:cNvSpPr/>
      </xdr:nvSpPr>
      <xdr:spPr>
        <a:xfrm>
          <a:off x="16062960" y="1314452"/>
          <a:ext cx="338316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17</xdr:col>
      <xdr:colOff>183696</xdr:colOff>
      <xdr:row>3</xdr:row>
      <xdr:rowOff>171452</xdr:rowOff>
    </xdr:from>
    <xdr:to>
      <xdr:col>18</xdr:col>
      <xdr:colOff>1105596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E1908186-8712-4D37-B206-DB25B49387DF}"/>
            </a:ext>
          </a:extLst>
        </xdr:cNvPr>
        <xdr:cNvSpPr/>
      </xdr:nvSpPr>
      <xdr:spPr>
        <a:xfrm>
          <a:off x="21062496" y="1314452"/>
          <a:ext cx="339078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19</xdr:col>
      <xdr:colOff>557893</xdr:colOff>
      <xdr:row>3</xdr:row>
      <xdr:rowOff>171452</xdr:rowOff>
    </xdr:from>
    <xdr:to>
      <xdr:col>25</xdr:col>
      <xdr:colOff>298693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400E6D7-4273-4CF8-BBE1-CF1BB7379D60}"/>
            </a:ext>
          </a:extLst>
        </xdr:cNvPr>
        <xdr:cNvSpPr/>
      </xdr:nvSpPr>
      <xdr:spPr>
        <a:xfrm>
          <a:off x="26069653" y="1314452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E8917B22-0931-49D4-B3D7-6C8208BF96AC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31</xdr:col>
      <xdr:colOff>78108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1B333A1E-1BFC-4A0A-BE1B-00F62D3C1FDD}"/>
            </a:ext>
          </a:extLst>
        </xdr:cNvPr>
        <xdr:cNvGrpSpPr/>
      </xdr:nvGrpSpPr>
      <xdr:grpSpPr>
        <a:xfrm>
          <a:off x="2438400" y="0"/>
          <a:ext cx="30539058" cy="1162050"/>
          <a:chOff x="2438400" y="0"/>
          <a:chExt cx="30539058" cy="1162050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id="{08456B89-A500-4F07-865D-47BBC305F32D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46" name="Retângulo 45">
              <a:extLst>
                <a:ext uri="{FF2B5EF4-FFF2-40B4-BE49-F238E27FC236}">
                  <a16:creationId xmlns:a16="http://schemas.microsoft.com/office/drawing/2014/main" id="{B1343E6E-CD5D-4D3E-AF74-08BDDFC6AA0E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47" name="Imagem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B8D033C2-C903-45B9-86A0-A76AEFAD03B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id="{165A0E30-7939-44C0-B27F-4AF1E2BA487A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14" name="Agrupar 13">
            <a:extLst>
              <a:ext uri="{FF2B5EF4-FFF2-40B4-BE49-F238E27FC236}">
                <a16:creationId xmlns:a16="http://schemas.microsoft.com/office/drawing/2014/main" id="{98FC930B-23DF-4099-95AC-CEFB60D4F465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id="{5BEBD185-D8B3-49BD-BD87-4474E5F840C4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id="{CF7DC053-EBD0-40EE-B346-8B397E71244F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45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30B0B55C-7961-428D-945A-D1C13EEBF4F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id="{C3F5BC23-43D8-4008-A6C1-E6B3ADB932CB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id="{5DC61640-B6CD-4467-BFCC-1DE85F4F6785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416FFAFE-1183-4028-A027-CDA556B36904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42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ED7C664B-C0CB-4865-8EB7-FA1C5C149EF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id="{1AA57F42-7C94-453B-AE5C-BEB45E465128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:a16="http://schemas.microsoft.com/office/drawing/2014/main" id="{22C485FB-6D4F-4A0D-948B-092DC49C1694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id="{307F4718-A8CD-49CD-9A01-A8C3BEE34905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39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87BFF4BA-C817-4C4E-B4C2-19945BABDBA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id="{E3DCE428-70CC-4C0D-89CF-AAF6AB94CE33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34" name="Retângulo 33">
              <a:extLst>
                <a:ext uri="{FF2B5EF4-FFF2-40B4-BE49-F238E27FC236}">
                  <a16:creationId xmlns:a16="http://schemas.microsoft.com/office/drawing/2014/main" id="{C03CCDDA-B053-4F7F-9CEC-FEC37AA5ED69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CaixaDeTexto 34">
              <a:extLst>
                <a:ext uri="{FF2B5EF4-FFF2-40B4-BE49-F238E27FC236}">
                  <a16:creationId xmlns:a16="http://schemas.microsoft.com/office/drawing/2014/main" id="{5B96FD53-C337-41AF-B037-3D5B93EC5BFD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36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CDDD127C-8BF9-4518-B437-B8BEE1972F1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A62AC6AF-2DB2-49FF-AC41-D669872D0506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31" name="Retângulo 30">
              <a:extLst>
                <a:ext uri="{FF2B5EF4-FFF2-40B4-BE49-F238E27FC236}">
                  <a16:creationId xmlns:a16="http://schemas.microsoft.com/office/drawing/2014/main" id="{AF199A47-F9B7-4271-BC5E-ABBBBD01CC0B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id="{3C4030D2-C35D-48C7-A14B-B01E7F31993D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33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828C18D9-BC46-489D-8C80-B17F207B249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id="{D41B5F03-DB21-4F59-B6AF-A8EB05AAD5F3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id="{E353AC11-7938-4EE5-9600-89CD8F2A73C0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id="{911FBD6C-038C-4546-BB2F-ED4534A1367C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30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58C0FCB7-1CDB-46C9-B0E5-C37D3C1D470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42192713-9455-494A-94C9-315565187E8E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25" name="Retângulo 24">
              <a:extLst>
                <a:ext uri="{FF2B5EF4-FFF2-40B4-BE49-F238E27FC236}">
                  <a16:creationId xmlns:a16="http://schemas.microsoft.com/office/drawing/2014/main" id="{46FAC898-1293-482C-8693-8F876F4CA166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CaixaDeTexto 25">
              <a:extLst>
                <a:ext uri="{FF2B5EF4-FFF2-40B4-BE49-F238E27FC236}">
                  <a16:creationId xmlns:a16="http://schemas.microsoft.com/office/drawing/2014/main" id="{0584CC8E-F997-46D2-AE5F-8AA88B9C6421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27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289F128F-734D-452A-9D3B-94625660531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B78BE553-FD5A-4D80-87DD-8B3EEB2B03C4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id="{F0363263-FFF5-49BB-85FD-6B27A85BFAD2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id="{E1C137B2-7C6A-45B5-AABD-B4368400F809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24" name="Imagem 23" descr="Ícone do banco de dados (símbolo png) preto">
              <a:extLst>
                <a:ext uri="{FF2B5EF4-FFF2-40B4-BE49-F238E27FC236}">
                  <a16:creationId xmlns:a16="http://schemas.microsoft.com/office/drawing/2014/main" id="{2EC31009-4A98-46D0-9116-C89A2AFBF08D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BC551E84-9571-4EB0-91A4-BE214B3CEFD9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3429287-11B8-4BFE-BA5D-B0B52B7DA9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69009CA1-0BC6-4935-B6A2-436D333002C8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A22CA828-ABB7-48CE-B437-DAAD82A71B01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11</xdr:col>
      <xdr:colOff>1649850</xdr:colOff>
      <xdr:row>3</xdr:row>
      <xdr:rowOff>209552</xdr:rowOff>
    </xdr:from>
    <xdr:to>
      <xdr:col>13</xdr:col>
      <xdr:colOff>1504950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8AF467DC-C77D-4850-A0E8-B20248015E34}"/>
            </a:ext>
          </a:extLst>
        </xdr:cNvPr>
        <xdr:cNvSpPr/>
      </xdr:nvSpPr>
      <xdr:spPr>
        <a:xfrm>
          <a:off x="11030070" y="1352552"/>
          <a:ext cx="339840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14</xdr:col>
      <xdr:colOff>1409700</xdr:colOff>
      <xdr:row>3</xdr:row>
      <xdr:rowOff>171452</xdr:rowOff>
    </xdr:from>
    <xdr:to>
      <xdr:col>16</xdr:col>
      <xdr:colOff>7500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C7A5EDD9-A2DE-4143-8818-2956D4953F61}"/>
            </a:ext>
          </a:extLst>
        </xdr:cNvPr>
        <xdr:cNvSpPr/>
      </xdr:nvSpPr>
      <xdr:spPr>
        <a:xfrm>
          <a:off x="16078200" y="1314452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17</xdr:col>
      <xdr:colOff>221796</xdr:colOff>
      <xdr:row>3</xdr:row>
      <xdr:rowOff>171452</xdr:rowOff>
    </xdr:from>
    <xdr:to>
      <xdr:col>18</xdr:col>
      <xdr:colOff>1143696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E1A16A1A-DD6F-40C1-82B2-82366FB17BB8}"/>
            </a:ext>
          </a:extLst>
        </xdr:cNvPr>
        <xdr:cNvSpPr/>
      </xdr:nvSpPr>
      <xdr:spPr>
        <a:xfrm>
          <a:off x="21077736" y="1314452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19</xdr:col>
      <xdr:colOff>595993</xdr:colOff>
      <xdr:row>3</xdr:row>
      <xdr:rowOff>171452</xdr:rowOff>
    </xdr:from>
    <xdr:to>
      <xdr:col>25</xdr:col>
      <xdr:colOff>336793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20093AC2-4177-4E5C-A0F2-688F23F104F4}"/>
            </a:ext>
          </a:extLst>
        </xdr:cNvPr>
        <xdr:cNvSpPr/>
      </xdr:nvSpPr>
      <xdr:spPr>
        <a:xfrm>
          <a:off x="26084893" y="1314452"/>
          <a:ext cx="339840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BC161C9F-5DDC-4636-9D4C-4729F9340953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31</xdr:col>
      <xdr:colOff>116208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03B81898-56EF-4889-B28E-17BBECAA34AE}"/>
            </a:ext>
          </a:extLst>
        </xdr:cNvPr>
        <xdr:cNvGrpSpPr/>
      </xdr:nvGrpSpPr>
      <xdr:grpSpPr>
        <a:xfrm>
          <a:off x="2438400" y="0"/>
          <a:ext cx="30539058" cy="1162050"/>
          <a:chOff x="2438400" y="0"/>
          <a:chExt cx="30539058" cy="1162050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id="{7EC7D8C2-40B7-4E94-B3BF-C57ADF7925DE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46" name="Retângulo 45">
              <a:extLst>
                <a:ext uri="{FF2B5EF4-FFF2-40B4-BE49-F238E27FC236}">
                  <a16:creationId xmlns:a16="http://schemas.microsoft.com/office/drawing/2014/main" id="{253FD071-8885-4BA9-8FEC-91A3B72452A0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47" name="Imagem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7BCE85BC-9B04-4AF1-A2E4-771CAE9EF95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id="{D828B53F-E317-40C4-BBC2-7F80843DCE7C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14" name="Agrupar 13">
            <a:extLst>
              <a:ext uri="{FF2B5EF4-FFF2-40B4-BE49-F238E27FC236}">
                <a16:creationId xmlns:a16="http://schemas.microsoft.com/office/drawing/2014/main" id="{F283C2E6-C486-4523-AD11-680D66280F14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id="{F4AF378B-A001-45DE-95D8-25DBD2E68E78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id="{65066A35-C7A2-435B-B5AB-6BFF42AB0F07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45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470F5E3E-54B4-47AE-A991-DD2951EAB5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id="{74290568-0DD0-40B3-82EB-1705AA164A45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id="{18503683-0138-43CB-859E-912259B9EDB3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5DCB2C5F-804B-4D41-87E5-9D2F23F7C72D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42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7CDB9ABC-B2BF-48D8-A74D-2799F797065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id="{C55E1544-0381-4930-9904-9E75BE462020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:a16="http://schemas.microsoft.com/office/drawing/2014/main" id="{F11704D4-BCDF-4036-BBED-26A48C62DEA0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id="{EA0BBCEE-8120-4BCB-BBD1-F9A3D81C9410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39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68FB7823-98BE-4E7F-8829-18B7DA13718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id="{DA1EBE65-C002-4089-B2C9-96859600AB5C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34" name="Retângulo 33">
              <a:extLst>
                <a:ext uri="{FF2B5EF4-FFF2-40B4-BE49-F238E27FC236}">
                  <a16:creationId xmlns:a16="http://schemas.microsoft.com/office/drawing/2014/main" id="{1424B3AA-53BB-4D2A-804B-DCC0474D827D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CaixaDeTexto 34">
              <a:extLst>
                <a:ext uri="{FF2B5EF4-FFF2-40B4-BE49-F238E27FC236}">
                  <a16:creationId xmlns:a16="http://schemas.microsoft.com/office/drawing/2014/main" id="{B8C4BA74-4D17-4C2D-9CCC-A6AB8D9EA459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36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5A3D87C9-6F7B-4B97-BEC3-29431FC50B5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C36B5C3A-44DF-4C24-944C-9BAC6B518188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31" name="Retângulo 30">
              <a:extLst>
                <a:ext uri="{FF2B5EF4-FFF2-40B4-BE49-F238E27FC236}">
                  <a16:creationId xmlns:a16="http://schemas.microsoft.com/office/drawing/2014/main" id="{6ED2D821-5FBF-4B81-9710-6AB9E6287477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id="{B00F3546-518F-45AE-9629-8EA708B0BC89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33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80820728-83E5-4936-946B-DA4C0ED551A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id="{0574098F-E6C1-4097-A2CF-1B5CADF8BD8E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id="{9A980CD5-F099-470C-AB44-9FC5545D6F36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id="{FBC0ED29-7D97-4957-BA99-7A19523361BF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30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CB63E44A-6604-406D-A5E4-06F968EC091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C8636A65-F970-4592-BE6A-C0FCAF433B62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25" name="Retângulo 24">
              <a:extLst>
                <a:ext uri="{FF2B5EF4-FFF2-40B4-BE49-F238E27FC236}">
                  <a16:creationId xmlns:a16="http://schemas.microsoft.com/office/drawing/2014/main" id="{0D43FC29-E52B-4C2E-8CD4-BA6C7F4D8FB0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CaixaDeTexto 25">
              <a:extLst>
                <a:ext uri="{FF2B5EF4-FFF2-40B4-BE49-F238E27FC236}">
                  <a16:creationId xmlns:a16="http://schemas.microsoft.com/office/drawing/2014/main" id="{F5A75C69-BEFE-459C-A56E-D7D79D87AFBE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27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87E0FED8-D2DB-4D38-8C3B-2900B66549F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2B455EDC-92D8-44D3-9BE0-A260B302FB6F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id="{2BA103F3-2673-4FA8-90DD-144171712266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id="{85380322-2629-4B32-85E5-63337C9A45F5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24" name="Imagem 23" descr="Ícone do banco de dados (símbolo png) preto">
              <a:extLst>
                <a:ext uri="{FF2B5EF4-FFF2-40B4-BE49-F238E27FC236}">
                  <a16:creationId xmlns:a16="http://schemas.microsoft.com/office/drawing/2014/main" id="{7789E941-4949-4940-8A51-D8ACEAB6C6A2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2449F6D-E80F-42B5-B38C-292E8B37452A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EFFCA08-02F0-4D3A-8A56-9B80C6EDBC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3BD1B16F-AE8C-4093-AB25-2361D3EFEBAA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7DD567C5-6CD0-4B5E-B8F6-76076AAE3815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11</xdr:col>
      <xdr:colOff>1649850</xdr:colOff>
      <xdr:row>3</xdr:row>
      <xdr:rowOff>209552</xdr:rowOff>
    </xdr:from>
    <xdr:to>
      <xdr:col>13</xdr:col>
      <xdr:colOff>1504950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2BBDC5B8-CCE1-4779-9851-18109DF105F7}"/>
            </a:ext>
          </a:extLst>
        </xdr:cNvPr>
        <xdr:cNvSpPr/>
      </xdr:nvSpPr>
      <xdr:spPr>
        <a:xfrm>
          <a:off x="11030070" y="1352552"/>
          <a:ext cx="339840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14</xdr:col>
      <xdr:colOff>1409700</xdr:colOff>
      <xdr:row>3</xdr:row>
      <xdr:rowOff>171452</xdr:rowOff>
    </xdr:from>
    <xdr:to>
      <xdr:col>16</xdr:col>
      <xdr:colOff>7500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7654B64E-CD0D-408B-BC3B-A8B6B056A108}"/>
            </a:ext>
          </a:extLst>
        </xdr:cNvPr>
        <xdr:cNvSpPr/>
      </xdr:nvSpPr>
      <xdr:spPr>
        <a:xfrm>
          <a:off x="16078200" y="1314452"/>
          <a:ext cx="338316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17</xdr:col>
      <xdr:colOff>221796</xdr:colOff>
      <xdr:row>3</xdr:row>
      <xdr:rowOff>171452</xdr:rowOff>
    </xdr:from>
    <xdr:to>
      <xdr:col>18</xdr:col>
      <xdr:colOff>1143696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16B6588F-C783-42DE-B932-3BF07CE650CC}"/>
            </a:ext>
          </a:extLst>
        </xdr:cNvPr>
        <xdr:cNvSpPr/>
      </xdr:nvSpPr>
      <xdr:spPr>
        <a:xfrm>
          <a:off x="21077736" y="1314452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19</xdr:col>
      <xdr:colOff>595993</xdr:colOff>
      <xdr:row>3</xdr:row>
      <xdr:rowOff>171452</xdr:rowOff>
    </xdr:from>
    <xdr:to>
      <xdr:col>25</xdr:col>
      <xdr:colOff>336793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522289DD-E397-4383-B71C-BD354DFCF4B8}"/>
            </a:ext>
          </a:extLst>
        </xdr:cNvPr>
        <xdr:cNvSpPr/>
      </xdr:nvSpPr>
      <xdr:spPr>
        <a:xfrm>
          <a:off x="26142043" y="1333502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FA5A6ABF-F122-4BF1-88DF-641AFC9A49B2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31</xdr:col>
      <xdr:colOff>116208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EA1FAA3E-C9E7-4B7B-A709-7830B084BAD1}"/>
            </a:ext>
          </a:extLst>
        </xdr:cNvPr>
        <xdr:cNvGrpSpPr/>
      </xdr:nvGrpSpPr>
      <xdr:grpSpPr>
        <a:xfrm>
          <a:off x="2438400" y="0"/>
          <a:ext cx="30539058" cy="1162050"/>
          <a:chOff x="2438400" y="0"/>
          <a:chExt cx="30539058" cy="1162050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id="{1BE500F5-1A0D-4796-9C08-8E44D1E41E29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46" name="Retângulo 45">
              <a:extLst>
                <a:ext uri="{FF2B5EF4-FFF2-40B4-BE49-F238E27FC236}">
                  <a16:creationId xmlns:a16="http://schemas.microsoft.com/office/drawing/2014/main" id="{D0518CC4-0496-44F6-8D67-0D262158F6B0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47" name="Imagem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3D5A19C7-1001-436A-BA8D-DE7C0A488CC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id="{3E0D13BD-169F-4A33-9A11-C41271ABF9E4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14" name="Agrupar 13">
            <a:extLst>
              <a:ext uri="{FF2B5EF4-FFF2-40B4-BE49-F238E27FC236}">
                <a16:creationId xmlns:a16="http://schemas.microsoft.com/office/drawing/2014/main" id="{CF633B45-696B-477C-87BB-6B5068106CAB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id="{50CDF32F-A78D-4349-B5C7-9C4F3F30D7E3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id="{87DFE145-8D40-41BF-AED1-EDD1BE128565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45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ED4966CE-6D04-428C-AB33-5794901DB9A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id="{9305E3B6-E1C9-4F42-A98D-C5340039FC0F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id="{4AAE57E6-8297-488D-ADBA-CA01AE27BBF0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45826F2C-AC0A-418C-A951-F21B3D83DE32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42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B676A07E-8328-4103-9627-5B75C2E3E66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id="{4B25F83B-7BA5-40F9-9652-7C8D6C21AE8D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:a16="http://schemas.microsoft.com/office/drawing/2014/main" id="{DC296931-7859-46C4-9A40-D228279D1F83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id="{041C7928-DAEF-4414-B518-AF24D347EEE6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39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7113546B-28D2-4EDA-B99C-86807D692F3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id="{240D81AF-0AEC-47AC-B9EF-883EEEBEB2C6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34" name="Retângulo 33">
              <a:extLst>
                <a:ext uri="{FF2B5EF4-FFF2-40B4-BE49-F238E27FC236}">
                  <a16:creationId xmlns:a16="http://schemas.microsoft.com/office/drawing/2014/main" id="{64BE674D-79B8-4EDF-A5BF-4C3D85E6E4EA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CaixaDeTexto 34">
              <a:extLst>
                <a:ext uri="{FF2B5EF4-FFF2-40B4-BE49-F238E27FC236}">
                  <a16:creationId xmlns:a16="http://schemas.microsoft.com/office/drawing/2014/main" id="{54DDC4A8-11A9-4AB5-B8FF-3FB9ACC17B6F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36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2BB8BF06-1CA3-4504-983C-027533E1DFF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69A7C7FE-1A37-4D43-B78A-99665B3283E9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31" name="Retângulo 30">
              <a:extLst>
                <a:ext uri="{FF2B5EF4-FFF2-40B4-BE49-F238E27FC236}">
                  <a16:creationId xmlns:a16="http://schemas.microsoft.com/office/drawing/2014/main" id="{41B11160-3E25-47F6-9251-DA6F7D1636C1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id="{B07EE2FF-8228-4D00-B378-06383719BCBC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33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D2EC9289-A4EA-49A8-AFE3-EF33BCADF2B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id="{6FBB366F-AC77-4F5C-A481-91FFFA103559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id="{382B7D9B-E823-4339-A4CA-ABDAFEADD89E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id="{C73EF69D-9FCE-4429-BB96-1C40B3D6C5DF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30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1BF4D750-7FDD-4B27-B23B-17493388E51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B19DEFE1-6B71-4737-A7D3-0C9C31B4A0D4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25" name="Retângulo 24">
              <a:extLst>
                <a:ext uri="{FF2B5EF4-FFF2-40B4-BE49-F238E27FC236}">
                  <a16:creationId xmlns:a16="http://schemas.microsoft.com/office/drawing/2014/main" id="{9DB3635A-5DF0-4541-A571-6106199E8087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CaixaDeTexto 25">
              <a:extLst>
                <a:ext uri="{FF2B5EF4-FFF2-40B4-BE49-F238E27FC236}">
                  <a16:creationId xmlns:a16="http://schemas.microsoft.com/office/drawing/2014/main" id="{41FCF268-BA30-45E8-938F-EE2D4C4DA77A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27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DAC5E608-C8E8-4E60-9DB3-EB61038259A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67707D75-8C7D-4133-B63C-ADF2AF5655FB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id="{3BCC29E6-8D39-4045-8DF8-CDCC2A237CD2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id="{64A2A74D-917B-4085-8E9E-8E9CA64A13FA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24" name="Imagem 23" descr="Ícone do banco de dados (símbolo png) preto">
              <a:extLst>
                <a:ext uri="{FF2B5EF4-FFF2-40B4-BE49-F238E27FC236}">
                  <a16:creationId xmlns:a16="http://schemas.microsoft.com/office/drawing/2014/main" id="{8F2B3C61-C79A-4E71-9274-CC5FDCCA79E2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 editAs="absolute">
    <xdr:from>
      <xdr:col>28</xdr:col>
      <xdr:colOff>24493</xdr:colOff>
      <xdr:row>3</xdr:row>
      <xdr:rowOff>171452</xdr:rowOff>
    </xdr:from>
    <xdr:to>
      <xdr:col>33</xdr:col>
      <xdr:colOff>374893</xdr:colOff>
      <xdr:row>5</xdr:row>
      <xdr:rowOff>160802</xdr:rowOff>
    </xdr:to>
    <xdr:sp macro="" textlink="">
      <xdr:nvSpPr>
        <xdr:cNvPr id="49" name="Retângulo 48">
          <a:extLst>
            <a:ext uri="{FF2B5EF4-FFF2-40B4-BE49-F238E27FC236}">
              <a16:creationId xmlns:a16="http://schemas.microsoft.com/office/drawing/2014/main" id="{E7620E1D-A7F6-4C7F-B5B3-CFDDF0E82C1B}"/>
            </a:ext>
          </a:extLst>
        </xdr:cNvPr>
        <xdr:cNvSpPr/>
      </xdr:nvSpPr>
      <xdr:spPr>
        <a:xfrm>
          <a:off x="31056943" y="1333502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VEÍCULOS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168F214-87F0-4F3E-AB0E-B93AC0EB511B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B0286A3-CCE9-40CD-BB5A-CBCC7B4684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C7D903BF-2CB0-4864-93DF-AFEFB47DB6F0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PEDIDO</a:t>
          </a:r>
          <a:r>
            <a:rPr lang="pt-BR" sz="2000" b="1" baseline="0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DE PRODUÇÃO</a:t>
          </a:r>
          <a:endParaRPr lang="pt-BR" sz="2000"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30F67476-BBE7-4C14-BFBD-558381FB2CEF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SAÍDA DE MATERIAIS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5C6B5881-0F4A-4880-9F67-7761EFE77DBF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1155180</xdr:colOff>
      <xdr:row>3</xdr:row>
      <xdr:rowOff>0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FFCBB4D0-F71B-4CA9-A5CD-C517CB4C1229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9" name="Retângulo 8">
            <a:extLst>
              <a:ext uri="{FF2B5EF4-FFF2-40B4-BE49-F238E27FC236}">
                <a16:creationId xmlns:a16="http://schemas.microsoft.com/office/drawing/2014/main" id="{BC64A780-2B8A-418B-B9DF-E472D817A1D2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0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094D6DD-E681-4F3B-BC4A-1E5810B585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85E4A0CE-1223-41E4-93E1-56670EF4FD12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1688773</xdr:colOff>
      <xdr:row>0</xdr:row>
      <xdr:rowOff>0</xdr:rowOff>
    </xdr:from>
    <xdr:to>
      <xdr:col>8</xdr:col>
      <xdr:colOff>155650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EB48B437-397C-4525-AB52-9F47CA6997A2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0DD3041E-4866-4763-A9B3-2BE946EFBFFD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EE247972-EE6B-4A4B-9337-3CE69C635645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5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EC92161-DBC1-4823-9A2E-7DC4E5D942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11</xdr:col>
      <xdr:colOff>224389</xdr:colOff>
      <xdr:row>0</xdr:row>
      <xdr:rowOff>0</xdr:rowOff>
    </xdr:from>
    <xdr:to>
      <xdr:col>11</xdr:col>
      <xdr:colOff>1685798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8EE2312D-0CF8-4AFC-8E63-A08CD1B16246}"/>
            </a:ext>
          </a:extLst>
        </xdr:cNvPr>
        <xdr:cNvSpPr/>
      </xdr:nvSpPr>
      <xdr:spPr>
        <a:xfrm>
          <a:off x="9604609" y="0"/>
          <a:ext cx="146140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174893</xdr:colOff>
      <xdr:row>2</xdr:row>
      <xdr:rowOff>384583</xdr:rowOff>
    </xdr:from>
    <xdr:to>
      <xdr:col>12</xdr:col>
      <xdr:colOff>20460</xdr:colOff>
      <xdr:row>2</xdr:row>
      <xdr:rowOff>762890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E9F643E4-2CC8-4AAB-9259-DEA9005DB329}"/>
            </a:ext>
          </a:extLst>
        </xdr:cNvPr>
        <xdr:cNvSpPr txBox="1"/>
      </xdr:nvSpPr>
      <xdr:spPr>
        <a:xfrm rot="10800000" flipH="1" flipV="1">
          <a:off x="955511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11</xdr:col>
      <xdr:colOff>656256</xdr:colOff>
      <xdr:row>0</xdr:row>
      <xdr:rowOff>136274</xdr:rowOff>
    </xdr:from>
    <xdr:to>
      <xdr:col>11</xdr:col>
      <xdr:colOff>1253932</xdr:colOff>
      <xdr:row>2</xdr:row>
      <xdr:rowOff>354262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C6829D7-D262-4B4E-9F73-8099DEE2AA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3647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14</xdr:col>
      <xdr:colOff>77804</xdr:colOff>
      <xdr:row>0</xdr:row>
      <xdr:rowOff>0</xdr:rowOff>
    </xdr:from>
    <xdr:to>
      <xdr:col>14</xdr:col>
      <xdr:colOff>1668898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19CE8F61-B981-4EF8-B5D3-63C2036C851C}"/>
            </a:ext>
          </a:extLst>
        </xdr:cNvPr>
        <xdr:cNvGrpSpPr/>
      </xdr:nvGrpSpPr>
      <xdr:grpSpPr>
        <a:xfrm>
          <a:off x="13203254" y="0"/>
          <a:ext cx="1591094" cy="1162050"/>
          <a:chOff x="13203254" y="0"/>
          <a:chExt cx="1591094" cy="1162050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1D771491-7546-4AE5-8501-22A6D5786081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82B89D2C-E41A-4A7D-BECF-0840569239CD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28AB116-3953-4980-A928-FBD7BDC765D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 editAs="absolute">
    <xdr:from>
      <xdr:col>16</xdr:col>
      <xdr:colOff>240341</xdr:colOff>
      <xdr:row>0</xdr:row>
      <xdr:rowOff>0</xdr:rowOff>
    </xdr:from>
    <xdr:to>
      <xdr:col>18</xdr:col>
      <xdr:colOff>252027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226F6444-EB54-44C2-9499-4035EE105BF6}"/>
            </a:ext>
          </a:extLst>
        </xdr:cNvPr>
        <xdr:cNvGrpSpPr/>
      </xdr:nvGrpSpPr>
      <xdr:grpSpPr>
        <a:xfrm>
          <a:off x="16832891" y="0"/>
          <a:ext cx="1611886" cy="1162050"/>
          <a:chOff x="7112293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616C020D-D294-47F6-BD75-994B6390C98E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4494B93B-34DE-41EA-9BEE-3B6D275E614E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708A3DB-943A-4DC6-8E88-CF99C7CBC4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18</xdr:col>
      <xdr:colOff>2290570</xdr:colOff>
      <xdr:row>0</xdr:row>
      <xdr:rowOff>0</xdr:rowOff>
    </xdr:from>
    <xdr:to>
      <xdr:col>20</xdr:col>
      <xdr:colOff>54030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D2DCAEAE-9E32-498A-A92E-0EE7DFE26C78}"/>
            </a:ext>
          </a:extLst>
        </xdr:cNvPr>
        <xdr:cNvGrpSpPr/>
      </xdr:nvGrpSpPr>
      <xdr:grpSpPr>
        <a:xfrm>
          <a:off x="20483320" y="0"/>
          <a:ext cx="1592510" cy="1162050"/>
          <a:chOff x="8443355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A7FBAF80-71CF-4ED3-A98A-E0622B66D6CE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8C3FD430-8FCB-4D14-BFC4-AA6BF7F5CCCC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9CF1F8D-01DE-4EDF-8E44-A90E74816D3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23</xdr:col>
      <xdr:colOff>263773</xdr:colOff>
      <xdr:row>0</xdr:row>
      <xdr:rowOff>0</xdr:rowOff>
    </xdr:from>
    <xdr:to>
      <xdr:col>25</xdr:col>
      <xdr:colOff>62734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AC74F398-A5C1-4E8B-88B3-33CCF8E5A5D9}"/>
            </a:ext>
          </a:extLst>
        </xdr:cNvPr>
        <xdr:cNvGrpSpPr/>
      </xdr:nvGrpSpPr>
      <xdr:grpSpPr>
        <a:xfrm>
          <a:off x="24114373" y="0"/>
          <a:ext cx="1589661" cy="1162050"/>
          <a:chOff x="9774419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A622DF0D-4CD4-4C43-B575-25313FAA2BE6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5CE72061-0A4D-425C-9897-5154EA04D601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9A4D0A3-478E-4D63-B87A-98CBBC5394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25</xdr:col>
      <xdr:colOff>2101278</xdr:colOff>
      <xdr:row>0</xdr:row>
      <xdr:rowOff>0</xdr:rowOff>
    </xdr:from>
    <xdr:to>
      <xdr:col>26</xdr:col>
      <xdr:colOff>194247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8B8A4BA2-A43F-4BC8-9411-E47FF32876D4}"/>
            </a:ext>
          </a:extLst>
        </xdr:cNvPr>
        <xdr:cNvGrpSpPr/>
      </xdr:nvGrpSpPr>
      <xdr:grpSpPr>
        <a:xfrm>
          <a:off x="27742578" y="0"/>
          <a:ext cx="1598169" cy="116205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8BEFBEDA-6A68-432D-BDED-0358C6BEECA3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0FE1A22E-40D1-4EF6-A651-6B8A85098DD4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C95C591-D276-4B0F-A372-7968429915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29</xdr:col>
      <xdr:colOff>403989</xdr:colOff>
      <xdr:row>0</xdr:row>
      <xdr:rowOff>0</xdr:rowOff>
    </xdr:from>
    <xdr:to>
      <xdr:col>32</xdr:col>
      <xdr:colOff>173358</xdr:colOff>
      <xdr:row>3</xdr:row>
      <xdr:rowOff>0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BC2B9454-FD76-4E6A-BDA4-F7D300DEE349}"/>
            </a:ext>
          </a:extLst>
        </xdr:cNvPr>
        <xdr:cNvGrpSpPr/>
      </xdr:nvGrpSpPr>
      <xdr:grpSpPr>
        <a:xfrm>
          <a:off x="31379289" y="0"/>
          <a:ext cx="1598169" cy="1162050"/>
          <a:chOff x="12260227" y="0"/>
          <a:chExt cx="1118316" cy="770164"/>
        </a:xfrm>
      </xdr:grpSpPr>
      <xdr:sp macro="" textlink="">
        <xdr:nvSpPr>
          <xdr:cNvPr id="40" name="Retângulo 39">
            <a:extLst>
              <a:ext uri="{FF2B5EF4-FFF2-40B4-BE49-F238E27FC236}">
                <a16:creationId xmlns:a16="http://schemas.microsoft.com/office/drawing/2014/main" id="{81AE58E8-C55A-43F2-AE46-122CAEC4B60E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" name="CaixaDeTexto 40">
            <a:extLst>
              <a:ext uri="{FF2B5EF4-FFF2-40B4-BE49-F238E27FC236}">
                <a16:creationId xmlns:a16="http://schemas.microsoft.com/office/drawing/2014/main" id="{E0636194-5295-42DB-8A57-0E8D32D12D54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2" name="Imagem 41" descr="Ícone do banco de dados (símbolo png) preto">
            <a:extLst>
              <a:ext uri="{FF2B5EF4-FFF2-40B4-BE49-F238E27FC236}">
                <a16:creationId xmlns:a16="http://schemas.microsoft.com/office/drawing/2014/main" id="{FDBB6F53-C912-4555-9456-F4E6DD1569D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11</xdr:col>
      <xdr:colOff>1047750</xdr:colOff>
      <xdr:row>10</xdr:row>
      <xdr:rowOff>228600</xdr:rowOff>
    </xdr:from>
    <xdr:to>
      <xdr:col>25</xdr:col>
      <xdr:colOff>247650</xdr:colOff>
      <xdr:row>49</xdr:row>
      <xdr:rowOff>65572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CF635739-29E6-4302-8535-F415E6EBFE7D}"/>
            </a:ext>
            <a:ext uri="{147F2762-F138-4A5C-976F-8EAC2B608ADB}">
              <a16:predDERef xmlns:a16="http://schemas.microsoft.com/office/drawing/2014/main" pred="{45AAF0B4-637A-42E1-B7D2-A6E46851A7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>
          <a:alphaModFix amt="23000"/>
          <a:extLst>
            <a:ext uri="{BEBA8EAE-BF5A-486C-A8C5-ECC9F3942E4B}">
              <a14:imgProps xmlns:a14="http://schemas.microsoft.com/office/drawing/2010/main">
                <a14:imgLayer r:embed="rId25">
                  <a14:imgEffect>
                    <a14:brightnessContrast contrast="1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8158" b="8325"/>
        <a:stretch/>
      </xdr:blipFill>
      <xdr:spPr>
        <a:xfrm>
          <a:off x="10439400" y="3638550"/>
          <a:ext cx="15449550" cy="13953022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4A9ABE85-321A-441B-B049-92CC556B7ECF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BF1B3C9-DCA9-49B9-990E-78D4642ADA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4296EE05-044D-4DEB-A260-EC5C4B2A6864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PEDIDO</a:t>
          </a:r>
          <a:r>
            <a:rPr lang="pt-BR" sz="2000" b="1" baseline="0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DE PRODUÇÃO</a:t>
          </a:r>
          <a:endParaRPr lang="pt-BR" sz="2000"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8B8900E5-24EC-4516-A6A1-9332D8E0CEEC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SAÍDA DE MATERIAIS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55702D68-D5C8-4CDF-BF80-7431A8BA482E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1155180</xdr:colOff>
      <xdr:row>3</xdr:row>
      <xdr:rowOff>0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E7C2BB46-B7A5-4596-90A4-DA16D21C1A4A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46" name="Retângulo 45">
            <a:extLst>
              <a:ext uri="{FF2B5EF4-FFF2-40B4-BE49-F238E27FC236}">
                <a16:creationId xmlns:a16="http://schemas.microsoft.com/office/drawing/2014/main" id="{A22738E4-2AC4-430F-AB17-4E653D355ED1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7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B1DC701C-6A69-4703-81D3-69760B276D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48" name="CaixaDeTexto 47">
            <a:extLst>
              <a:ext uri="{FF2B5EF4-FFF2-40B4-BE49-F238E27FC236}">
                <a16:creationId xmlns:a16="http://schemas.microsoft.com/office/drawing/2014/main" id="{496C9D55-40BF-4ACE-B513-CCD04E98196D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1688773</xdr:colOff>
      <xdr:row>0</xdr:row>
      <xdr:rowOff>0</xdr:rowOff>
    </xdr:from>
    <xdr:to>
      <xdr:col>8</xdr:col>
      <xdr:colOff>155650</xdr:colOff>
      <xdr:row>3</xdr:row>
      <xdr:rowOff>0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1049E32E-938D-4F64-BEC1-D545D54104D8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id="{E04E0035-8EA4-431E-BC75-DF89266DC6B1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id="{F39D4734-6F89-4444-80B5-34FC06AEB9C8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45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2710989-5F8B-474A-825A-7038E25012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11</xdr:col>
      <xdr:colOff>224389</xdr:colOff>
      <xdr:row>0</xdr:row>
      <xdr:rowOff>0</xdr:rowOff>
    </xdr:from>
    <xdr:to>
      <xdr:col>11</xdr:col>
      <xdr:colOff>1685798</xdr:colOff>
      <xdr:row>3</xdr:row>
      <xdr:rowOff>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54C3F7EB-5705-4D3B-A507-BA29273851CC}"/>
            </a:ext>
          </a:extLst>
        </xdr:cNvPr>
        <xdr:cNvSpPr/>
      </xdr:nvSpPr>
      <xdr:spPr>
        <a:xfrm>
          <a:off x="9616039" y="0"/>
          <a:ext cx="1461409" cy="116205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174893</xdr:colOff>
      <xdr:row>2</xdr:row>
      <xdr:rowOff>384583</xdr:rowOff>
    </xdr:from>
    <xdr:to>
      <xdr:col>12</xdr:col>
      <xdr:colOff>20460</xdr:colOff>
      <xdr:row>2</xdr:row>
      <xdr:rowOff>762890</xdr:rowOff>
    </xdr:to>
    <xdr:sp macro="" textlink="">
      <xdr:nvSpPr>
        <xdr:cNvPr id="41" name="CaixaDeTexto 40">
          <a:extLst>
            <a:ext uri="{FF2B5EF4-FFF2-40B4-BE49-F238E27FC236}">
              <a16:creationId xmlns:a16="http://schemas.microsoft.com/office/drawing/2014/main" id="{185F11A0-8729-4BC4-BC4B-9E7FE5AF8CCF}"/>
            </a:ext>
          </a:extLst>
        </xdr:cNvPr>
        <xdr:cNvSpPr txBox="1"/>
      </xdr:nvSpPr>
      <xdr:spPr>
        <a:xfrm rot="10800000" flipH="1" flipV="1">
          <a:off x="9566543" y="765583"/>
          <a:ext cx="159816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11</xdr:col>
      <xdr:colOff>656256</xdr:colOff>
      <xdr:row>0</xdr:row>
      <xdr:rowOff>136274</xdr:rowOff>
    </xdr:from>
    <xdr:to>
      <xdr:col>11</xdr:col>
      <xdr:colOff>1253932</xdr:colOff>
      <xdr:row>2</xdr:row>
      <xdr:rowOff>354262</xdr:rowOff>
    </xdr:to>
    <xdr:pic>
      <xdr:nvPicPr>
        <xdr:cNvPr id="4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4FFC2-62CE-4590-A1E6-2C098E21B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47906" y="136274"/>
          <a:ext cx="597676" cy="598988"/>
        </a:xfrm>
        <a:prstGeom prst="rect">
          <a:avLst/>
        </a:prstGeom>
      </xdr:spPr>
    </xdr:pic>
    <xdr:clientData/>
  </xdr:twoCellAnchor>
  <xdr:twoCellAnchor editAs="absolute">
    <xdr:from>
      <xdr:col>14</xdr:col>
      <xdr:colOff>77804</xdr:colOff>
      <xdr:row>0</xdr:row>
      <xdr:rowOff>0</xdr:rowOff>
    </xdr:from>
    <xdr:to>
      <xdr:col>14</xdr:col>
      <xdr:colOff>1668898</xdr:colOff>
      <xdr:row>3</xdr:row>
      <xdr:rowOff>0</xdr:rowOff>
    </xdr:to>
    <xdr:grpSp>
      <xdr:nvGrpSpPr>
        <xdr:cNvPr id="82" name="Agrupar 81">
          <a:extLst>
            <a:ext uri="{FF2B5EF4-FFF2-40B4-BE49-F238E27FC236}">
              <a16:creationId xmlns:a16="http://schemas.microsoft.com/office/drawing/2014/main" id="{5116B9A8-30A6-42FA-8BCA-C3A4230EC2C9}"/>
            </a:ext>
          </a:extLst>
        </xdr:cNvPr>
        <xdr:cNvGrpSpPr/>
      </xdr:nvGrpSpPr>
      <xdr:grpSpPr>
        <a:xfrm>
          <a:off x="13203254" y="0"/>
          <a:ext cx="1591094" cy="1162050"/>
          <a:chOff x="13203254" y="0"/>
          <a:chExt cx="1591094" cy="1162050"/>
        </a:xfrm>
      </xdr:grpSpPr>
      <xdr:sp macro="" textlink="">
        <xdr:nvSpPr>
          <xdr:cNvPr id="37" name="Retângulo 36">
            <a:extLst>
              <a:ext uri="{FF2B5EF4-FFF2-40B4-BE49-F238E27FC236}">
                <a16:creationId xmlns:a16="http://schemas.microsoft.com/office/drawing/2014/main" id="{2FFEF6F4-D132-42D0-87AC-BBF7F0AA73CB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8" name="CaixaDeTexto 37">
            <a:extLst>
              <a:ext uri="{FF2B5EF4-FFF2-40B4-BE49-F238E27FC236}">
                <a16:creationId xmlns:a16="http://schemas.microsoft.com/office/drawing/2014/main" id="{B03FB71C-55FD-4542-A178-1B427043CB27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39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F3579AD-0FD5-463D-9B44-B0269C7A882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 editAs="absolute">
    <xdr:from>
      <xdr:col>16</xdr:col>
      <xdr:colOff>240341</xdr:colOff>
      <xdr:row>0</xdr:row>
      <xdr:rowOff>0</xdr:rowOff>
    </xdr:from>
    <xdr:to>
      <xdr:col>18</xdr:col>
      <xdr:colOff>252027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D478F035-99C1-489C-B559-573865D7BBA0}"/>
            </a:ext>
          </a:extLst>
        </xdr:cNvPr>
        <xdr:cNvGrpSpPr/>
      </xdr:nvGrpSpPr>
      <xdr:grpSpPr>
        <a:xfrm>
          <a:off x="16832891" y="0"/>
          <a:ext cx="1611886" cy="1162050"/>
          <a:chOff x="7112293" y="0"/>
          <a:chExt cx="1118289" cy="781538"/>
        </a:xfrm>
      </xdr:grpSpPr>
      <xdr:sp macro="" textlink="">
        <xdr:nvSpPr>
          <xdr:cNvPr id="34" name="Retângulo 33">
            <a:extLst>
              <a:ext uri="{FF2B5EF4-FFF2-40B4-BE49-F238E27FC236}">
                <a16:creationId xmlns:a16="http://schemas.microsoft.com/office/drawing/2014/main" id="{C4680B87-840B-48BE-8BA4-36E092B4CBCA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extLst>
              <a:ext uri="{FF2B5EF4-FFF2-40B4-BE49-F238E27FC236}">
                <a16:creationId xmlns:a16="http://schemas.microsoft.com/office/drawing/2014/main" id="{2DDBB5DC-D6BF-41B8-95EF-78F3EF160CD6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3CC6B72-2AD2-43F7-90EC-2B5C1CD437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18</xdr:col>
      <xdr:colOff>2290570</xdr:colOff>
      <xdr:row>0</xdr:row>
      <xdr:rowOff>0</xdr:rowOff>
    </xdr:from>
    <xdr:to>
      <xdr:col>20</xdr:col>
      <xdr:colOff>54030</xdr:colOff>
      <xdr:row>3</xdr:row>
      <xdr:rowOff>0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8C6B52A1-752E-400C-84E4-EB0E5EE70C25}"/>
            </a:ext>
          </a:extLst>
        </xdr:cNvPr>
        <xdr:cNvGrpSpPr/>
      </xdr:nvGrpSpPr>
      <xdr:grpSpPr>
        <a:xfrm>
          <a:off x="20483320" y="0"/>
          <a:ext cx="1592510" cy="1162050"/>
          <a:chOff x="8443355" y="0"/>
          <a:chExt cx="1118289" cy="781538"/>
        </a:xfrm>
      </xdr:grpSpPr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7FB681ED-D697-43F5-9605-AA6FBCC53E3C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2" name="CaixaDeTexto 31">
            <a:extLst>
              <a:ext uri="{FF2B5EF4-FFF2-40B4-BE49-F238E27FC236}">
                <a16:creationId xmlns:a16="http://schemas.microsoft.com/office/drawing/2014/main" id="{D448301C-5EE6-4F63-8218-19F5F037FFDE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C075601-11E7-4382-BBF2-97CE31E78B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23</xdr:col>
      <xdr:colOff>263773</xdr:colOff>
      <xdr:row>0</xdr:row>
      <xdr:rowOff>0</xdr:rowOff>
    </xdr:from>
    <xdr:to>
      <xdr:col>25</xdr:col>
      <xdr:colOff>62734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59F4BEFE-D8D1-4B33-A392-4C5F7C3AB0B5}"/>
            </a:ext>
          </a:extLst>
        </xdr:cNvPr>
        <xdr:cNvGrpSpPr/>
      </xdr:nvGrpSpPr>
      <xdr:grpSpPr>
        <a:xfrm>
          <a:off x="24114373" y="0"/>
          <a:ext cx="1589661" cy="116205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B0C4C089-699E-4F74-B166-AE18B530073D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1FD56F95-C0E0-4D22-AB84-32D06A6D6B4F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48B5C86-BD4C-4A13-8460-12EBF6F31B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25</xdr:col>
      <xdr:colOff>2101278</xdr:colOff>
      <xdr:row>0</xdr:row>
      <xdr:rowOff>0</xdr:rowOff>
    </xdr:from>
    <xdr:to>
      <xdr:col>26</xdr:col>
      <xdr:colOff>194247</xdr:colOff>
      <xdr:row>3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AD7031A8-DC00-4F59-AB81-0A7FEB4CD1D2}"/>
            </a:ext>
          </a:extLst>
        </xdr:cNvPr>
        <xdr:cNvGrpSpPr/>
      </xdr:nvGrpSpPr>
      <xdr:grpSpPr>
        <a:xfrm>
          <a:off x="27742578" y="0"/>
          <a:ext cx="1598169" cy="1162050"/>
          <a:chOff x="11105473" y="0"/>
          <a:chExt cx="1118289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6FA19239-C9B1-464E-94CB-FF0D6D52909E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C9E9A452-3FD6-45B9-9600-41670194EC67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73CB77B8-F0B6-48F6-886F-C2DAAEB798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29</xdr:col>
      <xdr:colOff>403989</xdr:colOff>
      <xdr:row>0</xdr:row>
      <xdr:rowOff>0</xdr:rowOff>
    </xdr:from>
    <xdr:to>
      <xdr:col>32</xdr:col>
      <xdr:colOff>173358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6111BAAE-8FAF-42D4-B390-3B069A4514FC}"/>
            </a:ext>
          </a:extLst>
        </xdr:cNvPr>
        <xdr:cNvGrpSpPr/>
      </xdr:nvGrpSpPr>
      <xdr:grpSpPr>
        <a:xfrm>
          <a:off x="31379289" y="0"/>
          <a:ext cx="1598169" cy="1162050"/>
          <a:chOff x="12260227" y="0"/>
          <a:chExt cx="1118316" cy="770164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63B829E0-9E92-432D-A901-E4D9F9A8052F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9DB1A713-22EF-4A0B-A24D-B8ECC7B26D3A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24" name="Imagem 23" descr="Ícone do banco de dados (símbolo png) preto">
            <a:extLst>
              <a:ext uri="{FF2B5EF4-FFF2-40B4-BE49-F238E27FC236}">
                <a16:creationId xmlns:a16="http://schemas.microsoft.com/office/drawing/2014/main" id="{DC7F1D98-9576-465E-96F5-EDD10D841ED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14</xdr:col>
      <xdr:colOff>3162300</xdr:colOff>
      <xdr:row>27</xdr:row>
      <xdr:rowOff>76200</xdr:rowOff>
    </xdr:from>
    <xdr:to>
      <xdr:col>18</xdr:col>
      <xdr:colOff>76200</xdr:colOff>
      <xdr:row>30</xdr:row>
      <xdr:rowOff>144482</xdr:rowOff>
    </xdr:to>
    <xdr:sp macro="[1]!REQ_MP" textlink="">
      <xdr:nvSpPr>
        <xdr:cNvPr id="83" name="Retângulo: Cantos Arredondados 82">
          <a:extLst>
            <a:ext uri="{FF2B5EF4-FFF2-40B4-BE49-F238E27FC236}">
              <a16:creationId xmlns:a16="http://schemas.microsoft.com/office/drawing/2014/main" id="{999DF641-8D97-4230-BC86-75E9C4708878}"/>
            </a:ext>
          </a:extLst>
        </xdr:cNvPr>
        <xdr:cNvSpPr/>
      </xdr:nvSpPr>
      <xdr:spPr>
        <a:xfrm>
          <a:off x="16287750" y="9639300"/>
          <a:ext cx="1981200" cy="115413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Arial" panose="020B0604020202020204" pitchFamily="34" charset="0"/>
              <a:cs typeface="Arial" panose="020B0604020202020204" pitchFamily="34" charset="0"/>
            </a:rPr>
            <a:t>PEDIR PRODUTOS</a:t>
          </a:r>
        </a:p>
      </xdr:txBody>
    </xdr:sp>
    <xdr:clientData/>
  </xdr:twoCellAnchor>
  <xdr:twoCellAnchor>
    <xdr:from>
      <xdr:col>25</xdr:col>
      <xdr:colOff>32384</xdr:colOff>
      <xdr:row>21</xdr:row>
      <xdr:rowOff>304799</xdr:rowOff>
    </xdr:from>
    <xdr:to>
      <xdr:col>25</xdr:col>
      <xdr:colOff>1943099</xdr:colOff>
      <xdr:row>25</xdr:row>
      <xdr:rowOff>40354</xdr:rowOff>
    </xdr:to>
    <xdr:sp macro="" textlink="">
      <xdr:nvSpPr>
        <xdr:cNvPr id="84" name="Retângulo Arredondado 11">
          <a:extLst>
            <a:ext uri="{FF2B5EF4-FFF2-40B4-BE49-F238E27FC236}">
              <a16:creationId xmlns:a16="http://schemas.microsoft.com/office/drawing/2014/main" id="{AAC97D67-9C0B-444B-8AC9-5ADC02F81388}"/>
            </a:ext>
            <a:ext uri="{147F2762-F138-4A5C-976F-8EAC2B608ADB}">
              <a16:predDERef xmlns:a16="http://schemas.microsoft.com/office/drawing/2014/main" pred="{FEE27294-4771-4BDE-8047-454433BFA703}"/>
            </a:ext>
          </a:extLst>
        </xdr:cNvPr>
        <xdr:cNvSpPr/>
      </xdr:nvSpPr>
      <xdr:spPr>
        <a:xfrm>
          <a:off x="25673684" y="7696199"/>
          <a:ext cx="1910715" cy="1183355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LANÇAR PRODUTOS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575A507C-717C-42D0-80D6-C79ADC9A0C92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D6FB489-444B-450B-8D91-8BD9680733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7B868D2E-B3D2-4478-A67C-D7E1F069F569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PEDIDO</a:t>
          </a:r>
          <a:r>
            <a:rPr lang="pt-BR" sz="2000" b="1" baseline="0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DE PRODUÇÃO</a:t>
          </a:r>
          <a:endParaRPr lang="pt-BR" sz="2000"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9BC8EB2A-A8D9-408D-A5A5-5E9AD95F548A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SAÍDA DE MATERIAIS</a:t>
          </a: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DED96927-86EB-45BF-9DBA-0313C3937FA0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1155180</xdr:colOff>
      <xdr:row>3</xdr:row>
      <xdr:rowOff>0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41D5657A-233D-4DC6-8445-AD410B6AED4A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9" name="Retângulo 8">
            <a:extLst>
              <a:ext uri="{FF2B5EF4-FFF2-40B4-BE49-F238E27FC236}">
                <a16:creationId xmlns:a16="http://schemas.microsoft.com/office/drawing/2014/main" id="{2441A687-3714-43BD-9190-9E0B4739501E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0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D7E9FFC-1F0C-4AB1-A5CD-87F3FF7CD1E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CE6D24B6-29E4-45BC-9D65-B4C18F1B4D63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1688773</xdr:colOff>
      <xdr:row>0</xdr:row>
      <xdr:rowOff>0</xdr:rowOff>
    </xdr:from>
    <xdr:to>
      <xdr:col>8</xdr:col>
      <xdr:colOff>155650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63BBA8A0-F37F-4747-9F16-40DE3BEC4DCF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EC3FE47A-3830-400C-B30A-CEB81EDB4CF1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819294D5-C951-4FC0-9480-0AD490725892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5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52EEDA5-EC74-44DC-A189-7CD9952A1D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11</xdr:col>
      <xdr:colOff>224389</xdr:colOff>
      <xdr:row>0</xdr:row>
      <xdr:rowOff>0</xdr:rowOff>
    </xdr:from>
    <xdr:to>
      <xdr:col>11</xdr:col>
      <xdr:colOff>1685798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829B4851-4607-46A4-8817-B9426C43569A}"/>
            </a:ext>
          </a:extLst>
        </xdr:cNvPr>
        <xdr:cNvSpPr/>
      </xdr:nvSpPr>
      <xdr:spPr>
        <a:xfrm>
          <a:off x="9604609" y="0"/>
          <a:ext cx="146140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174893</xdr:colOff>
      <xdr:row>2</xdr:row>
      <xdr:rowOff>384583</xdr:rowOff>
    </xdr:from>
    <xdr:to>
      <xdr:col>12</xdr:col>
      <xdr:colOff>20460</xdr:colOff>
      <xdr:row>2</xdr:row>
      <xdr:rowOff>762890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BC9C9B06-7DE9-4A73-A605-18D96BE21C10}"/>
            </a:ext>
          </a:extLst>
        </xdr:cNvPr>
        <xdr:cNvSpPr txBox="1"/>
      </xdr:nvSpPr>
      <xdr:spPr>
        <a:xfrm rot="10800000" flipH="1" flipV="1">
          <a:off x="955511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11</xdr:col>
      <xdr:colOff>656256</xdr:colOff>
      <xdr:row>0</xdr:row>
      <xdr:rowOff>136274</xdr:rowOff>
    </xdr:from>
    <xdr:to>
      <xdr:col>11</xdr:col>
      <xdr:colOff>1253932</xdr:colOff>
      <xdr:row>2</xdr:row>
      <xdr:rowOff>354262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F5972EA-86D1-4807-8162-3737E4EAE3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3647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14</xdr:col>
      <xdr:colOff>77804</xdr:colOff>
      <xdr:row>0</xdr:row>
      <xdr:rowOff>0</xdr:rowOff>
    </xdr:from>
    <xdr:to>
      <xdr:col>14</xdr:col>
      <xdr:colOff>1668898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BADB8EFE-B12B-41F6-BEC7-E6FC797CB696}"/>
            </a:ext>
          </a:extLst>
        </xdr:cNvPr>
        <xdr:cNvGrpSpPr/>
      </xdr:nvGrpSpPr>
      <xdr:grpSpPr>
        <a:xfrm>
          <a:off x="13203254" y="0"/>
          <a:ext cx="1591094" cy="1162050"/>
          <a:chOff x="13203254" y="0"/>
          <a:chExt cx="1591094" cy="1162050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C78E47A3-2849-4735-ACD8-D07D15C5160D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3B7912BD-6027-4BFB-AF4E-72E72F6C5E4D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B03B573-6F78-40FD-BBCD-D16696303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 editAs="absolute">
    <xdr:from>
      <xdr:col>16</xdr:col>
      <xdr:colOff>240341</xdr:colOff>
      <xdr:row>0</xdr:row>
      <xdr:rowOff>0</xdr:rowOff>
    </xdr:from>
    <xdr:to>
      <xdr:col>18</xdr:col>
      <xdr:colOff>252027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DA71F4D7-BC66-464E-9708-67D4758ACD44}"/>
            </a:ext>
          </a:extLst>
        </xdr:cNvPr>
        <xdr:cNvGrpSpPr/>
      </xdr:nvGrpSpPr>
      <xdr:grpSpPr>
        <a:xfrm>
          <a:off x="16832891" y="0"/>
          <a:ext cx="1611886" cy="1162050"/>
          <a:chOff x="7112293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CFC3847C-F917-42FB-BA39-53DA1FE0F904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E8EC37A0-9F4A-402E-8FAA-D4438A94FD0D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7E123441-8526-4927-AA32-6083964A71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19</xdr:col>
      <xdr:colOff>137920</xdr:colOff>
      <xdr:row>0</xdr:row>
      <xdr:rowOff>0</xdr:rowOff>
    </xdr:from>
    <xdr:to>
      <xdr:col>21</xdr:col>
      <xdr:colOff>511230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C980CEB3-DAFB-4EB3-A05A-860D81AD0029}"/>
            </a:ext>
          </a:extLst>
        </xdr:cNvPr>
        <xdr:cNvGrpSpPr/>
      </xdr:nvGrpSpPr>
      <xdr:grpSpPr>
        <a:xfrm>
          <a:off x="20483320" y="0"/>
          <a:ext cx="1592510" cy="1162050"/>
          <a:chOff x="8443355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14F40652-BF2E-4A67-BCE2-4ADEA2062231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7185D568-9BB8-4550-9951-7DEAFB1080D2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84E6EEB-8315-473D-BD9F-2AFB4FA00B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23</xdr:col>
      <xdr:colOff>1330573</xdr:colOff>
      <xdr:row>0</xdr:row>
      <xdr:rowOff>0</xdr:rowOff>
    </xdr:from>
    <xdr:to>
      <xdr:col>25</xdr:col>
      <xdr:colOff>1129534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C048D900-ED2C-4405-A0E4-5DD68F871609}"/>
            </a:ext>
          </a:extLst>
        </xdr:cNvPr>
        <xdr:cNvGrpSpPr/>
      </xdr:nvGrpSpPr>
      <xdr:grpSpPr>
        <a:xfrm>
          <a:off x="24114373" y="0"/>
          <a:ext cx="1589661" cy="1162050"/>
          <a:chOff x="9774419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BC9CBEA-AD81-4C3C-B831-57EBD13AC4D3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B164FAFD-FF17-4AEB-A33B-49037B7E01EF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6DCD978-5747-4F93-BFD6-D1123088230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25</xdr:col>
      <xdr:colOff>3168078</xdr:colOff>
      <xdr:row>0</xdr:row>
      <xdr:rowOff>0</xdr:rowOff>
    </xdr:from>
    <xdr:to>
      <xdr:col>28</xdr:col>
      <xdr:colOff>41847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021CF932-7849-48D2-8113-B34AB4E29CC7}"/>
            </a:ext>
          </a:extLst>
        </xdr:cNvPr>
        <xdr:cNvGrpSpPr/>
      </xdr:nvGrpSpPr>
      <xdr:grpSpPr>
        <a:xfrm>
          <a:off x="27742578" y="0"/>
          <a:ext cx="1598169" cy="116205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D962D14B-1F81-4392-995C-1F40A4AB0284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A5608EFB-A92D-4BF8-BE68-53FB5FEBE0D7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1EF6CAA-032F-4E0D-9FDE-D88144DF94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31</xdr:col>
      <xdr:colOff>251589</xdr:colOff>
      <xdr:row>0</xdr:row>
      <xdr:rowOff>0</xdr:rowOff>
    </xdr:from>
    <xdr:to>
      <xdr:col>34</xdr:col>
      <xdr:colOff>20958</xdr:colOff>
      <xdr:row>3</xdr:row>
      <xdr:rowOff>0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BD32D7F0-130A-4D6F-8E9B-BD65AAD462F7}"/>
            </a:ext>
          </a:extLst>
        </xdr:cNvPr>
        <xdr:cNvGrpSpPr/>
      </xdr:nvGrpSpPr>
      <xdr:grpSpPr>
        <a:xfrm>
          <a:off x="31379289" y="0"/>
          <a:ext cx="1598169" cy="1162050"/>
          <a:chOff x="12260227" y="0"/>
          <a:chExt cx="1118316" cy="770164"/>
        </a:xfrm>
      </xdr:grpSpPr>
      <xdr:sp macro="" textlink="">
        <xdr:nvSpPr>
          <xdr:cNvPr id="40" name="Retângulo 39">
            <a:extLst>
              <a:ext uri="{FF2B5EF4-FFF2-40B4-BE49-F238E27FC236}">
                <a16:creationId xmlns:a16="http://schemas.microsoft.com/office/drawing/2014/main" id="{E257A9CF-C685-4377-B001-9D5E86A9BD2B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" name="CaixaDeTexto 40">
            <a:extLst>
              <a:ext uri="{FF2B5EF4-FFF2-40B4-BE49-F238E27FC236}">
                <a16:creationId xmlns:a16="http://schemas.microsoft.com/office/drawing/2014/main" id="{B4CB55CB-EFCC-4071-B3E3-8EEFF76E68BB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2" name="Imagem 41" descr="Ícone do banco de dados (símbolo png) preto">
            <a:extLst>
              <a:ext uri="{FF2B5EF4-FFF2-40B4-BE49-F238E27FC236}">
                <a16:creationId xmlns:a16="http://schemas.microsoft.com/office/drawing/2014/main" id="{8B5EF7CE-D977-48BA-90DD-60D7BAC9B91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14</xdr:col>
      <xdr:colOff>2705100</xdr:colOff>
      <xdr:row>27</xdr:row>
      <xdr:rowOff>76200</xdr:rowOff>
    </xdr:from>
    <xdr:to>
      <xdr:col>16</xdr:col>
      <xdr:colOff>1219200</xdr:colOff>
      <xdr:row>30</xdr:row>
      <xdr:rowOff>144482</xdr:rowOff>
    </xdr:to>
    <xdr:sp macro="[1]!REQ_MP" textlink="">
      <xdr:nvSpPr>
        <xdr:cNvPr id="43" name="Retângulo: Cantos Arredondados 42">
          <a:extLst>
            <a:ext uri="{FF2B5EF4-FFF2-40B4-BE49-F238E27FC236}">
              <a16:creationId xmlns:a16="http://schemas.microsoft.com/office/drawing/2014/main" id="{9E9508F3-1D81-4079-8085-DAAA7F103224}"/>
            </a:ext>
          </a:extLst>
        </xdr:cNvPr>
        <xdr:cNvSpPr/>
      </xdr:nvSpPr>
      <xdr:spPr>
        <a:xfrm>
          <a:off x="15830550" y="9639300"/>
          <a:ext cx="1981200" cy="115413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Arial" panose="020B0604020202020204" pitchFamily="34" charset="0"/>
              <a:cs typeface="Arial" panose="020B0604020202020204" pitchFamily="34" charset="0"/>
            </a:rPr>
            <a:t>REQUISIÇÃO DE COMPRA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3C71F1F2-42FC-4323-B018-E85D7F763B1C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5512EF9-5A09-4D24-8B47-139CAFD44C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C493E36D-8419-40F3-8865-478A6BA7DB09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1155180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EE2CD9B3-273E-4667-A8A1-7AD4D645FF4B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81EDE200-6609-4923-A2C3-74C7F63EE372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883762A-C1CC-4DD4-91E2-B3BD143731E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89CDBC5F-AB2B-4D38-942B-01EAD06BD8E0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1688773</xdr:colOff>
      <xdr:row>0</xdr:row>
      <xdr:rowOff>0</xdr:rowOff>
    </xdr:from>
    <xdr:to>
      <xdr:col>8</xdr:col>
      <xdr:colOff>155650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5C8C6F6C-A81F-4F26-90B9-D9668568AAF4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B598562F-4D86-489C-BC71-691883022078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717E1134-3242-4D78-A029-67ED53E1D5B4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98C16D7-8822-4400-A9C5-B464579203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11</xdr:col>
      <xdr:colOff>224389</xdr:colOff>
      <xdr:row>0</xdr:row>
      <xdr:rowOff>0</xdr:rowOff>
    </xdr:from>
    <xdr:to>
      <xdr:col>11</xdr:col>
      <xdr:colOff>1685798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8F0B7622-8580-4A13-AD8C-0F2275472BA9}"/>
            </a:ext>
          </a:extLst>
        </xdr:cNvPr>
        <xdr:cNvSpPr/>
      </xdr:nvSpPr>
      <xdr:spPr>
        <a:xfrm>
          <a:off x="9604609" y="0"/>
          <a:ext cx="146140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174893</xdr:colOff>
      <xdr:row>2</xdr:row>
      <xdr:rowOff>384583</xdr:rowOff>
    </xdr:from>
    <xdr:to>
      <xdr:col>12</xdr:col>
      <xdr:colOff>20460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A0283CFA-BB93-41F8-8BBC-457CCA2FF93A}"/>
            </a:ext>
          </a:extLst>
        </xdr:cNvPr>
        <xdr:cNvSpPr txBox="1"/>
      </xdr:nvSpPr>
      <xdr:spPr>
        <a:xfrm rot="10800000" flipH="1" flipV="1">
          <a:off x="955511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11</xdr:col>
      <xdr:colOff>656256</xdr:colOff>
      <xdr:row>0</xdr:row>
      <xdr:rowOff>136274</xdr:rowOff>
    </xdr:from>
    <xdr:to>
      <xdr:col>11</xdr:col>
      <xdr:colOff>1253932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9657889-DBFE-48D5-A794-764C3F2A1C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3647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14</xdr:col>
      <xdr:colOff>127081</xdr:colOff>
      <xdr:row>0</xdr:row>
      <xdr:rowOff>0</xdr:rowOff>
    </xdr:from>
    <xdr:to>
      <xdr:col>14</xdr:col>
      <xdr:colOff>1582022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D682A373-0058-45A4-9AA3-901C62B44731}"/>
            </a:ext>
          </a:extLst>
        </xdr:cNvPr>
        <xdr:cNvSpPr/>
      </xdr:nvSpPr>
      <xdr:spPr>
        <a:xfrm>
          <a:off x="13233481" y="0"/>
          <a:ext cx="145494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77804</xdr:colOff>
      <xdr:row>2</xdr:row>
      <xdr:rowOff>384583</xdr:rowOff>
    </xdr:from>
    <xdr:to>
      <xdr:col>14</xdr:col>
      <xdr:colOff>1668898</xdr:colOff>
      <xdr:row>2</xdr:row>
      <xdr:rowOff>762890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2041F00E-0BB8-4CB0-9EDB-65EB142B5798}"/>
            </a:ext>
          </a:extLst>
        </xdr:cNvPr>
        <xdr:cNvSpPr txBox="1"/>
      </xdr:nvSpPr>
      <xdr:spPr>
        <a:xfrm rot="10800000" flipH="1" flipV="1">
          <a:off x="13184204" y="750343"/>
          <a:ext cx="159109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14</xdr:col>
      <xdr:colOff>559501</xdr:colOff>
      <xdr:row>0</xdr:row>
      <xdr:rowOff>136274</xdr:rowOff>
    </xdr:from>
    <xdr:to>
      <xdr:col>14</xdr:col>
      <xdr:colOff>1149602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CD1ECB-1429-4E20-931F-1AA8DAAEE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65901" y="136274"/>
          <a:ext cx="590101" cy="583748"/>
        </a:xfrm>
        <a:prstGeom prst="rect">
          <a:avLst/>
        </a:prstGeom>
      </xdr:spPr>
    </xdr:pic>
    <xdr:clientData/>
  </xdr:twoCellAnchor>
  <xdr:twoCellAnchor editAs="absolute">
    <xdr:from>
      <xdr:col>14</xdr:col>
      <xdr:colOff>3757362</xdr:colOff>
      <xdr:row>0</xdr:row>
      <xdr:rowOff>0</xdr:rowOff>
    </xdr:from>
    <xdr:to>
      <xdr:col>14</xdr:col>
      <xdr:colOff>5231316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5B591F60-349E-4DA3-887D-26B4E9166E66}"/>
            </a:ext>
          </a:extLst>
        </xdr:cNvPr>
        <xdr:cNvSpPr/>
      </xdr:nvSpPr>
      <xdr:spPr>
        <a:xfrm>
          <a:off x="16863762" y="0"/>
          <a:ext cx="1473954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3707441</xdr:colOff>
      <xdr:row>2</xdr:row>
      <xdr:rowOff>384583</xdr:rowOff>
    </xdr:from>
    <xdr:to>
      <xdr:col>14</xdr:col>
      <xdr:colOff>5319327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2CF10132-7344-4563-93D4-946754F57B52}"/>
            </a:ext>
          </a:extLst>
        </xdr:cNvPr>
        <xdr:cNvSpPr txBox="1"/>
      </xdr:nvSpPr>
      <xdr:spPr>
        <a:xfrm rot="10800000" flipH="1" flipV="1">
          <a:off x="16813841" y="75034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14</xdr:col>
      <xdr:colOff>4196626</xdr:colOff>
      <xdr:row>0</xdr:row>
      <xdr:rowOff>136274</xdr:rowOff>
    </xdr:from>
    <xdr:to>
      <xdr:col>14</xdr:col>
      <xdr:colOff>4792050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4610A66-F315-45D0-86CF-DA83BF2F2E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03026" y="136274"/>
          <a:ext cx="595424" cy="583748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537970</xdr:colOff>
      <xdr:row>0</xdr:row>
      <xdr:rowOff>0</xdr:rowOff>
    </xdr:from>
    <xdr:to>
      <xdr:col>16</xdr:col>
      <xdr:colOff>1368480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4DF502EB-C6C4-48A1-90D9-BB53DA865B28}"/>
            </a:ext>
          </a:extLst>
        </xdr:cNvPr>
        <xdr:cNvGrpSpPr/>
      </xdr:nvGrpSpPr>
      <xdr:grpSpPr>
        <a:xfrm>
          <a:off x="20483320" y="0"/>
          <a:ext cx="1592510" cy="116205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A4F9304F-63CE-4519-9804-816AE2C63E1F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13341ABB-9FAB-47BC-BA3F-1310B3237C05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99EFD71-3963-4B82-9890-1C5C8240065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16</xdr:col>
      <xdr:colOff>3407023</xdr:colOff>
      <xdr:row>0</xdr:row>
      <xdr:rowOff>0</xdr:rowOff>
    </xdr:from>
    <xdr:to>
      <xdr:col>18</xdr:col>
      <xdr:colOff>538984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BA0FE77F-D33F-47D9-A1CB-A6B6C6A6B4C3}"/>
            </a:ext>
          </a:extLst>
        </xdr:cNvPr>
        <xdr:cNvGrpSpPr/>
      </xdr:nvGrpSpPr>
      <xdr:grpSpPr>
        <a:xfrm>
          <a:off x="24114373" y="0"/>
          <a:ext cx="1589661" cy="116205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599FBD9C-F87E-4EA9-97C5-EAE0DDE525B0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ED9A18E7-8166-4D98-A40D-F71E0D30B125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D9FDC37-AC96-4932-9847-DAEBBFBF69D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21</xdr:col>
      <xdr:colOff>748728</xdr:colOff>
      <xdr:row>0</xdr:row>
      <xdr:rowOff>0</xdr:rowOff>
    </xdr:from>
    <xdr:to>
      <xdr:col>23</xdr:col>
      <xdr:colOff>556197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B201F466-65DE-4DFE-9D81-478A5C789467}"/>
            </a:ext>
          </a:extLst>
        </xdr:cNvPr>
        <xdr:cNvGrpSpPr/>
      </xdr:nvGrpSpPr>
      <xdr:grpSpPr>
        <a:xfrm>
          <a:off x="27742578" y="0"/>
          <a:ext cx="1598169" cy="1162050"/>
          <a:chOff x="11105473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108477B7-ABF8-4FE6-A279-59D6171A3E53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81B0E8B6-D8A1-4163-98F1-EB967F3F70DE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3D8C0502-12D0-4CB8-A740-FE0E1CF254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23</xdr:col>
      <xdr:colOff>2594739</xdr:colOff>
      <xdr:row>0</xdr:row>
      <xdr:rowOff>0</xdr:rowOff>
    </xdr:from>
    <xdr:to>
      <xdr:col>25</xdr:col>
      <xdr:colOff>78108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4BE39405-971B-4C24-9BFC-1491362B6831}"/>
            </a:ext>
          </a:extLst>
        </xdr:cNvPr>
        <xdr:cNvGrpSpPr/>
      </xdr:nvGrpSpPr>
      <xdr:grpSpPr>
        <a:xfrm>
          <a:off x="31379289" y="0"/>
          <a:ext cx="1598169" cy="1162050"/>
          <a:chOff x="12260227" y="0"/>
          <a:chExt cx="1118316" cy="770164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6801DDF7-A12C-4EFA-A452-AA8BF7353553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18402D20-7A4B-47DB-96F6-5B4CB90FFCC8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8" name="Imagem 37" descr="Ícone do banco de dados (símbolo png) preto">
            <a:extLst>
              <a:ext uri="{FF2B5EF4-FFF2-40B4-BE49-F238E27FC236}">
                <a16:creationId xmlns:a16="http://schemas.microsoft.com/office/drawing/2014/main" id="{6FD48C7C-1F29-4BF5-803A-71FC368B56F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5</xdr:col>
      <xdr:colOff>921192</xdr:colOff>
      <xdr:row>5</xdr:row>
      <xdr:rowOff>152399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B2ACAED2-8130-406B-902E-DFB23543B31F}"/>
            </a:ext>
          </a:extLst>
        </xdr:cNvPr>
        <xdr:cNvSpPr/>
      </xdr:nvSpPr>
      <xdr:spPr>
        <a:xfrm>
          <a:off x="266700" y="1306632"/>
          <a:ext cx="340531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11</xdr:col>
      <xdr:colOff>1649850</xdr:colOff>
      <xdr:row>3</xdr:row>
      <xdr:rowOff>182100</xdr:rowOff>
    </xdr:from>
    <xdr:to>
      <xdr:col>14</xdr:col>
      <xdr:colOff>1314450</xdr:colOff>
      <xdr:row>5</xdr:row>
      <xdr:rowOff>171450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09A948C2-5B94-419C-BD06-19ADE06F527E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0070" y="1325100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182100</xdr:rowOff>
    </xdr:from>
    <xdr:to>
      <xdr:col>10</xdr:col>
      <xdr:colOff>140850</xdr:colOff>
      <xdr:row>5</xdr:row>
      <xdr:rowOff>171450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CAF04686-1401-4432-A0E1-370885B99370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33110" y="13251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14</xdr:col>
      <xdr:colOff>2990850</xdr:colOff>
      <xdr:row>3</xdr:row>
      <xdr:rowOff>152400</xdr:rowOff>
    </xdr:from>
    <xdr:to>
      <xdr:col>14</xdr:col>
      <xdr:colOff>6389250</xdr:colOff>
      <xdr:row>5</xdr:row>
      <xdr:rowOff>141750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880BCDDD-2F28-4077-9064-45FEA71810F0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097250" y="12954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  <xdr:twoCellAnchor editAs="absolute">
    <xdr:from>
      <xdr:col>11</xdr:col>
      <xdr:colOff>1371600</xdr:colOff>
      <xdr:row>12</xdr:row>
      <xdr:rowOff>19050</xdr:rowOff>
    </xdr:from>
    <xdr:to>
      <xdr:col>19</xdr:col>
      <xdr:colOff>438150</xdr:colOff>
      <xdr:row>50</xdr:row>
      <xdr:rowOff>217972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25DC03B8-3CF3-48D2-89FA-EFE2A74107AF}"/>
            </a:ext>
            <a:ext uri="{147F2762-F138-4A5C-976F-8EAC2B608ADB}">
              <a16:predDERef xmlns:a16="http://schemas.microsoft.com/office/drawing/2014/main" pred="{45AAF0B4-637A-42E1-B7D2-A6E46851A7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>
          <a:alphaModFix amt="23000"/>
          <a:extLst>
            <a:ext uri="{BEBA8EAE-BF5A-486C-A8C5-ECC9F3942E4B}">
              <a14:imgProps xmlns:a14="http://schemas.microsoft.com/office/drawing/2010/main">
                <a14:imgLayer r:embed="rId25">
                  <a14:imgEffect>
                    <a14:brightnessContrast contrast="1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8158" b="8325"/>
        <a:stretch/>
      </xdr:blipFill>
      <xdr:spPr>
        <a:xfrm>
          <a:off x="10763250" y="4152900"/>
          <a:ext cx="15449550" cy="13953022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197FF08-7DBE-4CBB-99B2-ECC74FD42DF5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1CC87B-172D-40B9-A3CE-D2738B63DB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D4E85BB-203F-4337-82B1-4BD693F48E34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1155180</xdr:colOff>
      <xdr:row>3</xdr:row>
      <xdr:rowOff>0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5757FF52-3B75-4219-98FF-294F5476A70A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9" name="Retângulo 8">
            <a:extLst>
              <a:ext uri="{FF2B5EF4-FFF2-40B4-BE49-F238E27FC236}">
                <a16:creationId xmlns:a16="http://schemas.microsoft.com/office/drawing/2014/main" id="{2AA4DA3D-3502-4480-8C4B-E05492D1B034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0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1FB54DBA-D29D-41AE-A54B-F9AD202668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7993E2F0-C277-44A9-979C-C3D6E45465AF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1688773</xdr:colOff>
      <xdr:row>0</xdr:row>
      <xdr:rowOff>0</xdr:rowOff>
    </xdr:from>
    <xdr:to>
      <xdr:col>8</xdr:col>
      <xdr:colOff>155650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5861FDE9-1928-4C2D-A02B-E531484DE39C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B0FBCDA7-5A87-4E44-A248-71EAE6B19846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B790ABBF-6D63-4A90-A509-DCF54495A25D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5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B82FC7E-111C-448F-B88E-125B7B0788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11</xdr:col>
      <xdr:colOff>224389</xdr:colOff>
      <xdr:row>0</xdr:row>
      <xdr:rowOff>0</xdr:rowOff>
    </xdr:from>
    <xdr:to>
      <xdr:col>11</xdr:col>
      <xdr:colOff>1685798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DD25B308-83DE-4CFF-881C-46C473EC4583}"/>
            </a:ext>
          </a:extLst>
        </xdr:cNvPr>
        <xdr:cNvSpPr/>
      </xdr:nvSpPr>
      <xdr:spPr>
        <a:xfrm>
          <a:off x="9604609" y="0"/>
          <a:ext cx="146140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174893</xdr:colOff>
      <xdr:row>2</xdr:row>
      <xdr:rowOff>384583</xdr:rowOff>
    </xdr:from>
    <xdr:to>
      <xdr:col>12</xdr:col>
      <xdr:colOff>20460</xdr:colOff>
      <xdr:row>2</xdr:row>
      <xdr:rowOff>762890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E91E3519-00DB-4F92-903A-12233154B6F5}"/>
            </a:ext>
          </a:extLst>
        </xdr:cNvPr>
        <xdr:cNvSpPr txBox="1"/>
      </xdr:nvSpPr>
      <xdr:spPr>
        <a:xfrm rot="10800000" flipH="1" flipV="1">
          <a:off x="955511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11</xdr:col>
      <xdr:colOff>656256</xdr:colOff>
      <xdr:row>0</xdr:row>
      <xdr:rowOff>136274</xdr:rowOff>
    </xdr:from>
    <xdr:to>
      <xdr:col>11</xdr:col>
      <xdr:colOff>1253932</xdr:colOff>
      <xdr:row>2</xdr:row>
      <xdr:rowOff>354262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251995D-8CE5-4E29-8E41-F934B9B26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3647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14</xdr:col>
      <xdr:colOff>127081</xdr:colOff>
      <xdr:row>0</xdr:row>
      <xdr:rowOff>0</xdr:rowOff>
    </xdr:from>
    <xdr:to>
      <xdr:col>14</xdr:col>
      <xdr:colOff>1582022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0608747A-43AA-4379-9776-3AE352E4B549}"/>
            </a:ext>
          </a:extLst>
        </xdr:cNvPr>
        <xdr:cNvSpPr/>
      </xdr:nvSpPr>
      <xdr:spPr>
        <a:xfrm>
          <a:off x="13252531" y="0"/>
          <a:ext cx="1454941" cy="116205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77804</xdr:colOff>
      <xdr:row>2</xdr:row>
      <xdr:rowOff>384583</xdr:rowOff>
    </xdr:from>
    <xdr:to>
      <xdr:col>14</xdr:col>
      <xdr:colOff>1668898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8590B1BE-8666-4CC2-8ED3-A6539C467B42}"/>
            </a:ext>
          </a:extLst>
        </xdr:cNvPr>
        <xdr:cNvSpPr txBox="1"/>
      </xdr:nvSpPr>
      <xdr:spPr>
        <a:xfrm rot="10800000" flipH="1" flipV="1">
          <a:off x="13203254" y="765583"/>
          <a:ext cx="159109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14</xdr:col>
      <xdr:colOff>559501</xdr:colOff>
      <xdr:row>0</xdr:row>
      <xdr:rowOff>136274</xdr:rowOff>
    </xdr:from>
    <xdr:to>
      <xdr:col>14</xdr:col>
      <xdr:colOff>1149602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60848CE-4085-4712-AC9C-8418C0C01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84951" y="136274"/>
          <a:ext cx="590101" cy="598988"/>
        </a:xfrm>
        <a:prstGeom prst="rect">
          <a:avLst/>
        </a:prstGeom>
      </xdr:spPr>
    </xdr:pic>
    <xdr:clientData/>
  </xdr:twoCellAnchor>
  <xdr:twoCellAnchor editAs="absolute">
    <xdr:from>
      <xdr:col>14</xdr:col>
      <xdr:colOff>3757362</xdr:colOff>
      <xdr:row>0</xdr:row>
      <xdr:rowOff>0</xdr:rowOff>
    </xdr:from>
    <xdr:to>
      <xdr:col>14</xdr:col>
      <xdr:colOff>5231316</xdr:colOff>
      <xdr:row>3</xdr:row>
      <xdr:rowOff>0</xdr:rowOff>
    </xdr:to>
    <xdr:sp macro="" textlink="">
      <xdr:nvSpPr>
        <xdr:cNvPr id="24" name="Retângulo 23">
          <a:extLst>
            <a:ext uri="{FF2B5EF4-FFF2-40B4-BE49-F238E27FC236}">
              <a16:creationId xmlns:a16="http://schemas.microsoft.com/office/drawing/2014/main" id="{C07F0C5D-690E-4F11-B3D3-B66F0D5336F9}"/>
            </a:ext>
          </a:extLst>
        </xdr:cNvPr>
        <xdr:cNvSpPr/>
      </xdr:nvSpPr>
      <xdr:spPr>
        <a:xfrm>
          <a:off x="16882812" y="0"/>
          <a:ext cx="1473954" cy="11620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3707441</xdr:colOff>
      <xdr:row>2</xdr:row>
      <xdr:rowOff>384583</xdr:rowOff>
    </xdr:from>
    <xdr:to>
      <xdr:col>14</xdr:col>
      <xdr:colOff>5319327</xdr:colOff>
      <xdr:row>2</xdr:row>
      <xdr:rowOff>762890</xdr:rowOff>
    </xdr:to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DA3B39FC-964E-4195-BF1B-BEDD4B0B9673}"/>
            </a:ext>
          </a:extLst>
        </xdr:cNvPr>
        <xdr:cNvSpPr txBox="1"/>
      </xdr:nvSpPr>
      <xdr:spPr>
        <a:xfrm rot="10800000" flipH="1" flipV="1">
          <a:off x="16832891" y="76558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14</xdr:col>
      <xdr:colOff>4196626</xdr:colOff>
      <xdr:row>0</xdr:row>
      <xdr:rowOff>136274</xdr:rowOff>
    </xdr:from>
    <xdr:to>
      <xdr:col>14</xdr:col>
      <xdr:colOff>4792050</xdr:colOff>
      <xdr:row>2</xdr:row>
      <xdr:rowOff>354262</xdr:rowOff>
    </xdr:to>
    <xdr:pic>
      <xdr:nvPicPr>
        <xdr:cNvPr id="26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94D4CED-EE87-41C5-8D68-189BE673F8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22076" y="136274"/>
          <a:ext cx="595424" cy="598988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537970</xdr:colOff>
      <xdr:row>0</xdr:row>
      <xdr:rowOff>0</xdr:rowOff>
    </xdr:from>
    <xdr:to>
      <xdr:col>16</xdr:col>
      <xdr:colOff>1368480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BDC9312A-A584-4995-B0D2-162B9163CF4F}"/>
            </a:ext>
          </a:extLst>
        </xdr:cNvPr>
        <xdr:cNvGrpSpPr/>
      </xdr:nvGrpSpPr>
      <xdr:grpSpPr>
        <a:xfrm>
          <a:off x="20483320" y="0"/>
          <a:ext cx="1592510" cy="1162050"/>
          <a:chOff x="8443355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B499945A-2380-466E-8334-A47464A5ECB5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DD6D6201-7664-4722-8BCA-6D4CDA84FA7F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125AB89-FDCC-4737-939F-96798ED279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16</xdr:col>
      <xdr:colOff>3407023</xdr:colOff>
      <xdr:row>0</xdr:row>
      <xdr:rowOff>0</xdr:rowOff>
    </xdr:from>
    <xdr:to>
      <xdr:col>18</xdr:col>
      <xdr:colOff>538984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07850A42-372B-4048-AB6E-E630F3A11BAE}"/>
            </a:ext>
          </a:extLst>
        </xdr:cNvPr>
        <xdr:cNvGrpSpPr/>
      </xdr:nvGrpSpPr>
      <xdr:grpSpPr>
        <a:xfrm>
          <a:off x="24114373" y="0"/>
          <a:ext cx="1589661" cy="1162050"/>
          <a:chOff x="9774419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21CA50E8-FC54-47FC-A8F7-C002ACB84915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DF9894F9-8685-4961-9B8F-1EAEE5A8F921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702C2B5-2799-403C-84CB-A739C8D9C0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21</xdr:col>
      <xdr:colOff>748728</xdr:colOff>
      <xdr:row>0</xdr:row>
      <xdr:rowOff>0</xdr:rowOff>
    </xdr:from>
    <xdr:to>
      <xdr:col>23</xdr:col>
      <xdr:colOff>556197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D3EB33B1-6D51-44FF-80A0-5724EE6CF573}"/>
            </a:ext>
          </a:extLst>
        </xdr:cNvPr>
        <xdr:cNvGrpSpPr/>
      </xdr:nvGrpSpPr>
      <xdr:grpSpPr>
        <a:xfrm>
          <a:off x="27742578" y="0"/>
          <a:ext cx="1598169" cy="116205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76D16455-DB83-48EE-96A0-D9158C5D5A3B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87DDF663-9193-48BC-B289-28D0C4ECD152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3A90D1-FA59-4530-8CB7-2DEFB9AE0D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23</xdr:col>
      <xdr:colOff>2594739</xdr:colOff>
      <xdr:row>0</xdr:row>
      <xdr:rowOff>0</xdr:rowOff>
    </xdr:from>
    <xdr:to>
      <xdr:col>25</xdr:col>
      <xdr:colOff>78108</xdr:colOff>
      <xdr:row>3</xdr:row>
      <xdr:rowOff>0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E27AD3C6-1B40-4741-BA9F-A51A263294EA}"/>
            </a:ext>
          </a:extLst>
        </xdr:cNvPr>
        <xdr:cNvGrpSpPr/>
      </xdr:nvGrpSpPr>
      <xdr:grpSpPr>
        <a:xfrm>
          <a:off x="31379289" y="0"/>
          <a:ext cx="1598169" cy="1162050"/>
          <a:chOff x="12260227" y="0"/>
          <a:chExt cx="1118316" cy="770164"/>
        </a:xfrm>
      </xdr:grpSpPr>
      <xdr:sp macro="" textlink="">
        <xdr:nvSpPr>
          <xdr:cNvPr id="40" name="Retângulo 39">
            <a:extLst>
              <a:ext uri="{FF2B5EF4-FFF2-40B4-BE49-F238E27FC236}">
                <a16:creationId xmlns:a16="http://schemas.microsoft.com/office/drawing/2014/main" id="{B728BFFD-D4DD-4826-A341-B57F94DDED80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" name="CaixaDeTexto 40">
            <a:extLst>
              <a:ext uri="{FF2B5EF4-FFF2-40B4-BE49-F238E27FC236}">
                <a16:creationId xmlns:a16="http://schemas.microsoft.com/office/drawing/2014/main" id="{50A3F587-30A6-462F-90CD-41B118AC8DE2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2" name="Imagem 41" descr="Ícone do banco de dados (símbolo png) preto">
            <a:extLst>
              <a:ext uri="{FF2B5EF4-FFF2-40B4-BE49-F238E27FC236}">
                <a16:creationId xmlns:a16="http://schemas.microsoft.com/office/drawing/2014/main" id="{9847A16C-B673-4B97-9C39-24B5DEF350C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14</xdr:col>
      <xdr:colOff>5105400</xdr:colOff>
      <xdr:row>21</xdr:row>
      <xdr:rowOff>323850</xdr:rowOff>
    </xdr:from>
    <xdr:to>
      <xdr:col>15</xdr:col>
      <xdr:colOff>266700</xdr:colOff>
      <xdr:row>25</xdr:row>
      <xdr:rowOff>30182</xdr:rowOff>
    </xdr:to>
    <xdr:sp macro="[1]!REQ_MP" textlink="">
      <xdr:nvSpPr>
        <xdr:cNvPr id="43" name="Retângulo: Cantos Arredondados 42">
          <a:extLst>
            <a:ext uri="{FF2B5EF4-FFF2-40B4-BE49-F238E27FC236}">
              <a16:creationId xmlns:a16="http://schemas.microsoft.com/office/drawing/2014/main" id="{5FFA322F-3D67-4C27-8CDB-C5F0F2263CA7}"/>
            </a:ext>
          </a:extLst>
        </xdr:cNvPr>
        <xdr:cNvSpPr/>
      </xdr:nvSpPr>
      <xdr:spPr>
        <a:xfrm>
          <a:off x="18230850" y="7715250"/>
          <a:ext cx="1981200" cy="115413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Arial" panose="020B0604020202020204" pitchFamily="34" charset="0"/>
              <a:cs typeface="Arial" panose="020B0604020202020204" pitchFamily="34" charset="0"/>
            </a:rPr>
            <a:t>SOLICITAR</a:t>
          </a:r>
        </a:p>
      </xdr:txBody>
    </xdr:sp>
    <xdr:clientData/>
  </xdr:twoCellAnchor>
  <xdr:twoCellAnchor editAs="absolute">
    <xdr:from>
      <xdr:col>0</xdr:col>
      <xdr:colOff>266700</xdr:colOff>
      <xdr:row>3</xdr:row>
      <xdr:rowOff>163632</xdr:rowOff>
    </xdr:from>
    <xdr:to>
      <xdr:col>5</xdr:col>
      <xdr:colOff>921192</xdr:colOff>
      <xdr:row>5</xdr:row>
      <xdr:rowOff>152399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8B074F1A-66A7-4F1C-8C49-CA74BA53AA09}"/>
            </a:ext>
          </a:extLst>
        </xdr:cNvPr>
        <xdr:cNvSpPr/>
      </xdr:nvSpPr>
      <xdr:spPr>
        <a:xfrm>
          <a:off x="266700" y="1325682"/>
          <a:ext cx="3397692" cy="76981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11</xdr:col>
      <xdr:colOff>1649850</xdr:colOff>
      <xdr:row>3</xdr:row>
      <xdr:rowOff>182100</xdr:rowOff>
    </xdr:from>
    <xdr:to>
      <xdr:col>14</xdr:col>
      <xdr:colOff>1314450</xdr:colOff>
      <xdr:row>5</xdr:row>
      <xdr:rowOff>171450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id="{11EB1B90-80FA-4E2D-82A5-5D0BFBA8C6A9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441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182100</xdr:rowOff>
    </xdr:from>
    <xdr:to>
      <xdr:col>10</xdr:col>
      <xdr:colOff>140850</xdr:colOff>
      <xdr:row>5</xdr:row>
      <xdr:rowOff>171450</xdr:rowOff>
    </xdr:to>
    <xdr:sp macro="" textlink="">
      <xdr:nvSpPr>
        <xdr:cNvPr id="46" name="Retângulo 45">
          <a:extLst>
            <a:ext uri="{FF2B5EF4-FFF2-40B4-BE49-F238E27FC236}">
              <a16:creationId xmlns:a16="http://schemas.microsoft.com/office/drawing/2014/main" id="{127DC4B7-C85B-427B-A26E-75E11C8BAF48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441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14</xdr:col>
      <xdr:colOff>2990850</xdr:colOff>
      <xdr:row>3</xdr:row>
      <xdr:rowOff>152400</xdr:rowOff>
    </xdr:from>
    <xdr:to>
      <xdr:col>14</xdr:col>
      <xdr:colOff>6389250</xdr:colOff>
      <xdr:row>5</xdr:row>
      <xdr:rowOff>141750</xdr:rowOff>
    </xdr:to>
    <xdr:sp macro="" textlink="">
      <xdr:nvSpPr>
        <xdr:cNvPr id="47" name="Retângulo 46">
          <a:extLst>
            <a:ext uri="{FF2B5EF4-FFF2-40B4-BE49-F238E27FC236}">
              <a16:creationId xmlns:a16="http://schemas.microsoft.com/office/drawing/2014/main" id="{C3F39354-B16B-4C45-84F7-746106A3C8E5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16300" y="13144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  <xdr:twoCellAnchor>
    <xdr:from>
      <xdr:col>14</xdr:col>
      <xdr:colOff>5238750</xdr:colOff>
      <xdr:row>36</xdr:row>
      <xdr:rowOff>238125</xdr:rowOff>
    </xdr:from>
    <xdr:to>
      <xdr:col>15</xdr:col>
      <xdr:colOff>357187</xdr:colOff>
      <xdr:row>39</xdr:row>
      <xdr:rowOff>279626</xdr:rowOff>
    </xdr:to>
    <xdr:sp macro="" textlink="">
      <xdr:nvSpPr>
        <xdr:cNvPr id="48" name="Retângulo Arredondado 11">
          <a:extLst>
            <a:ext uri="{FF2B5EF4-FFF2-40B4-BE49-F238E27FC236}">
              <a16:creationId xmlns:a16="http://schemas.microsoft.com/office/drawing/2014/main" id="{74388647-0594-438F-952D-450E34D10CFB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8352770" y="12757785"/>
          <a:ext cx="1930717" cy="1138781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SOLICITAR</a:t>
          </a:r>
          <a:endParaRPr lang="en-US" sz="1400" b="1" i="0" u="none" strike="noStrike">
            <a:solidFill>
              <a:schemeClr val="lt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45C8541E-6C05-4516-8368-A6E21475751C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2EBABE5-3FAB-405B-BC0D-575DAA695B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B7782554-39C6-4106-A724-E608CCAC513A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1155180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35CF85BF-C7EB-4DE5-8FE5-87898D0975E8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B810FAA7-A784-4E8D-9C4D-D4E3E358CE76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B892709-3557-4A7B-96BD-89BB600510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E24FBE7D-EB33-47F9-A6E5-388714938914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1688773</xdr:colOff>
      <xdr:row>0</xdr:row>
      <xdr:rowOff>0</xdr:rowOff>
    </xdr:from>
    <xdr:to>
      <xdr:col>8</xdr:col>
      <xdr:colOff>155650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F5ADD9BD-6FF1-436C-9B9D-A0F2A213E41F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2A93A61E-F554-4236-9ECF-FB14FCA4D142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A2CD40CF-3AFA-4617-A320-A46F8AAED838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D066335-419B-45E4-8FEF-76C28053B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11</xdr:col>
      <xdr:colOff>224389</xdr:colOff>
      <xdr:row>0</xdr:row>
      <xdr:rowOff>0</xdr:rowOff>
    </xdr:from>
    <xdr:to>
      <xdr:col>11</xdr:col>
      <xdr:colOff>1685798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5A436CE2-8405-4EA3-B0FE-ACEA736CA072}"/>
            </a:ext>
          </a:extLst>
        </xdr:cNvPr>
        <xdr:cNvSpPr/>
      </xdr:nvSpPr>
      <xdr:spPr>
        <a:xfrm>
          <a:off x="9604609" y="0"/>
          <a:ext cx="146140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174893</xdr:colOff>
      <xdr:row>2</xdr:row>
      <xdr:rowOff>384583</xdr:rowOff>
    </xdr:from>
    <xdr:to>
      <xdr:col>12</xdr:col>
      <xdr:colOff>20460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B7E166D7-5F91-4D89-98F3-A4C27B232BAC}"/>
            </a:ext>
          </a:extLst>
        </xdr:cNvPr>
        <xdr:cNvSpPr txBox="1"/>
      </xdr:nvSpPr>
      <xdr:spPr>
        <a:xfrm rot="10800000" flipH="1" flipV="1">
          <a:off x="955511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11</xdr:col>
      <xdr:colOff>656256</xdr:colOff>
      <xdr:row>0</xdr:row>
      <xdr:rowOff>136274</xdr:rowOff>
    </xdr:from>
    <xdr:to>
      <xdr:col>11</xdr:col>
      <xdr:colOff>1253932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F0A7EB1-C198-49AC-9C48-9F7611872F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3647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13</xdr:col>
      <xdr:colOff>1498681</xdr:colOff>
      <xdr:row>0</xdr:row>
      <xdr:rowOff>0</xdr:rowOff>
    </xdr:from>
    <xdr:to>
      <xdr:col>14</xdr:col>
      <xdr:colOff>858122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0A9A283D-DC4F-4801-9FD5-184429695C34}"/>
            </a:ext>
          </a:extLst>
        </xdr:cNvPr>
        <xdr:cNvSpPr/>
      </xdr:nvSpPr>
      <xdr:spPr>
        <a:xfrm>
          <a:off x="13233481" y="0"/>
          <a:ext cx="145494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1449404</xdr:colOff>
      <xdr:row>2</xdr:row>
      <xdr:rowOff>384583</xdr:rowOff>
    </xdr:from>
    <xdr:to>
      <xdr:col>14</xdr:col>
      <xdr:colOff>944998</xdr:colOff>
      <xdr:row>2</xdr:row>
      <xdr:rowOff>762890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916A70B6-81FD-4D55-B831-26A9772E5D2F}"/>
            </a:ext>
          </a:extLst>
        </xdr:cNvPr>
        <xdr:cNvSpPr txBox="1"/>
      </xdr:nvSpPr>
      <xdr:spPr>
        <a:xfrm rot="10800000" flipH="1" flipV="1">
          <a:off x="13184204" y="750343"/>
          <a:ext cx="159109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13</xdr:col>
      <xdr:colOff>1931101</xdr:colOff>
      <xdr:row>0</xdr:row>
      <xdr:rowOff>136274</xdr:rowOff>
    </xdr:from>
    <xdr:to>
      <xdr:col>14</xdr:col>
      <xdr:colOff>425702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B6AD15-03F6-49BD-9D7E-4D2E0BF0E8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65901" y="136274"/>
          <a:ext cx="590101" cy="583748"/>
        </a:xfrm>
        <a:prstGeom prst="rect">
          <a:avLst/>
        </a:prstGeom>
      </xdr:spPr>
    </xdr:pic>
    <xdr:clientData/>
  </xdr:twoCellAnchor>
  <xdr:twoCellAnchor editAs="absolute">
    <xdr:from>
      <xdr:col>15</xdr:col>
      <xdr:colOff>1014162</xdr:colOff>
      <xdr:row>0</xdr:row>
      <xdr:rowOff>0</xdr:rowOff>
    </xdr:from>
    <xdr:to>
      <xdr:col>15</xdr:col>
      <xdr:colOff>2488116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C9708D59-C75C-4085-AD14-585D8BA4E575}"/>
            </a:ext>
          </a:extLst>
        </xdr:cNvPr>
        <xdr:cNvSpPr/>
      </xdr:nvSpPr>
      <xdr:spPr>
        <a:xfrm>
          <a:off x="16863762" y="0"/>
          <a:ext cx="1473954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964241</xdr:colOff>
      <xdr:row>2</xdr:row>
      <xdr:rowOff>384583</xdr:rowOff>
    </xdr:from>
    <xdr:to>
      <xdr:col>15</xdr:col>
      <xdr:colOff>2576127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D314684A-B931-4DBD-ACA8-EBB2FCE174B5}"/>
            </a:ext>
          </a:extLst>
        </xdr:cNvPr>
        <xdr:cNvSpPr txBox="1"/>
      </xdr:nvSpPr>
      <xdr:spPr>
        <a:xfrm rot="10800000" flipH="1" flipV="1">
          <a:off x="16813841" y="75034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15</xdr:col>
      <xdr:colOff>1453426</xdr:colOff>
      <xdr:row>0</xdr:row>
      <xdr:rowOff>136274</xdr:rowOff>
    </xdr:from>
    <xdr:to>
      <xdr:col>15</xdr:col>
      <xdr:colOff>2048850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6F057C-B2C5-4B11-B1A8-049817D7D4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03026" y="136274"/>
          <a:ext cx="595424" cy="583748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4614670</xdr:colOff>
      <xdr:row>0</xdr:row>
      <xdr:rowOff>0</xdr:rowOff>
    </xdr:from>
    <xdr:to>
      <xdr:col>17</xdr:col>
      <xdr:colOff>111180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92B4A6E6-BFED-45F6-A39A-7687BAA780D6}"/>
            </a:ext>
          </a:extLst>
        </xdr:cNvPr>
        <xdr:cNvGrpSpPr/>
      </xdr:nvGrpSpPr>
      <xdr:grpSpPr>
        <a:xfrm>
          <a:off x="20483320" y="0"/>
          <a:ext cx="1592510" cy="116205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DDA0DFA9-1D4A-4738-8C85-7488E3659137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7F86B9B5-9ECD-4EA9-9215-4862AD1819CE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14BF5F0-91FC-4439-A574-EE711676B9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20</xdr:col>
      <xdr:colOff>320923</xdr:colOff>
      <xdr:row>0</xdr:row>
      <xdr:rowOff>0</xdr:rowOff>
    </xdr:from>
    <xdr:to>
      <xdr:col>21</xdr:col>
      <xdr:colOff>1300984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C9428A26-59BF-4ABD-BD8D-D6F7F7887A9F}"/>
            </a:ext>
          </a:extLst>
        </xdr:cNvPr>
        <xdr:cNvGrpSpPr/>
      </xdr:nvGrpSpPr>
      <xdr:grpSpPr>
        <a:xfrm>
          <a:off x="24114373" y="0"/>
          <a:ext cx="1589661" cy="116205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7CB77C83-05AB-4F38-BE04-55731EEC623C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FF2F9074-71F7-4056-9D02-263C41C0530A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91B3270-C91F-4DBF-B3C0-D54C7578B1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23</xdr:col>
      <xdr:colOff>1548828</xdr:colOff>
      <xdr:row>0</xdr:row>
      <xdr:rowOff>0</xdr:rowOff>
    </xdr:from>
    <xdr:to>
      <xdr:col>23</xdr:col>
      <xdr:colOff>3146997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E5160F03-ED0C-46D3-927D-C273CCB8A585}"/>
            </a:ext>
          </a:extLst>
        </xdr:cNvPr>
        <xdr:cNvGrpSpPr/>
      </xdr:nvGrpSpPr>
      <xdr:grpSpPr>
        <a:xfrm>
          <a:off x="27742578" y="0"/>
          <a:ext cx="1598169" cy="1162050"/>
          <a:chOff x="11105473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A3762977-B10C-4BF2-8E4B-569643DFC146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265A7E54-CDA8-4BA7-9398-A9C954D401AD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0EAE943-3B03-45E5-AD67-F62AB83250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26</xdr:col>
      <xdr:colOff>461139</xdr:colOff>
      <xdr:row>0</xdr:row>
      <xdr:rowOff>0</xdr:rowOff>
    </xdr:from>
    <xdr:to>
      <xdr:col>29</xdr:col>
      <xdr:colOff>230508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6DC8FFC0-99F5-4CD7-BCD2-E526F582629F}"/>
            </a:ext>
          </a:extLst>
        </xdr:cNvPr>
        <xdr:cNvGrpSpPr/>
      </xdr:nvGrpSpPr>
      <xdr:grpSpPr>
        <a:xfrm>
          <a:off x="31379289" y="0"/>
          <a:ext cx="1598169" cy="1162050"/>
          <a:chOff x="12260227" y="0"/>
          <a:chExt cx="1118316" cy="770164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910A98FB-642A-4854-9AF5-15806E5D6F45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6F9EF9A9-A730-4D00-8F8B-8C43D53605A5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8" name="Imagem 37" descr="Ícone do banco de dados (símbolo png) preto">
            <a:extLst>
              <a:ext uri="{FF2B5EF4-FFF2-40B4-BE49-F238E27FC236}">
                <a16:creationId xmlns:a16="http://schemas.microsoft.com/office/drawing/2014/main" id="{9D13A87E-CC0A-41C1-BB63-00FF672E1A0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5</xdr:col>
      <xdr:colOff>921192</xdr:colOff>
      <xdr:row>5</xdr:row>
      <xdr:rowOff>152399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3A14BEF6-FB07-4238-83D1-4985C31099B6}"/>
            </a:ext>
          </a:extLst>
        </xdr:cNvPr>
        <xdr:cNvSpPr/>
      </xdr:nvSpPr>
      <xdr:spPr>
        <a:xfrm>
          <a:off x="266700" y="1306632"/>
          <a:ext cx="340531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11</xdr:col>
      <xdr:colOff>1649850</xdr:colOff>
      <xdr:row>3</xdr:row>
      <xdr:rowOff>182100</xdr:rowOff>
    </xdr:from>
    <xdr:to>
      <xdr:col>14</xdr:col>
      <xdr:colOff>590550</xdr:colOff>
      <xdr:row>5</xdr:row>
      <xdr:rowOff>171450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8197470C-1DEF-4A68-88EF-EC336AB8FA54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0070" y="1325100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182100</xdr:rowOff>
    </xdr:from>
    <xdr:to>
      <xdr:col>10</xdr:col>
      <xdr:colOff>140850</xdr:colOff>
      <xdr:row>5</xdr:row>
      <xdr:rowOff>171450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5DEFB26F-FFA9-4ADE-86AF-34CF63E3620B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33110" y="1325100"/>
          <a:ext cx="337554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15</xdr:col>
      <xdr:colOff>247650</xdr:colOff>
      <xdr:row>3</xdr:row>
      <xdr:rowOff>152400</xdr:rowOff>
    </xdr:from>
    <xdr:to>
      <xdr:col>15</xdr:col>
      <xdr:colOff>3646050</xdr:colOff>
      <xdr:row>5</xdr:row>
      <xdr:rowOff>141750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7C75B8A1-3107-4434-8A6F-0AA8D2B4AF4A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097250" y="12954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  <xdr:twoCellAnchor>
    <xdr:from>
      <xdr:col>14</xdr:col>
      <xdr:colOff>1265464</xdr:colOff>
      <xdr:row>41</xdr:row>
      <xdr:rowOff>89808</xdr:rowOff>
    </xdr:from>
    <xdr:to>
      <xdr:col>15</xdr:col>
      <xdr:colOff>2326820</xdr:colOff>
      <xdr:row>45</xdr:row>
      <xdr:rowOff>58987</xdr:rowOff>
    </xdr:to>
    <xdr:sp macro="" textlink="">
      <xdr:nvSpPr>
        <xdr:cNvPr id="44" name="Retângulo Arredondado 11">
          <a:extLst>
            <a:ext uri="{FF2B5EF4-FFF2-40B4-BE49-F238E27FC236}">
              <a16:creationId xmlns:a16="http://schemas.microsoft.com/office/drawing/2014/main" id="{E9D0DFA0-A85E-4E3A-B462-C34BD01B0BA0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5114814" y="14720208"/>
          <a:ext cx="3080656" cy="141697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93ED85F0-BD04-45BE-A589-04A4AC4EFCF5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77722B8-CB29-4AA2-8640-8B5E9BE79C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A0B4ABE6-E4BA-48CF-AB55-103DF3B14414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D14B7D30-9DED-4A0B-8B0A-5444D0197337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6350B1F5-8D0F-43BE-A770-07938817B73A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05FF1BC-66E1-4F83-810E-A9E3BCF9AD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0670B415-D971-4F0A-B946-DFB0330C2EA2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9FCDAE7E-49EF-48D0-9C10-F9201F899824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3D6A82C0-C694-402C-8A98-E5347732AC57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808A6118-C8E4-4053-AA9F-E692482AD7BE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1BF0C4E-13E1-456D-A47C-4483732505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6</xdr:col>
      <xdr:colOff>1462639</xdr:colOff>
      <xdr:row>0</xdr:row>
      <xdr:rowOff>0</xdr:rowOff>
    </xdr:from>
    <xdr:to>
      <xdr:col>7</xdr:col>
      <xdr:colOff>1133348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D70F3724-498A-41E2-9CC2-BED2633C2F5A}"/>
            </a:ext>
          </a:extLst>
        </xdr:cNvPr>
        <xdr:cNvSpPr/>
      </xdr:nvSpPr>
      <xdr:spPr>
        <a:xfrm>
          <a:off x="9604609" y="0"/>
          <a:ext cx="146140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1413143</xdr:colOff>
      <xdr:row>2</xdr:row>
      <xdr:rowOff>384583</xdr:rowOff>
    </xdr:from>
    <xdr:to>
      <xdr:col>7</xdr:col>
      <xdr:colOff>1220610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F9113E8F-D46C-452B-9369-0139FF57C5BA}"/>
            </a:ext>
          </a:extLst>
        </xdr:cNvPr>
        <xdr:cNvSpPr txBox="1"/>
      </xdr:nvSpPr>
      <xdr:spPr>
        <a:xfrm rot="10800000" flipH="1" flipV="1">
          <a:off x="955511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7</xdr:col>
      <xdr:colOff>103806</xdr:colOff>
      <xdr:row>0</xdr:row>
      <xdr:rowOff>136274</xdr:rowOff>
    </xdr:from>
    <xdr:to>
      <xdr:col>7</xdr:col>
      <xdr:colOff>701482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C21EA39-302E-4293-AF22-073C1435C6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3647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1974931</xdr:colOff>
      <xdr:row>0</xdr:row>
      <xdr:rowOff>0</xdr:rowOff>
    </xdr:from>
    <xdr:to>
      <xdr:col>8</xdr:col>
      <xdr:colOff>3429872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F0A9CC48-0A00-4A17-9C73-C71AF77BD9EE}"/>
            </a:ext>
          </a:extLst>
        </xdr:cNvPr>
        <xdr:cNvSpPr/>
      </xdr:nvSpPr>
      <xdr:spPr>
        <a:xfrm>
          <a:off x="13241101" y="0"/>
          <a:ext cx="146256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1925654</xdr:colOff>
      <xdr:row>2</xdr:row>
      <xdr:rowOff>384583</xdr:rowOff>
    </xdr:from>
    <xdr:to>
      <xdr:col>8</xdr:col>
      <xdr:colOff>3516748</xdr:colOff>
      <xdr:row>2</xdr:row>
      <xdr:rowOff>762890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EF3EF580-ACAC-4552-A01C-5867AF3643B9}"/>
            </a:ext>
          </a:extLst>
        </xdr:cNvPr>
        <xdr:cNvSpPr txBox="1"/>
      </xdr:nvSpPr>
      <xdr:spPr>
        <a:xfrm rot="10800000" flipH="1" flipV="1">
          <a:off x="13191824" y="750343"/>
          <a:ext cx="159871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2407351</xdr:colOff>
      <xdr:row>0</xdr:row>
      <xdr:rowOff>136274</xdr:rowOff>
    </xdr:from>
    <xdr:to>
      <xdr:col>8</xdr:col>
      <xdr:colOff>2997452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E9FD2D-3BA8-4514-8D18-721A5295A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73521" y="136274"/>
          <a:ext cx="597721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5605212</xdr:colOff>
      <xdr:row>0</xdr:row>
      <xdr:rowOff>0</xdr:rowOff>
    </xdr:from>
    <xdr:to>
      <xdr:col>8</xdr:col>
      <xdr:colOff>7079166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EEA4A38C-6B4D-468A-8C2A-E542DFA0F9BF}"/>
            </a:ext>
          </a:extLst>
        </xdr:cNvPr>
        <xdr:cNvSpPr/>
      </xdr:nvSpPr>
      <xdr:spPr>
        <a:xfrm>
          <a:off x="16871382" y="0"/>
          <a:ext cx="1473954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5555291</xdr:colOff>
      <xdr:row>2</xdr:row>
      <xdr:rowOff>384583</xdr:rowOff>
    </xdr:from>
    <xdr:to>
      <xdr:col>9</xdr:col>
      <xdr:colOff>4377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2753D608-FE3F-46D4-A086-D62DE3193288}"/>
            </a:ext>
          </a:extLst>
        </xdr:cNvPr>
        <xdr:cNvSpPr txBox="1"/>
      </xdr:nvSpPr>
      <xdr:spPr>
        <a:xfrm rot="10800000" flipH="1" flipV="1">
          <a:off x="16821461" y="75034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8</xdr:col>
      <xdr:colOff>6044476</xdr:colOff>
      <xdr:row>0</xdr:row>
      <xdr:rowOff>136274</xdr:rowOff>
    </xdr:from>
    <xdr:to>
      <xdr:col>8</xdr:col>
      <xdr:colOff>6639900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46C5496-1341-430B-9A6A-86CFA7E907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10646" y="136274"/>
          <a:ext cx="595424" cy="583748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11</xdr:col>
      <xdr:colOff>861820</xdr:colOff>
      <xdr:row>0</xdr:row>
      <xdr:rowOff>0</xdr:rowOff>
    </xdr:from>
    <xdr:to>
      <xdr:col>12</xdr:col>
      <xdr:colOff>701730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44090020-FF03-4E40-AFC2-EC0F5E4D7D4E}"/>
            </a:ext>
          </a:extLst>
        </xdr:cNvPr>
        <xdr:cNvGrpSpPr/>
      </xdr:nvGrpSpPr>
      <xdr:grpSpPr>
        <a:xfrm>
          <a:off x="20483320" y="0"/>
          <a:ext cx="1592510" cy="116205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9AD5B5F0-753F-4094-AAF7-A4EC5476B6B9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044FBAB5-202C-43ED-86DB-4893CAA5B81B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CD7EE1A-83E1-4A1C-84FA-FE698775B8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759073</xdr:colOff>
      <xdr:row>0</xdr:row>
      <xdr:rowOff>0</xdr:rowOff>
    </xdr:from>
    <xdr:to>
      <xdr:col>13</xdr:col>
      <xdr:colOff>2348734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45755DF7-EEA5-4D41-B887-33E58CC010DC}"/>
            </a:ext>
          </a:extLst>
        </xdr:cNvPr>
        <xdr:cNvGrpSpPr/>
      </xdr:nvGrpSpPr>
      <xdr:grpSpPr>
        <a:xfrm>
          <a:off x="24114373" y="0"/>
          <a:ext cx="1589661" cy="116205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23AA3D20-5CC5-42E1-B852-F5A21B41E56F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1B4AAC7E-4D0F-4BCD-8BFC-A708E0A1590E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35AAA52-AF81-483A-A8DA-069C5A560E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1110678</xdr:colOff>
      <xdr:row>0</xdr:row>
      <xdr:rowOff>0</xdr:rowOff>
    </xdr:from>
    <xdr:to>
      <xdr:col>15</xdr:col>
      <xdr:colOff>689547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DA012808-C9D7-440A-B8CE-0269F10B5DB0}"/>
            </a:ext>
          </a:extLst>
        </xdr:cNvPr>
        <xdr:cNvGrpSpPr/>
      </xdr:nvGrpSpPr>
      <xdr:grpSpPr>
        <a:xfrm>
          <a:off x="27742578" y="0"/>
          <a:ext cx="1598169" cy="1162050"/>
          <a:chOff x="11105473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8436F0D3-217B-446D-A7C9-0D9BC5BA299D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AF48C6EC-2FA0-4DA9-90EC-A8256566D459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F8EE4F4-ABE8-427F-8701-9F8AAC39520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2728089</xdr:colOff>
      <xdr:row>0</xdr:row>
      <xdr:rowOff>0</xdr:rowOff>
    </xdr:from>
    <xdr:to>
      <xdr:col>15</xdr:col>
      <xdr:colOff>4326258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1A301D0D-CA68-42B5-9B81-1B1BE87EF755}"/>
            </a:ext>
          </a:extLst>
        </xdr:cNvPr>
        <xdr:cNvGrpSpPr/>
      </xdr:nvGrpSpPr>
      <xdr:grpSpPr>
        <a:xfrm>
          <a:off x="31379289" y="0"/>
          <a:ext cx="1598169" cy="1162050"/>
          <a:chOff x="12260227" y="0"/>
          <a:chExt cx="1118316" cy="770164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9C836EF7-1716-4807-A70E-C9A4754062E4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54517361-3E32-4434-8145-C63E7DEFCDAE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8" name="Imagem 37" descr="Ícone do banco de dados (símbolo png) preto">
            <a:extLst>
              <a:ext uri="{FF2B5EF4-FFF2-40B4-BE49-F238E27FC236}">
                <a16:creationId xmlns:a16="http://schemas.microsoft.com/office/drawing/2014/main" id="{588CA214-0C55-4B7A-84F9-B1D9B375461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ED85A38F-97B2-41CA-A53E-0A28E4363366}"/>
            </a:ext>
          </a:extLst>
        </xdr:cNvPr>
        <xdr:cNvSpPr/>
      </xdr:nvSpPr>
      <xdr:spPr>
        <a:xfrm>
          <a:off x="266700" y="1306632"/>
          <a:ext cx="340531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7</xdr:col>
      <xdr:colOff>1097400</xdr:colOff>
      <xdr:row>3</xdr:row>
      <xdr:rowOff>182100</xdr:rowOff>
    </xdr:from>
    <xdr:to>
      <xdr:col>8</xdr:col>
      <xdr:colOff>3162300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E722DB31-F0B4-4DA8-81FB-49618AF9368E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0070" y="13251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1074300</xdr:colOff>
      <xdr:row>5</xdr:row>
      <xdr:rowOff>171450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A24B4A65-1D03-4E85-8D27-9C7BF74D9F93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33110" y="13251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8</xdr:col>
      <xdr:colOff>4838700</xdr:colOff>
      <xdr:row>3</xdr:row>
      <xdr:rowOff>152400</xdr:rowOff>
    </xdr:from>
    <xdr:to>
      <xdr:col>10</xdr:col>
      <xdr:colOff>198000</xdr:colOff>
      <xdr:row>5</xdr:row>
      <xdr:rowOff>141750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6AD459D3-BF8E-4252-90EB-316577D58509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04870" y="12954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  <xdr:twoCellAnchor>
    <xdr:from>
      <xdr:col>4</xdr:col>
      <xdr:colOff>1861458</xdr:colOff>
      <xdr:row>29</xdr:row>
      <xdr:rowOff>43543</xdr:rowOff>
    </xdr:from>
    <xdr:to>
      <xdr:col>4</xdr:col>
      <xdr:colOff>3537857</xdr:colOff>
      <xdr:row>33</xdr:row>
      <xdr:rowOff>23609</xdr:rowOff>
    </xdr:to>
    <xdr:sp macro="" textlink="">
      <xdr:nvSpPr>
        <xdr:cNvPr id="44" name="Retângulo Arredondado 11">
          <a:extLst>
            <a:ext uri="{FF2B5EF4-FFF2-40B4-BE49-F238E27FC236}">
              <a16:creationId xmlns:a16="http://schemas.microsoft.com/office/drawing/2014/main" id="{8D49897E-7824-4634-A7A6-8F6B64A4C109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4909458" y="6139543"/>
          <a:ext cx="1676399" cy="742066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15</xdr:col>
      <xdr:colOff>742950</xdr:colOff>
      <xdr:row>42</xdr:row>
      <xdr:rowOff>247650</xdr:rowOff>
    </xdr:from>
    <xdr:to>
      <xdr:col>15</xdr:col>
      <xdr:colOff>3600450</xdr:colOff>
      <xdr:row>46</xdr:row>
      <xdr:rowOff>171450</xdr:rowOff>
    </xdr:to>
    <xdr:sp macro="" textlink="">
      <xdr:nvSpPr>
        <xdr:cNvPr id="45" name="Retângulo Arredondado 11">
          <a:extLst>
            <a:ext uri="{FF2B5EF4-FFF2-40B4-BE49-F238E27FC236}">
              <a16:creationId xmlns:a16="http://schemas.microsoft.com/office/drawing/2014/main" id="{67FFF683-4937-4198-888C-93419B40E7EA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9394150" y="15240000"/>
          <a:ext cx="2857500" cy="1371600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4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AGENDAR PAGAMENTO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7CB1DA02-672E-49CE-AAE2-D12C8E0383EB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DD6C545-B0C6-45C4-A3D7-F7B589F4C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D99386C1-1B58-4444-9F5A-62B8139CA9AF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378CF45A-CED6-4FEF-B9C7-B5884D300F01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6444CBA6-7E2F-49C4-A6A0-B35E2A1AC678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1B69011-5857-4831-9CC3-C7376AAE44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A04EFCC8-CA5F-4638-B4DA-EDC4ED9EC12A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C53CE4BE-6C1B-4516-A7FE-A8D4526D126A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6EE61985-465C-4439-AD6F-BFC327CDCF08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E1FC145A-5C09-4194-B302-EE7AED3D28F0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8AA5AB3-1C39-4695-B6E0-58092BB071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6</xdr:col>
      <xdr:colOff>624439</xdr:colOff>
      <xdr:row>0</xdr:row>
      <xdr:rowOff>0</xdr:rowOff>
    </xdr:from>
    <xdr:to>
      <xdr:col>7</xdr:col>
      <xdr:colOff>295148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6E822BBE-92C7-4BEA-86FC-13A8926EAA97}"/>
            </a:ext>
          </a:extLst>
        </xdr:cNvPr>
        <xdr:cNvSpPr/>
      </xdr:nvSpPr>
      <xdr:spPr>
        <a:xfrm>
          <a:off x="9631279" y="0"/>
          <a:ext cx="145378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574943</xdr:colOff>
      <xdr:row>2</xdr:row>
      <xdr:rowOff>384583</xdr:rowOff>
    </xdr:from>
    <xdr:to>
      <xdr:col>7</xdr:col>
      <xdr:colOff>382410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F0A93E42-467A-4ADC-91E8-EB48B9B887EF}"/>
            </a:ext>
          </a:extLst>
        </xdr:cNvPr>
        <xdr:cNvSpPr txBox="1"/>
      </xdr:nvSpPr>
      <xdr:spPr>
        <a:xfrm rot="10800000" flipH="1" flipV="1">
          <a:off x="958178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1056306</xdr:colOff>
      <xdr:row>0</xdr:row>
      <xdr:rowOff>136274</xdr:rowOff>
    </xdr:from>
    <xdr:to>
      <xdr:col>6</xdr:col>
      <xdr:colOff>1653982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1E711D-CBC0-44B5-8D3E-5A937D7ADB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5552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717631</xdr:colOff>
      <xdr:row>0</xdr:row>
      <xdr:rowOff>0</xdr:rowOff>
    </xdr:from>
    <xdr:to>
      <xdr:col>9</xdr:col>
      <xdr:colOff>610472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5860986A-C6E8-475F-97E4-2F3F2C136A5E}"/>
            </a:ext>
          </a:extLst>
        </xdr:cNvPr>
        <xdr:cNvSpPr/>
      </xdr:nvSpPr>
      <xdr:spPr>
        <a:xfrm>
          <a:off x="13260151" y="0"/>
          <a:ext cx="145494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668354</xdr:colOff>
      <xdr:row>2</xdr:row>
      <xdr:rowOff>384583</xdr:rowOff>
    </xdr:from>
    <xdr:to>
      <xdr:col>9</xdr:col>
      <xdr:colOff>697348</xdr:colOff>
      <xdr:row>2</xdr:row>
      <xdr:rowOff>762890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B7181FA4-9364-43E8-84FB-4931D409FE32}"/>
            </a:ext>
          </a:extLst>
        </xdr:cNvPr>
        <xdr:cNvSpPr txBox="1"/>
      </xdr:nvSpPr>
      <xdr:spPr>
        <a:xfrm rot="10800000" flipH="1" flipV="1">
          <a:off x="13210874" y="750343"/>
          <a:ext cx="159109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1150051</xdr:colOff>
      <xdr:row>0</xdr:row>
      <xdr:rowOff>136274</xdr:rowOff>
    </xdr:from>
    <xdr:to>
      <xdr:col>9</xdr:col>
      <xdr:colOff>178052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56BC947-10E7-4C33-90BF-0781E84CF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92571" y="136274"/>
          <a:ext cx="590101" cy="583748"/>
        </a:xfrm>
        <a:prstGeom prst="rect">
          <a:avLst/>
        </a:prstGeom>
      </xdr:spPr>
    </xdr:pic>
    <xdr:clientData/>
  </xdr:twoCellAnchor>
  <xdr:twoCellAnchor editAs="absolute">
    <xdr:from>
      <xdr:col>10</xdr:col>
      <xdr:colOff>880812</xdr:colOff>
      <xdr:row>0</xdr:row>
      <xdr:rowOff>0</xdr:rowOff>
    </xdr:from>
    <xdr:to>
      <xdr:col>10</xdr:col>
      <xdr:colOff>2354766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C609E389-6431-4BB1-9AAA-8D9F932F8BA0}"/>
            </a:ext>
          </a:extLst>
        </xdr:cNvPr>
        <xdr:cNvSpPr/>
      </xdr:nvSpPr>
      <xdr:spPr>
        <a:xfrm>
          <a:off x="16890432" y="0"/>
          <a:ext cx="1473954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830891</xdr:colOff>
      <xdr:row>2</xdr:row>
      <xdr:rowOff>384583</xdr:rowOff>
    </xdr:from>
    <xdr:to>
      <xdr:col>10</xdr:col>
      <xdr:colOff>2442777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DAF3FCA3-10F1-47E5-825D-CC508BBB3E98}"/>
            </a:ext>
          </a:extLst>
        </xdr:cNvPr>
        <xdr:cNvSpPr txBox="1"/>
      </xdr:nvSpPr>
      <xdr:spPr>
        <a:xfrm rot="10800000" flipH="1" flipV="1">
          <a:off x="16840511" y="750343"/>
          <a:ext cx="160426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10</xdr:col>
      <xdr:colOff>1320076</xdr:colOff>
      <xdr:row>0</xdr:row>
      <xdr:rowOff>136274</xdr:rowOff>
    </xdr:from>
    <xdr:to>
      <xdr:col>10</xdr:col>
      <xdr:colOff>1915500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F678D3-A941-467F-8D1B-6DAB2FB1B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29696" y="136274"/>
          <a:ext cx="595424" cy="583748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12</xdr:col>
      <xdr:colOff>214120</xdr:colOff>
      <xdr:row>0</xdr:row>
      <xdr:rowOff>0</xdr:rowOff>
    </xdr:from>
    <xdr:to>
      <xdr:col>12</xdr:col>
      <xdr:colOff>1806630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0DD6EF55-777B-4EE1-B873-4A8BA8386555}"/>
            </a:ext>
          </a:extLst>
        </xdr:cNvPr>
        <xdr:cNvGrpSpPr/>
      </xdr:nvGrpSpPr>
      <xdr:grpSpPr>
        <a:xfrm>
          <a:off x="20483320" y="0"/>
          <a:ext cx="1592510" cy="116205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27F37CFF-3243-4D6F-8A1E-4663D1294C8B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BAF1D273-6BE9-41F4-8B74-C7D01458B074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03A94A-D1F1-49F5-B466-9539A37F0A7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1863973</xdr:colOff>
      <xdr:row>0</xdr:row>
      <xdr:rowOff>0</xdr:rowOff>
    </xdr:from>
    <xdr:to>
      <xdr:col>14</xdr:col>
      <xdr:colOff>177034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020C324A-DD0A-4650-9171-EC72B10BAFB7}"/>
            </a:ext>
          </a:extLst>
        </xdr:cNvPr>
        <xdr:cNvGrpSpPr/>
      </xdr:nvGrpSpPr>
      <xdr:grpSpPr>
        <a:xfrm>
          <a:off x="24114373" y="0"/>
          <a:ext cx="1589661" cy="116205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72E871C4-2754-40F9-9950-D66721129EFD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3B280B72-084D-4250-8314-68AF4B689BA0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472B317-3106-45AA-95EA-FBD9FDA301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196278</xdr:colOff>
      <xdr:row>0</xdr:row>
      <xdr:rowOff>0</xdr:rowOff>
    </xdr:from>
    <xdr:to>
      <xdr:col>15</xdr:col>
      <xdr:colOff>1794447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16AF4077-8FB5-40AF-AD4F-BE2CC5618E49}"/>
            </a:ext>
          </a:extLst>
        </xdr:cNvPr>
        <xdr:cNvGrpSpPr/>
      </xdr:nvGrpSpPr>
      <xdr:grpSpPr>
        <a:xfrm>
          <a:off x="27742578" y="0"/>
          <a:ext cx="1598169" cy="1162050"/>
          <a:chOff x="11105473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73BC4571-A299-4C32-9B21-33153CED9B4A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465C5C58-B922-4713-94C7-CD9185507667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6FA71C7-2B13-4EAB-B4B5-5882888679B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3832989</xdr:colOff>
      <xdr:row>0</xdr:row>
      <xdr:rowOff>0</xdr:rowOff>
    </xdr:from>
    <xdr:to>
      <xdr:col>16</xdr:col>
      <xdr:colOff>401958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BF28844F-14CF-42A2-B6D7-279E620C8F3A}"/>
            </a:ext>
          </a:extLst>
        </xdr:cNvPr>
        <xdr:cNvGrpSpPr/>
      </xdr:nvGrpSpPr>
      <xdr:grpSpPr>
        <a:xfrm>
          <a:off x="31379289" y="0"/>
          <a:ext cx="1598169" cy="1162050"/>
          <a:chOff x="12260227" y="0"/>
          <a:chExt cx="1118316" cy="770164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3C19F0CB-816C-4528-A7EB-B76A6339195B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74F14F2F-768C-4DC4-9838-AD93D1B52795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8" name="Imagem 37" descr="Ícone do banco de dados (símbolo png) preto">
            <a:extLst>
              <a:ext uri="{FF2B5EF4-FFF2-40B4-BE49-F238E27FC236}">
                <a16:creationId xmlns:a16="http://schemas.microsoft.com/office/drawing/2014/main" id="{02612C3C-E952-4CBF-9F56-DBCE6E97F35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035B830B-978F-4814-B1F3-6833895FE037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342900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020D734E-8061-4266-9313-DC9F2388A632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912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156369B9-A214-4793-8688-DC6F56F3B8F8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136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10</xdr:col>
      <xdr:colOff>114300</xdr:colOff>
      <xdr:row>3</xdr:row>
      <xdr:rowOff>152400</xdr:rowOff>
    </xdr:from>
    <xdr:to>
      <xdr:col>11</xdr:col>
      <xdr:colOff>998100</xdr:colOff>
      <xdr:row>5</xdr:row>
      <xdr:rowOff>141750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5B40B346-2CBB-4F16-A347-297DE7DB9811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23920" y="1295400"/>
          <a:ext cx="338316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8853C2B9-A005-47C4-95A7-2973E6BD38B2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B89359E-25BC-4745-8E2E-616DF91E68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C4528AAB-0662-4300-8FE5-C188315D935F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CB7FAB36-F7FC-42D8-A40D-BDDE7FCA02C0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6FA0A32B-E4A3-4454-938F-9D0640F27A41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357D252-C1E3-4A10-94BD-225761466A9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7B1F5D71-897D-4465-9868-74DD10F7C97D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0E3B20B4-162C-4DC1-A215-3DC5D5CDC8C6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699D0537-2360-49D7-B7B9-15556180B42F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BB4B22F8-8233-45A4-9320-70150EAD2127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E7CF286-FC83-4B54-9708-36EEA571E4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6</xdr:col>
      <xdr:colOff>624439</xdr:colOff>
      <xdr:row>0</xdr:row>
      <xdr:rowOff>0</xdr:rowOff>
    </xdr:from>
    <xdr:to>
      <xdr:col>7</xdr:col>
      <xdr:colOff>295148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2BC8FCCC-235C-4781-98A1-045CF690DD31}"/>
            </a:ext>
          </a:extLst>
        </xdr:cNvPr>
        <xdr:cNvSpPr/>
      </xdr:nvSpPr>
      <xdr:spPr>
        <a:xfrm>
          <a:off x="9616039" y="0"/>
          <a:ext cx="145378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574943</xdr:colOff>
      <xdr:row>2</xdr:row>
      <xdr:rowOff>384583</xdr:rowOff>
    </xdr:from>
    <xdr:to>
      <xdr:col>7</xdr:col>
      <xdr:colOff>382410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DF4B3964-DC30-4560-B4D9-1E26010A7810}"/>
            </a:ext>
          </a:extLst>
        </xdr:cNvPr>
        <xdr:cNvSpPr txBox="1"/>
      </xdr:nvSpPr>
      <xdr:spPr>
        <a:xfrm rot="10800000" flipH="1" flipV="1">
          <a:off x="956654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1056306</xdr:colOff>
      <xdr:row>0</xdr:row>
      <xdr:rowOff>136274</xdr:rowOff>
    </xdr:from>
    <xdr:to>
      <xdr:col>6</xdr:col>
      <xdr:colOff>1653982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AA34A52-BEC7-430F-B626-BB3AED80A2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4790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717631</xdr:colOff>
      <xdr:row>0</xdr:row>
      <xdr:rowOff>0</xdr:rowOff>
    </xdr:from>
    <xdr:to>
      <xdr:col>9</xdr:col>
      <xdr:colOff>610472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29F19953-24B1-4DC5-A968-DBA02B513D94}"/>
            </a:ext>
          </a:extLst>
        </xdr:cNvPr>
        <xdr:cNvSpPr/>
      </xdr:nvSpPr>
      <xdr:spPr>
        <a:xfrm>
          <a:off x="13252531" y="0"/>
          <a:ext cx="146256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668354</xdr:colOff>
      <xdr:row>2</xdr:row>
      <xdr:rowOff>384583</xdr:rowOff>
    </xdr:from>
    <xdr:to>
      <xdr:col>9</xdr:col>
      <xdr:colOff>697348</xdr:colOff>
      <xdr:row>2</xdr:row>
      <xdr:rowOff>762890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539493A5-D564-4DB8-BB7B-31525028A809}"/>
            </a:ext>
          </a:extLst>
        </xdr:cNvPr>
        <xdr:cNvSpPr txBox="1"/>
      </xdr:nvSpPr>
      <xdr:spPr>
        <a:xfrm rot="10800000" flipH="1" flipV="1">
          <a:off x="13203254" y="750343"/>
          <a:ext cx="159871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1150051</xdr:colOff>
      <xdr:row>0</xdr:row>
      <xdr:rowOff>136274</xdr:rowOff>
    </xdr:from>
    <xdr:to>
      <xdr:col>9</xdr:col>
      <xdr:colOff>178052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65EFDE3-97F4-4C76-AAAA-663FC67AC9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84951" y="136274"/>
          <a:ext cx="597721" cy="583748"/>
        </a:xfrm>
        <a:prstGeom prst="rect">
          <a:avLst/>
        </a:prstGeom>
      </xdr:spPr>
    </xdr:pic>
    <xdr:clientData/>
  </xdr:twoCellAnchor>
  <xdr:twoCellAnchor editAs="absolute">
    <xdr:from>
      <xdr:col>10</xdr:col>
      <xdr:colOff>880812</xdr:colOff>
      <xdr:row>0</xdr:row>
      <xdr:rowOff>0</xdr:rowOff>
    </xdr:from>
    <xdr:to>
      <xdr:col>10</xdr:col>
      <xdr:colOff>2354766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E65190E2-39D0-435E-A165-367C1FDFC5F0}"/>
            </a:ext>
          </a:extLst>
        </xdr:cNvPr>
        <xdr:cNvSpPr/>
      </xdr:nvSpPr>
      <xdr:spPr>
        <a:xfrm>
          <a:off x="16898052" y="0"/>
          <a:ext cx="1473954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830891</xdr:colOff>
      <xdr:row>2</xdr:row>
      <xdr:rowOff>384583</xdr:rowOff>
    </xdr:from>
    <xdr:to>
      <xdr:col>10</xdr:col>
      <xdr:colOff>2442777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0987B95D-1E16-4828-9022-63A289F8FFFC}"/>
            </a:ext>
          </a:extLst>
        </xdr:cNvPr>
        <xdr:cNvSpPr txBox="1"/>
      </xdr:nvSpPr>
      <xdr:spPr>
        <a:xfrm rot="10800000" flipH="1" flipV="1">
          <a:off x="16848131" y="75034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10</xdr:col>
      <xdr:colOff>1320076</xdr:colOff>
      <xdr:row>0</xdr:row>
      <xdr:rowOff>136274</xdr:rowOff>
    </xdr:from>
    <xdr:to>
      <xdr:col>10</xdr:col>
      <xdr:colOff>1915500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5BF4659-3CD6-49F5-BF5B-F29DB5814D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37316" y="136274"/>
          <a:ext cx="595424" cy="583748"/>
        </a:xfrm>
        <a:prstGeom prst="rect">
          <a:avLst/>
        </a:prstGeom>
        <a:noFill/>
      </xdr:spPr>
    </xdr:pic>
    <xdr:clientData/>
  </xdr:twoCellAnchor>
  <xdr:twoCellAnchor editAs="absolute">
    <xdr:from>
      <xdr:col>12</xdr:col>
      <xdr:colOff>214120</xdr:colOff>
      <xdr:row>0</xdr:row>
      <xdr:rowOff>0</xdr:rowOff>
    </xdr:from>
    <xdr:to>
      <xdr:col>12</xdr:col>
      <xdr:colOff>1806630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BC6C495F-2803-407A-BFF8-32B438FD0FEF}"/>
            </a:ext>
          </a:extLst>
        </xdr:cNvPr>
        <xdr:cNvGrpSpPr/>
      </xdr:nvGrpSpPr>
      <xdr:grpSpPr>
        <a:xfrm>
          <a:off x="20483320" y="0"/>
          <a:ext cx="1592510" cy="116205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D96175DB-EEDB-423A-A78A-BFECB01735B4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F2B58EC1-806E-4DAB-B1DA-907538D3FD00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79E22F8-6855-4C25-B9AE-0BFED69AB3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1863973</xdr:colOff>
      <xdr:row>0</xdr:row>
      <xdr:rowOff>0</xdr:rowOff>
    </xdr:from>
    <xdr:to>
      <xdr:col>14</xdr:col>
      <xdr:colOff>177034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5D911652-DD39-46DE-BA4E-13F74C44F35B}"/>
            </a:ext>
          </a:extLst>
        </xdr:cNvPr>
        <xdr:cNvGrpSpPr/>
      </xdr:nvGrpSpPr>
      <xdr:grpSpPr>
        <a:xfrm>
          <a:off x="24114373" y="0"/>
          <a:ext cx="1589661" cy="116205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C26FA004-4446-4F49-8E41-A89BC089C6F5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B95BD5B2-3600-4848-B7D5-116B160AC07A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F0D2437-1BE8-4768-8827-BD7EB5575D5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245774</xdr:colOff>
      <xdr:row>0</xdr:row>
      <xdr:rowOff>0</xdr:rowOff>
    </xdr:from>
    <xdr:to>
      <xdr:col>15</xdr:col>
      <xdr:colOff>1707185</xdr:colOff>
      <xdr:row>3</xdr:row>
      <xdr:rowOff>0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5C63D4B9-7F7A-4CC6-8856-DA1E88D02C7E}"/>
            </a:ext>
          </a:extLst>
        </xdr:cNvPr>
        <xdr:cNvSpPr/>
      </xdr:nvSpPr>
      <xdr:spPr>
        <a:xfrm>
          <a:off x="27814934" y="0"/>
          <a:ext cx="146141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196278</xdr:colOff>
      <xdr:row>2</xdr:row>
      <xdr:rowOff>384583</xdr:rowOff>
    </xdr:from>
    <xdr:to>
      <xdr:col>15</xdr:col>
      <xdr:colOff>1794447</xdr:colOff>
      <xdr:row>2</xdr:row>
      <xdr:rowOff>762890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id="{FD6D5BA0-100C-447B-8454-8187F30D19DE}"/>
            </a:ext>
          </a:extLst>
        </xdr:cNvPr>
        <xdr:cNvSpPr txBox="1"/>
      </xdr:nvSpPr>
      <xdr:spPr>
        <a:xfrm rot="10800000" flipH="1" flipV="1">
          <a:off x="27765438" y="750343"/>
          <a:ext cx="1598169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15</xdr:col>
      <xdr:colOff>688618</xdr:colOff>
      <xdr:row>0</xdr:row>
      <xdr:rowOff>136274</xdr:rowOff>
    </xdr:from>
    <xdr:to>
      <xdr:col>15</xdr:col>
      <xdr:colOff>1264337</xdr:colOff>
      <xdr:row>2</xdr:row>
      <xdr:rowOff>354260</xdr:rowOff>
    </xdr:to>
    <xdr:pic>
      <xdr:nvPicPr>
        <xdr:cNvPr id="3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694876-AC9D-4993-AC4D-89C088B5C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257778" y="136274"/>
          <a:ext cx="575719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3832989</xdr:colOff>
      <xdr:row>0</xdr:row>
      <xdr:rowOff>0</xdr:rowOff>
    </xdr:from>
    <xdr:to>
      <xdr:col>16</xdr:col>
      <xdr:colOff>401958</xdr:colOff>
      <xdr:row>3</xdr:row>
      <xdr:rowOff>0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ED60FCCA-4F1B-480D-A390-5FF39E76D117}"/>
            </a:ext>
          </a:extLst>
        </xdr:cNvPr>
        <xdr:cNvGrpSpPr/>
      </xdr:nvGrpSpPr>
      <xdr:grpSpPr>
        <a:xfrm>
          <a:off x="31379289" y="0"/>
          <a:ext cx="1598169" cy="1162050"/>
          <a:chOff x="12260227" y="0"/>
          <a:chExt cx="1118316" cy="770164"/>
        </a:xfrm>
      </xdr:grpSpPr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C5E18D26-292C-47B9-9007-D388AC755DF1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6" name="CaixaDeTexto 35">
            <a:extLst>
              <a:ext uri="{FF2B5EF4-FFF2-40B4-BE49-F238E27FC236}">
                <a16:creationId xmlns:a16="http://schemas.microsoft.com/office/drawing/2014/main" id="{1EB4955C-82D8-41A2-8B53-FB35D9057B1C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7" name="Imagem 36" descr="Ícone do banco de dados (símbolo png) preto">
            <a:extLst>
              <a:ext uri="{FF2B5EF4-FFF2-40B4-BE49-F238E27FC236}">
                <a16:creationId xmlns:a16="http://schemas.microsoft.com/office/drawing/2014/main" id="{7BC915DA-434D-4599-B33A-203A43A8E02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F1179D41-1685-47FD-9454-A0F2E0282C31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342900</xdr:colOff>
      <xdr:row>5</xdr:row>
      <xdr:rowOff>171450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F585051E-FF9C-47BF-B7BF-506CCF7E7D0F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136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067E99C8-4A5B-428B-9AA0-03AF38D4F989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10</xdr:col>
      <xdr:colOff>114300</xdr:colOff>
      <xdr:row>3</xdr:row>
      <xdr:rowOff>152400</xdr:rowOff>
    </xdr:from>
    <xdr:to>
      <xdr:col>11</xdr:col>
      <xdr:colOff>998100</xdr:colOff>
      <xdr:row>5</xdr:row>
      <xdr:rowOff>141750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731E4E62-937E-4A7C-8450-CEBBE7707F9C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1540" y="12954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 COMPRAS</a:t>
          </a:r>
        </a:p>
      </xdr:txBody>
    </xdr:sp>
    <xdr:clientData/>
  </xdr:twoCellAnchor>
  <xdr:twoCellAnchor editAs="absolute">
    <xdr:from>
      <xdr:col>12</xdr:col>
      <xdr:colOff>674712</xdr:colOff>
      <xdr:row>3</xdr:row>
      <xdr:rowOff>133350</xdr:rowOff>
    </xdr:from>
    <xdr:to>
      <xdr:col>13</xdr:col>
      <xdr:colOff>2091912</xdr:colOff>
      <xdr:row>5</xdr:row>
      <xdr:rowOff>164263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C0E61361-B4FB-45F6-B826-E50DDD5F89D8}"/>
            </a:ext>
          </a:extLst>
        </xdr:cNvPr>
        <xdr:cNvSpPr/>
      </xdr:nvSpPr>
      <xdr:spPr>
        <a:xfrm>
          <a:off x="20959152" y="1276350"/>
          <a:ext cx="340602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6</xdr:col>
      <xdr:colOff>1600200</xdr:colOff>
      <xdr:row>10</xdr:row>
      <xdr:rowOff>228600</xdr:rowOff>
    </xdr:from>
    <xdr:to>
      <xdr:col>14</xdr:col>
      <xdr:colOff>514350</xdr:colOff>
      <xdr:row>49</xdr:row>
      <xdr:rowOff>65572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BA13621A-61E6-48E6-AF7B-D50777ED5B42}"/>
            </a:ext>
            <a:ext uri="{147F2762-F138-4A5C-976F-8EAC2B608ADB}">
              <a16:predDERef xmlns:a16="http://schemas.microsoft.com/office/drawing/2014/main" pred="{45AAF0B4-637A-42E1-B7D2-A6E46851A7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>
          <a:alphaModFix amt="23000"/>
          <a:extLst>
            <a:ext uri="{BEBA8EAE-BF5A-486C-A8C5-ECC9F3942E4B}">
              <a14:imgProps xmlns:a14="http://schemas.microsoft.com/office/drawing/2010/main">
                <a14:imgLayer r:embed="rId25">
                  <a14:imgEffect>
                    <a14:brightnessContrast contrast="1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8158" b="8325"/>
        <a:stretch/>
      </xdr:blipFill>
      <xdr:spPr>
        <a:xfrm>
          <a:off x="10591800" y="3638550"/>
          <a:ext cx="15449550" cy="13953022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86FA60B3-B846-4112-8C26-043723AA8E13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0B8C41D-B905-4452-A78E-7F6AEB63B2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7A04F5B1-BEF9-4B9E-9F28-576D17C05A8B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733C2EB-9135-4790-9F9C-7987D77048A6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4B901E91-2836-4EFE-931C-C37071684E12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3CB53DF-8BBE-41DE-B0BA-F2C3DA32BC2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6D58970D-99D5-4581-A4A7-490C89F8542B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F679F6F4-32E3-4914-88E3-A4DA582B907B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445EB2EA-3C0D-4706-BD32-E626AEC5C73F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32C3FBFE-04C2-461D-801B-CF4FC5EFD158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810767B-CDEC-4B83-BDDF-6D41B5220D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6</xdr:col>
      <xdr:colOff>624439</xdr:colOff>
      <xdr:row>0</xdr:row>
      <xdr:rowOff>0</xdr:rowOff>
    </xdr:from>
    <xdr:to>
      <xdr:col>7</xdr:col>
      <xdr:colOff>295148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1827EA52-3593-421A-8A8B-87926CB5AF5E}"/>
            </a:ext>
          </a:extLst>
        </xdr:cNvPr>
        <xdr:cNvSpPr/>
      </xdr:nvSpPr>
      <xdr:spPr>
        <a:xfrm>
          <a:off x="9623659" y="0"/>
          <a:ext cx="145378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574943</xdr:colOff>
      <xdr:row>2</xdr:row>
      <xdr:rowOff>384583</xdr:rowOff>
    </xdr:from>
    <xdr:to>
      <xdr:col>7</xdr:col>
      <xdr:colOff>382410</xdr:colOff>
      <xdr:row>3</xdr:row>
      <xdr:rowOff>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B4AE30D6-4C52-42D0-A806-D974F08030AA}"/>
            </a:ext>
          </a:extLst>
        </xdr:cNvPr>
        <xdr:cNvSpPr txBox="1"/>
      </xdr:nvSpPr>
      <xdr:spPr>
        <a:xfrm rot="10800000" flipH="1" flipV="1">
          <a:off x="9574163" y="750343"/>
          <a:ext cx="1590547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1056306</xdr:colOff>
      <xdr:row>0</xdr:row>
      <xdr:rowOff>136274</xdr:rowOff>
    </xdr:from>
    <xdr:to>
      <xdr:col>6</xdr:col>
      <xdr:colOff>1653982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53680C-C11E-4D83-B5EE-80143D6FB8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5552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717631</xdr:colOff>
      <xdr:row>0</xdr:row>
      <xdr:rowOff>0</xdr:rowOff>
    </xdr:from>
    <xdr:to>
      <xdr:col>9</xdr:col>
      <xdr:colOff>610472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D23821AD-B7E2-47D2-A4F3-8CF020B888C8}"/>
            </a:ext>
          </a:extLst>
        </xdr:cNvPr>
        <xdr:cNvSpPr/>
      </xdr:nvSpPr>
      <xdr:spPr>
        <a:xfrm>
          <a:off x="13260151" y="0"/>
          <a:ext cx="146256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668354</xdr:colOff>
      <xdr:row>2</xdr:row>
      <xdr:rowOff>384583</xdr:rowOff>
    </xdr:from>
    <xdr:to>
      <xdr:col>9</xdr:col>
      <xdr:colOff>697348</xdr:colOff>
      <xdr:row>3</xdr:row>
      <xdr:rowOff>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90B4335E-1045-4930-875F-FAD61CC18F73}"/>
            </a:ext>
          </a:extLst>
        </xdr:cNvPr>
        <xdr:cNvSpPr txBox="1"/>
      </xdr:nvSpPr>
      <xdr:spPr>
        <a:xfrm rot="10800000" flipH="1" flipV="1">
          <a:off x="13210874" y="750343"/>
          <a:ext cx="1598714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1150051</xdr:colOff>
      <xdr:row>0</xdr:row>
      <xdr:rowOff>136274</xdr:rowOff>
    </xdr:from>
    <xdr:to>
      <xdr:col>9</xdr:col>
      <xdr:colOff>178052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426F43-28B9-4877-838B-B9B7DBB173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92571" y="136274"/>
          <a:ext cx="597721" cy="583748"/>
        </a:xfrm>
        <a:prstGeom prst="rect">
          <a:avLst/>
        </a:prstGeom>
      </xdr:spPr>
    </xdr:pic>
    <xdr:clientData/>
  </xdr:twoCellAnchor>
  <xdr:twoCellAnchor editAs="absolute">
    <xdr:from>
      <xdr:col>10</xdr:col>
      <xdr:colOff>880812</xdr:colOff>
      <xdr:row>0</xdr:row>
      <xdr:rowOff>0</xdr:rowOff>
    </xdr:from>
    <xdr:to>
      <xdr:col>10</xdr:col>
      <xdr:colOff>2354766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EA8E60EC-6F58-4A08-A09C-C0E904067A1D}"/>
            </a:ext>
          </a:extLst>
        </xdr:cNvPr>
        <xdr:cNvSpPr/>
      </xdr:nvSpPr>
      <xdr:spPr>
        <a:xfrm>
          <a:off x="16905672" y="0"/>
          <a:ext cx="1473954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830891</xdr:colOff>
      <xdr:row>2</xdr:row>
      <xdr:rowOff>384583</xdr:rowOff>
    </xdr:from>
    <xdr:to>
      <xdr:col>10</xdr:col>
      <xdr:colOff>2442777</xdr:colOff>
      <xdr:row>3</xdr:row>
      <xdr:rowOff>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1B463AE3-6396-465A-9802-EFD0EB11ACCE}"/>
            </a:ext>
          </a:extLst>
        </xdr:cNvPr>
        <xdr:cNvSpPr txBox="1"/>
      </xdr:nvSpPr>
      <xdr:spPr>
        <a:xfrm rot="10800000" flipH="1" flipV="1">
          <a:off x="16855751" y="750343"/>
          <a:ext cx="1611886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10</xdr:col>
      <xdr:colOff>1320076</xdr:colOff>
      <xdr:row>0</xdr:row>
      <xdr:rowOff>136274</xdr:rowOff>
    </xdr:from>
    <xdr:to>
      <xdr:col>10</xdr:col>
      <xdr:colOff>1915500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B5B9328-201D-441E-B04C-A6E5A96BC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44936" y="136274"/>
          <a:ext cx="595424" cy="583748"/>
        </a:xfrm>
        <a:prstGeom prst="rect">
          <a:avLst/>
        </a:prstGeom>
        <a:noFill/>
      </xdr:spPr>
    </xdr:pic>
    <xdr:clientData/>
  </xdr:twoCellAnchor>
  <xdr:twoCellAnchor editAs="absolute">
    <xdr:from>
      <xdr:col>12</xdr:col>
      <xdr:colOff>214120</xdr:colOff>
      <xdr:row>0</xdr:row>
      <xdr:rowOff>0</xdr:rowOff>
    </xdr:from>
    <xdr:to>
      <xdr:col>12</xdr:col>
      <xdr:colOff>1806630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61137DB2-8593-4875-AEF3-E1B9F676E1EE}"/>
            </a:ext>
          </a:extLst>
        </xdr:cNvPr>
        <xdr:cNvGrpSpPr/>
      </xdr:nvGrpSpPr>
      <xdr:grpSpPr>
        <a:xfrm>
          <a:off x="20483320" y="0"/>
          <a:ext cx="1592510" cy="116205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8654F9A9-80B1-4EC7-A088-0B4EAA8EEB6E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36B3448A-0743-49A7-BE40-3CEC860CD275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1212822-AED0-4537-99F0-A10000C1BC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1863973</xdr:colOff>
      <xdr:row>0</xdr:row>
      <xdr:rowOff>0</xdr:rowOff>
    </xdr:from>
    <xdr:to>
      <xdr:col>14</xdr:col>
      <xdr:colOff>177034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E02D6DF9-08EE-4A39-A2C5-D6560BE144A1}"/>
            </a:ext>
          </a:extLst>
        </xdr:cNvPr>
        <xdr:cNvGrpSpPr/>
      </xdr:nvGrpSpPr>
      <xdr:grpSpPr>
        <a:xfrm>
          <a:off x="24114373" y="0"/>
          <a:ext cx="1589661" cy="116205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0EF0FD0E-126D-4165-B963-4D9C071AA5AC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C515B312-2965-473C-9D51-7995A4AD09CA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C3E4BAA-E12B-4BC9-95F9-FA8080D276D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245774</xdr:colOff>
      <xdr:row>0</xdr:row>
      <xdr:rowOff>0</xdr:rowOff>
    </xdr:from>
    <xdr:to>
      <xdr:col>15</xdr:col>
      <xdr:colOff>1707185</xdr:colOff>
      <xdr:row>3</xdr:row>
      <xdr:rowOff>0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327D23E6-D3DA-4209-A9A6-11E402AAA48A}"/>
            </a:ext>
          </a:extLst>
        </xdr:cNvPr>
        <xdr:cNvSpPr/>
      </xdr:nvSpPr>
      <xdr:spPr>
        <a:xfrm>
          <a:off x="27814934" y="0"/>
          <a:ext cx="146141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196278</xdr:colOff>
      <xdr:row>2</xdr:row>
      <xdr:rowOff>384583</xdr:rowOff>
    </xdr:from>
    <xdr:to>
      <xdr:col>15</xdr:col>
      <xdr:colOff>1794447</xdr:colOff>
      <xdr:row>3</xdr:row>
      <xdr:rowOff>890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id="{5BA28650-5841-4C43-A32B-74F3286B48EC}"/>
            </a:ext>
          </a:extLst>
        </xdr:cNvPr>
        <xdr:cNvSpPr txBox="1"/>
      </xdr:nvSpPr>
      <xdr:spPr>
        <a:xfrm rot="10800000" flipH="1" flipV="1">
          <a:off x="27765438" y="750343"/>
          <a:ext cx="1598169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15</xdr:col>
      <xdr:colOff>688618</xdr:colOff>
      <xdr:row>0</xdr:row>
      <xdr:rowOff>136274</xdr:rowOff>
    </xdr:from>
    <xdr:to>
      <xdr:col>15</xdr:col>
      <xdr:colOff>1264337</xdr:colOff>
      <xdr:row>2</xdr:row>
      <xdr:rowOff>354260</xdr:rowOff>
    </xdr:to>
    <xdr:pic>
      <xdr:nvPicPr>
        <xdr:cNvPr id="3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DDEDCE8-C39A-4D2A-A522-9CFFA4CE34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257778" y="136274"/>
          <a:ext cx="575719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3832989</xdr:colOff>
      <xdr:row>0</xdr:row>
      <xdr:rowOff>0</xdr:rowOff>
    </xdr:from>
    <xdr:to>
      <xdr:col>16</xdr:col>
      <xdr:colOff>401958</xdr:colOff>
      <xdr:row>3</xdr:row>
      <xdr:rowOff>0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E6649113-CED6-4D4E-B263-6FFE3E9441EF}"/>
            </a:ext>
          </a:extLst>
        </xdr:cNvPr>
        <xdr:cNvGrpSpPr/>
      </xdr:nvGrpSpPr>
      <xdr:grpSpPr>
        <a:xfrm>
          <a:off x="31379289" y="0"/>
          <a:ext cx="1598169" cy="1162050"/>
          <a:chOff x="12260227" y="0"/>
          <a:chExt cx="1118316" cy="770164"/>
        </a:xfrm>
      </xdr:grpSpPr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ECC352F4-C419-4BE0-9B71-9F82228FD9F4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6" name="CaixaDeTexto 35">
            <a:extLst>
              <a:ext uri="{FF2B5EF4-FFF2-40B4-BE49-F238E27FC236}">
                <a16:creationId xmlns:a16="http://schemas.microsoft.com/office/drawing/2014/main" id="{C4D76678-6551-43DC-992C-8C212F42E746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7" name="Imagem 36" descr="Ícone do banco de dados (símbolo png) preto">
            <a:extLst>
              <a:ext uri="{FF2B5EF4-FFF2-40B4-BE49-F238E27FC236}">
                <a16:creationId xmlns:a16="http://schemas.microsoft.com/office/drawing/2014/main" id="{DC2AF32D-C9B0-40D5-948A-A7B12B6DBCC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37CCC2B8-4804-45C0-BC09-AEF1A72BAB8E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342900</xdr:colOff>
      <xdr:row>5</xdr:row>
      <xdr:rowOff>171450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A087F813-E92F-47F5-8B54-3FB589CCA4A6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25100"/>
          <a:ext cx="34136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1B1CD242-1E6E-429C-9497-F5FD4A1033F8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10</xdr:col>
      <xdr:colOff>114300</xdr:colOff>
      <xdr:row>3</xdr:row>
      <xdr:rowOff>152400</xdr:rowOff>
    </xdr:from>
    <xdr:to>
      <xdr:col>11</xdr:col>
      <xdr:colOff>998100</xdr:colOff>
      <xdr:row>5</xdr:row>
      <xdr:rowOff>141750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4A0F2886-19BF-4BD3-9F65-DA2225F7EB63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9160" y="12954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 COMPRAS</a:t>
          </a:r>
        </a:p>
      </xdr:txBody>
    </xdr:sp>
    <xdr:clientData/>
  </xdr:twoCellAnchor>
  <xdr:twoCellAnchor editAs="absolute">
    <xdr:from>
      <xdr:col>12</xdr:col>
      <xdr:colOff>674712</xdr:colOff>
      <xdr:row>3</xdr:row>
      <xdr:rowOff>133350</xdr:rowOff>
    </xdr:from>
    <xdr:to>
      <xdr:col>13</xdr:col>
      <xdr:colOff>2091912</xdr:colOff>
      <xdr:row>5</xdr:row>
      <xdr:rowOff>164263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E8CC1736-D325-4EB8-8EAD-64EEEE25E2B8}"/>
            </a:ext>
          </a:extLst>
        </xdr:cNvPr>
        <xdr:cNvSpPr/>
      </xdr:nvSpPr>
      <xdr:spPr>
        <a:xfrm>
          <a:off x="20959152" y="1276350"/>
          <a:ext cx="340602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43" name="Retângulo Arredondado 11">
          <a:extLst>
            <a:ext uri="{FF2B5EF4-FFF2-40B4-BE49-F238E27FC236}">
              <a16:creationId xmlns:a16="http://schemas.microsoft.com/office/drawing/2014/main" id="{49CF772B-6279-4D58-8A3B-DBC4753FBD14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227326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8</xdr:col>
      <xdr:colOff>1543050</xdr:colOff>
      <xdr:row>29</xdr:row>
      <xdr:rowOff>57150</xdr:rowOff>
    </xdr:from>
    <xdr:to>
      <xdr:col>10</xdr:col>
      <xdr:colOff>1148986</xdr:colOff>
      <xdr:row>33</xdr:row>
      <xdr:rowOff>41569</xdr:rowOff>
    </xdr:to>
    <xdr:sp macro="[5]!cadastro_clientes" textlink="">
      <xdr:nvSpPr>
        <xdr:cNvPr id="44" name="Retângulo Arredondado 11">
          <a:extLst>
            <a:ext uri="{FF2B5EF4-FFF2-40B4-BE49-F238E27FC236}">
              <a16:creationId xmlns:a16="http://schemas.microsoft.com/office/drawing/2014/main" id="{29B8812D-934A-4453-AE5B-E508B476834D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4085570" y="10382250"/>
          <a:ext cx="3088276" cy="144745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EB2A221C-A9F7-45DD-B21A-4EC6E5AB8C4C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58987CD-9D67-4541-9DDA-7DC1D0E00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C252FFDC-FE6D-4FC9-BC64-AF7C14883B42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2443F686-FFFB-4565-8F06-657DE330B7CE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7CD914C6-B9A9-444F-80C1-18D8CCACC275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F38BED6-C96E-4276-B2B7-6A9329930D7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856113C9-CEF6-488F-A27F-8DEBFA110BDE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94499431-8334-4E27-8544-1E2B1D21BA01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F4F456D1-3F39-43A2-A29E-8B7A21206966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50DB0B96-9901-4C3E-8A36-FA599212CA4A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734043C-3728-4FF9-96D7-4FC9EFD9C6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6</xdr:col>
      <xdr:colOff>624439</xdr:colOff>
      <xdr:row>0</xdr:row>
      <xdr:rowOff>0</xdr:rowOff>
    </xdr:from>
    <xdr:to>
      <xdr:col>7</xdr:col>
      <xdr:colOff>295148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5BA74FAE-FA15-41E0-A862-212F65508E87}"/>
            </a:ext>
          </a:extLst>
        </xdr:cNvPr>
        <xdr:cNvSpPr/>
      </xdr:nvSpPr>
      <xdr:spPr>
        <a:xfrm>
          <a:off x="9623659" y="0"/>
          <a:ext cx="145378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574943</xdr:colOff>
      <xdr:row>2</xdr:row>
      <xdr:rowOff>384583</xdr:rowOff>
    </xdr:from>
    <xdr:to>
      <xdr:col>7</xdr:col>
      <xdr:colOff>382410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17BB02F9-A80E-4DCF-8D09-1B775F277068}"/>
            </a:ext>
          </a:extLst>
        </xdr:cNvPr>
        <xdr:cNvSpPr txBox="1"/>
      </xdr:nvSpPr>
      <xdr:spPr>
        <a:xfrm rot="10800000" flipH="1" flipV="1">
          <a:off x="957416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1056306</xdr:colOff>
      <xdr:row>0</xdr:row>
      <xdr:rowOff>136274</xdr:rowOff>
    </xdr:from>
    <xdr:to>
      <xdr:col>6</xdr:col>
      <xdr:colOff>1653982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99DC39F-CBEA-436C-8E4C-F2EB443E9F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5552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717631</xdr:colOff>
      <xdr:row>0</xdr:row>
      <xdr:rowOff>0</xdr:rowOff>
    </xdr:from>
    <xdr:to>
      <xdr:col>9</xdr:col>
      <xdr:colOff>610472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F6266C0D-B863-450B-9DE5-FB5741422A64}"/>
            </a:ext>
          </a:extLst>
        </xdr:cNvPr>
        <xdr:cNvSpPr/>
      </xdr:nvSpPr>
      <xdr:spPr>
        <a:xfrm>
          <a:off x="13260151" y="0"/>
          <a:ext cx="146256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668354</xdr:colOff>
      <xdr:row>2</xdr:row>
      <xdr:rowOff>384583</xdr:rowOff>
    </xdr:from>
    <xdr:to>
      <xdr:col>9</xdr:col>
      <xdr:colOff>697348</xdr:colOff>
      <xdr:row>2</xdr:row>
      <xdr:rowOff>762890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711024E3-3238-4656-AD68-0CD594CEC2B9}"/>
            </a:ext>
          </a:extLst>
        </xdr:cNvPr>
        <xdr:cNvSpPr txBox="1"/>
      </xdr:nvSpPr>
      <xdr:spPr>
        <a:xfrm rot="10800000" flipH="1" flipV="1">
          <a:off x="13210874" y="750343"/>
          <a:ext cx="159871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1150051</xdr:colOff>
      <xdr:row>0</xdr:row>
      <xdr:rowOff>136274</xdr:rowOff>
    </xdr:from>
    <xdr:to>
      <xdr:col>9</xdr:col>
      <xdr:colOff>178052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192A0ED-4BF3-4565-8549-F65F4FD1A9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92571" y="136274"/>
          <a:ext cx="597721" cy="583748"/>
        </a:xfrm>
        <a:prstGeom prst="rect">
          <a:avLst/>
        </a:prstGeom>
      </xdr:spPr>
    </xdr:pic>
    <xdr:clientData/>
  </xdr:twoCellAnchor>
  <xdr:twoCellAnchor editAs="absolute">
    <xdr:from>
      <xdr:col>10</xdr:col>
      <xdr:colOff>880812</xdr:colOff>
      <xdr:row>0</xdr:row>
      <xdr:rowOff>0</xdr:rowOff>
    </xdr:from>
    <xdr:to>
      <xdr:col>10</xdr:col>
      <xdr:colOff>2354766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0BE604C3-A47B-496E-9599-C6E997E99088}"/>
            </a:ext>
          </a:extLst>
        </xdr:cNvPr>
        <xdr:cNvSpPr/>
      </xdr:nvSpPr>
      <xdr:spPr>
        <a:xfrm>
          <a:off x="16905672" y="0"/>
          <a:ext cx="1473954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830891</xdr:colOff>
      <xdr:row>2</xdr:row>
      <xdr:rowOff>384583</xdr:rowOff>
    </xdr:from>
    <xdr:to>
      <xdr:col>10</xdr:col>
      <xdr:colOff>2442777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ECBDC04D-FE7C-46A4-A63B-D79609C3BA53}"/>
            </a:ext>
          </a:extLst>
        </xdr:cNvPr>
        <xdr:cNvSpPr txBox="1"/>
      </xdr:nvSpPr>
      <xdr:spPr>
        <a:xfrm rot="10800000" flipH="1" flipV="1">
          <a:off x="16855751" y="75034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10</xdr:col>
      <xdr:colOff>1320076</xdr:colOff>
      <xdr:row>0</xdr:row>
      <xdr:rowOff>136274</xdr:rowOff>
    </xdr:from>
    <xdr:to>
      <xdr:col>10</xdr:col>
      <xdr:colOff>1915500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0F3C54-04CE-409F-B34D-F8CCFFDF67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44936" y="136274"/>
          <a:ext cx="595424" cy="583748"/>
        </a:xfrm>
        <a:prstGeom prst="rect">
          <a:avLst/>
        </a:prstGeom>
        <a:noFill/>
      </xdr:spPr>
    </xdr:pic>
    <xdr:clientData/>
  </xdr:twoCellAnchor>
  <xdr:twoCellAnchor editAs="absolute">
    <xdr:from>
      <xdr:col>11</xdr:col>
      <xdr:colOff>714182</xdr:colOff>
      <xdr:row>0</xdr:row>
      <xdr:rowOff>0</xdr:rowOff>
    </xdr:from>
    <xdr:to>
      <xdr:col>12</xdr:col>
      <xdr:colOff>616005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045654DD-E7EC-49A5-B892-A234C9166A7F}"/>
            </a:ext>
          </a:extLst>
        </xdr:cNvPr>
        <xdr:cNvGrpSpPr/>
      </xdr:nvGrpSpPr>
      <xdr:grpSpPr>
        <a:xfrm>
          <a:off x="20469032" y="0"/>
          <a:ext cx="1654423" cy="116205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97363099-D9BF-4BEF-AE93-DE384FD0CB4F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F054A50B-22B5-4ED8-9986-51D7D9FA2472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56EC643-F82A-4679-BBA4-A1B28CACF0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673348</xdr:colOff>
      <xdr:row>0</xdr:row>
      <xdr:rowOff>0</xdr:rowOff>
    </xdr:from>
    <xdr:to>
      <xdr:col>13</xdr:col>
      <xdr:colOff>2177284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2B09402C-E052-4DED-84EC-001E331F9F70}"/>
            </a:ext>
          </a:extLst>
        </xdr:cNvPr>
        <xdr:cNvGrpSpPr/>
      </xdr:nvGrpSpPr>
      <xdr:grpSpPr>
        <a:xfrm>
          <a:off x="24161998" y="0"/>
          <a:ext cx="1503936" cy="116205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91F8B533-5B02-499F-A1DC-E58D1A480ED3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203C0632-99FE-4AAD-A043-6E168E95A6BE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8594C28-5B40-43CA-9CA9-6CDFF531835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1007774</xdr:colOff>
      <xdr:row>0</xdr:row>
      <xdr:rowOff>0</xdr:rowOff>
    </xdr:from>
    <xdr:to>
      <xdr:col>15</xdr:col>
      <xdr:colOff>516560</xdr:colOff>
      <xdr:row>3</xdr:row>
      <xdr:rowOff>0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6E6BD2D2-50DF-4986-80BB-ADC5CBBD90CC}"/>
            </a:ext>
          </a:extLst>
        </xdr:cNvPr>
        <xdr:cNvSpPr/>
      </xdr:nvSpPr>
      <xdr:spPr>
        <a:xfrm>
          <a:off x="27799694" y="0"/>
          <a:ext cx="1520466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958278</xdr:colOff>
      <xdr:row>2</xdr:row>
      <xdr:rowOff>384583</xdr:rowOff>
    </xdr:from>
    <xdr:to>
      <xdr:col>15</xdr:col>
      <xdr:colOff>603822</xdr:colOff>
      <xdr:row>2</xdr:row>
      <xdr:rowOff>762890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id="{3F864581-449D-4EB8-837B-CFC130EF8638}"/>
            </a:ext>
          </a:extLst>
        </xdr:cNvPr>
        <xdr:cNvSpPr txBox="1"/>
      </xdr:nvSpPr>
      <xdr:spPr>
        <a:xfrm rot="10800000" flipH="1" flipV="1">
          <a:off x="27750198" y="750343"/>
          <a:ext cx="165722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14</xdr:col>
      <xdr:colOff>1450618</xdr:colOff>
      <xdr:row>0</xdr:row>
      <xdr:rowOff>136274</xdr:rowOff>
    </xdr:from>
    <xdr:to>
      <xdr:col>15</xdr:col>
      <xdr:colOff>73712</xdr:colOff>
      <xdr:row>2</xdr:row>
      <xdr:rowOff>354260</xdr:rowOff>
    </xdr:to>
    <xdr:pic>
      <xdr:nvPicPr>
        <xdr:cNvPr id="3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AB6A60B-FE63-4678-9F2B-8C2841D0F4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242538" y="136274"/>
          <a:ext cx="634774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2642364</xdr:colOff>
      <xdr:row>0</xdr:row>
      <xdr:rowOff>0</xdr:rowOff>
    </xdr:from>
    <xdr:to>
      <xdr:col>15</xdr:col>
      <xdr:colOff>4104802</xdr:colOff>
      <xdr:row>3</xdr:row>
      <xdr:rowOff>0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99DA6631-82C5-421A-92AA-871008184C54}"/>
            </a:ext>
          </a:extLst>
        </xdr:cNvPr>
        <xdr:cNvGrpSpPr/>
      </xdr:nvGrpSpPr>
      <xdr:grpSpPr>
        <a:xfrm>
          <a:off x="31426914" y="0"/>
          <a:ext cx="1462438" cy="1162050"/>
          <a:chOff x="12260227" y="0"/>
          <a:chExt cx="1118316" cy="770164"/>
        </a:xfrm>
      </xdr:grpSpPr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B8BC83E7-4982-44EA-AC64-0E4D707066F5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6" name="CaixaDeTexto 35">
            <a:extLst>
              <a:ext uri="{FF2B5EF4-FFF2-40B4-BE49-F238E27FC236}">
                <a16:creationId xmlns:a16="http://schemas.microsoft.com/office/drawing/2014/main" id="{0EFD34F3-8CA0-45B1-ADB2-B8BFE7F20E54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7" name="Imagem 36" descr="Ícone do banco de dados (símbolo png) preto">
            <a:extLst>
              <a:ext uri="{FF2B5EF4-FFF2-40B4-BE49-F238E27FC236}">
                <a16:creationId xmlns:a16="http://schemas.microsoft.com/office/drawing/2014/main" id="{29B14A32-1E43-42DF-A19B-9D72DF3FFF9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DBE4431D-7C10-4A1B-B1C8-C4F160C15C1F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342900</xdr:colOff>
      <xdr:row>5</xdr:row>
      <xdr:rowOff>171450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DA88AAD5-7C5E-418E-BF40-3188D6D51202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25100"/>
          <a:ext cx="34136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2C37881B-4E74-4ECA-B195-A4235FFD8825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10</xdr:col>
      <xdr:colOff>114300</xdr:colOff>
      <xdr:row>3</xdr:row>
      <xdr:rowOff>152400</xdr:rowOff>
    </xdr:from>
    <xdr:to>
      <xdr:col>10</xdr:col>
      <xdr:colOff>3450788</xdr:colOff>
      <xdr:row>5</xdr:row>
      <xdr:rowOff>141750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4AEAE2FA-501A-4A27-B147-A444CD55ECA9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9160" y="1295400"/>
          <a:ext cx="3336488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 COMPRAS</a:t>
          </a:r>
        </a:p>
      </xdr:txBody>
    </xdr:sp>
    <xdr:clientData/>
  </xdr:twoCellAnchor>
  <xdr:twoCellAnchor editAs="absolute">
    <xdr:from>
      <xdr:col>11</xdr:col>
      <xdr:colOff>1174774</xdr:colOff>
      <xdr:row>3</xdr:row>
      <xdr:rowOff>133350</xdr:rowOff>
    </xdr:from>
    <xdr:to>
      <xdr:col>13</xdr:col>
      <xdr:colOff>901287</xdr:colOff>
      <xdr:row>5</xdr:row>
      <xdr:rowOff>164263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BEAF4F55-811B-4C68-B769-3325DCF759F4}"/>
            </a:ext>
          </a:extLst>
        </xdr:cNvPr>
        <xdr:cNvSpPr/>
      </xdr:nvSpPr>
      <xdr:spPr>
        <a:xfrm>
          <a:off x="20948674" y="1276350"/>
          <a:ext cx="3460313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43" name="Retângulo Arredondado 11">
          <a:extLst>
            <a:ext uri="{FF2B5EF4-FFF2-40B4-BE49-F238E27FC236}">
              <a16:creationId xmlns:a16="http://schemas.microsoft.com/office/drawing/2014/main" id="{4F4C2F44-7530-4F17-A6CC-2C201D31FE5C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350770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8</xdr:col>
      <xdr:colOff>1428750</xdr:colOff>
      <xdr:row>33</xdr:row>
      <xdr:rowOff>57150</xdr:rowOff>
    </xdr:from>
    <xdr:to>
      <xdr:col>10</xdr:col>
      <xdr:colOff>1034686</xdr:colOff>
      <xdr:row>37</xdr:row>
      <xdr:rowOff>41569</xdr:rowOff>
    </xdr:to>
    <xdr:sp macro="[5]!Controle_Vendas" textlink="">
      <xdr:nvSpPr>
        <xdr:cNvPr id="44" name="Retângulo Arredondado 11">
          <a:extLst>
            <a:ext uri="{FF2B5EF4-FFF2-40B4-BE49-F238E27FC236}">
              <a16:creationId xmlns:a16="http://schemas.microsoft.com/office/drawing/2014/main" id="{4C76F4A1-746A-4E95-8EDD-52FFDF8FAD2C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3971270" y="11845290"/>
          <a:ext cx="3088276" cy="144745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7659704E-D341-4821-BD37-91E6FDBE1B1A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D95BE2-E314-45EA-AD21-AEBB042430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D8126D94-223A-4C43-B3FB-648133C1384F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6D42B5AE-4504-4D2C-B3E0-C223E798D631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8D8C6C39-DF72-48AA-8F99-BE308299D01C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28378EAB-EDEE-43C2-82D9-F5AEDC4858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5C330314-B707-452E-A45E-165598FC153E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D788FC86-0E51-4BAF-91DE-5A3DF9B4B1EC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1D083063-3C5C-40F2-B756-47C1BA5179AC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72B3CAD2-0750-4A25-9D0D-CE51E0AD1EDF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3771D6E-3BBE-4EB7-A064-833DABF8223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6</xdr:col>
      <xdr:colOff>624439</xdr:colOff>
      <xdr:row>0</xdr:row>
      <xdr:rowOff>0</xdr:rowOff>
    </xdr:from>
    <xdr:to>
      <xdr:col>7</xdr:col>
      <xdr:colOff>295148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53B83A8B-EFA3-49CC-AD05-D5EA60F546DC}"/>
            </a:ext>
          </a:extLst>
        </xdr:cNvPr>
        <xdr:cNvSpPr/>
      </xdr:nvSpPr>
      <xdr:spPr>
        <a:xfrm>
          <a:off x="9623659" y="0"/>
          <a:ext cx="145378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574943</xdr:colOff>
      <xdr:row>2</xdr:row>
      <xdr:rowOff>384583</xdr:rowOff>
    </xdr:from>
    <xdr:to>
      <xdr:col>7</xdr:col>
      <xdr:colOff>382410</xdr:colOff>
      <xdr:row>3</xdr:row>
      <xdr:rowOff>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280F198D-2749-49DB-9F98-3CE3569F6148}"/>
            </a:ext>
          </a:extLst>
        </xdr:cNvPr>
        <xdr:cNvSpPr txBox="1"/>
      </xdr:nvSpPr>
      <xdr:spPr>
        <a:xfrm rot="10800000" flipH="1" flipV="1">
          <a:off x="9574163" y="750343"/>
          <a:ext cx="1590547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1056306</xdr:colOff>
      <xdr:row>0</xdr:row>
      <xdr:rowOff>136274</xdr:rowOff>
    </xdr:from>
    <xdr:to>
      <xdr:col>6</xdr:col>
      <xdr:colOff>1653982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6BE63F0-B43C-4C15-9FD2-DC27300F40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5552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717631</xdr:colOff>
      <xdr:row>0</xdr:row>
      <xdr:rowOff>0</xdr:rowOff>
    </xdr:from>
    <xdr:to>
      <xdr:col>9</xdr:col>
      <xdr:colOff>610472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2AF4D22B-BEC4-4467-AD45-F1BC5C4FF3A4}"/>
            </a:ext>
          </a:extLst>
        </xdr:cNvPr>
        <xdr:cNvSpPr/>
      </xdr:nvSpPr>
      <xdr:spPr>
        <a:xfrm>
          <a:off x="13260151" y="0"/>
          <a:ext cx="146256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668354</xdr:colOff>
      <xdr:row>2</xdr:row>
      <xdr:rowOff>384583</xdr:rowOff>
    </xdr:from>
    <xdr:to>
      <xdr:col>9</xdr:col>
      <xdr:colOff>697348</xdr:colOff>
      <xdr:row>3</xdr:row>
      <xdr:rowOff>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A14A59A2-F1FF-40BD-B1A1-6AFAFC17036D}"/>
            </a:ext>
          </a:extLst>
        </xdr:cNvPr>
        <xdr:cNvSpPr txBox="1"/>
      </xdr:nvSpPr>
      <xdr:spPr>
        <a:xfrm rot="10800000" flipH="1" flipV="1">
          <a:off x="13210874" y="750343"/>
          <a:ext cx="1598714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1150051</xdr:colOff>
      <xdr:row>0</xdr:row>
      <xdr:rowOff>136274</xdr:rowOff>
    </xdr:from>
    <xdr:to>
      <xdr:col>9</xdr:col>
      <xdr:colOff>178052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CAD2001-19EE-4FCD-813A-FE966DB9D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92571" y="136274"/>
          <a:ext cx="597721" cy="583748"/>
        </a:xfrm>
        <a:prstGeom prst="rect">
          <a:avLst/>
        </a:prstGeom>
      </xdr:spPr>
    </xdr:pic>
    <xdr:clientData/>
  </xdr:twoCellAnchor>
  <xdr:twoCellAnchor editAs="absolute">
    <xdr:from>
      <xdr:col>10</xdr:col>
      <xdr:colOff>880812</xdr:colOff>
      <xdr:row>0</xdr:row>
      <xdr:rowOff>0</xdr:rowOff>
    </xdr:from>
    <xdr:to>
      <xdr:col>10</xdr:col>
      <xdr:colOff>2354766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5CFD9BBE-D389-417C-86B9-E746930B0085}"/>
            </a:ext>
          </a:extLst>
        </xdr:cNvPr>
        <xdr:cNvSpPr/>
      </xdr:nvSpPr>
      <xdr:spPr>
        <a:xfrm>
          <a:off x="16905672" y="0"/>
          <a:ext cx="1473954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830891</xdr:colOff>
      <xdr:row>2</xdr:row>
      <xdr:rowOff>384583</xdr:rowOff>
    </xdr:from>
    <xdr:to>
      <xdr:col>10</xdr:col>
      <xdr:colOff>2442777</xdr:colOff>
      <xdr:row>3</xdr:row>
      <xdr:rowOff>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52D66AD6-2C5E-46BE-BA4F-D65AA2D0488F}"/>
            </a:ext>
          </a:extLst>
        </xdr:cNvPr>
        <xdr:cNvSpPr txBox="1"/>
      </xdr:nvSpPr>
      <xdr:spPr>
        <a:xfrm rot="10800000" flipH="1" flipV="1">
          <a:off x="16855751" y="750343"/>
          <a:ext cx="1611886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10</xdr:col>
      <xdr:colOff>1320076</xdr:colOff>
      <xdr:row>0</xdr:row>
      <xdr:rowOff>136274</xdr:rowOff>
    </xdr:from>
    <xdr:to>
      <xdr:col>10</xdr:col>
      <xdr:colOff>1915500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20E072-FDDA-459B-8946-1A088FB2E5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44936" y="136274"/>
          <a:ext cx="595424" cy="583748"/>
        </a:xfrm>
        <a:prstGeom prst="rect">
          <a:avLst/>
        </a:prstGeom>
        <a:noFill/>
      </xdr:spPr>
    </xdr:pic>
    <xdr:clientData/>
  </xdr:twoCellAnchor>
  <xdr:twoCellAnchor editAs="absolute">
    <xdr:from>
      <xdr:col>11</xdr:col>
      <xdr:colOff>1526453</xdr:colOff>
      <xdr:row>0</xdr:row>
      <xdr:rowOff>0</xdr:rowOff>
    </xdr:from>
    <xdr:to>
      <xdr:col>12</xdr:col>
      <xdr:colOff>1425630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CF15889E-6549-49ED-8413-7116C8C595F8}"/>
            </a:ext>
          </a:extLst>
        </xdr:cNvPr>
        <xdr:cNvGrpSpPr/>
      </xdr:nvGrpSpPr>
      <xdr:grpSpPr>
        <a:xfrm>
          <a:off x="20443103" y="0"/>
          <a:ext cx="1651777" cy="116205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D53C4EF6-B3F8-4658-85C7-C1623C3F98C9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2FFBA16F-787E-42D3-AEFC-8B729D13D42C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41AB5D7-2795-4A6B-8F5B-87096379CF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1482973</xdr:colOff>
      <xdr:row>0</xdr:row>
      <xdr:rowOff>0</xdr:rowOff>
    </xdr:from>
    <xdr:to>
      <xdr:col>13</xdr:col>
      <xdr:colOff>2986909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3057540D-1B66-4A05-9E35-4E997D529560}"/>
            </a:ext>
          </a:extLst>
        </xdr:cNvPr>
        <xdr:cNvGrpSpPr/>
      </xdr:nvGrpSpPr>
      <xdr:grpSpPr>
        <a:xfrm>
          <a:off x="24133423" y="0"/>
          <a:ext cx="1503936" cy="116205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E0F5BCEF-A710-4758-A883-2C1E70D109C7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EB3320C0-4C1C-4438-937A-FE23FC14225E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4FBC3DC-2356-4AD8-8F86-A2F490DAD9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1603087</xdr:colOff>
      <xdr:row>0</xdr:row>
      <xdr:rowOff>0</xdr:rowOff>
    </xdr:from>
    <xdr:to>
      <xdr:col>15</xdr:col>
      <xdr:colOff>230810</xdr:colOff>
      <xdr:row>3</xdr:row>
      <xdr:rowOff>0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474EC5E6-EE3D-40A2-9170-6D53AB9BCDBC}"/>
            </a:ext>
          </a:extLst>
        </xdr:cNvPr>
        <xdr:cNvSpPr/>
      </xdr:nvSpPr>
      <xdr:spPr>
        <a:xfrm>
          <a:off x="27777787" y="0"/>
          <a:ext cx="1546183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1553591</xdr:colOff>
      <xdr:row>2</xdr:row>
      <xdr:rowOff>384583</xdr:rowOff>
    </xdr:from>
    <xdr:to>
      <xdr:col>15</xdr:col>
      <xdr:colOff>318072</xdr:colOff>
      <xdr:row>3</xdr:row>
      <xdr:rowOff>890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id="{7E712092-37E5-48B3-BBAA-21B09A97C6E7}"/>
            </a:ext>
          </a:extLst>
        </xdr:cNvPr>
        <xdr:cNvSpPr txBox="1"/>
      </xdr:nvSpPr>
      <xdr:spPr>
        <a:xfrm rot="10800000" flipH="1" flipV="1">
          <a:off x="27728291" y="750343"/>
          <a:ext cx="1682941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14</xdr:col>
      <xdr:colOff>2045931</xdr:colOff>
      <xdr:row>0</xdr:row>
      <xdr:rowOff>136274</xdr:rowOff>
    </xdr:from>
    <xdr:to>
      <xdr:col>14</xdr:col>
      <xdr:colOff>2624296</xdr:colOff>
      <xdr:row>2</xdr:row>
      <xdr:rowOff>354260</xdr:rowOff>
    </xdr:to>
    <xdr:pic>
      <xdr:nvPicPr>
        <xdr:cNvPr id="3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19A8C92-A4E3-4563-84D4-0BF62CAF04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220631" y="136274"/>
          <a:ext cx="578365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2356614</xdr:colOff>
      <xdr:row>0</xdr:row>
      <xdr:rowOff>0</xdr:rowOff>
    </xdr:from>
    <xdr:to>
      <xdr:col>15</xdr:col>
      <xdr:colOff>3830958</xdr:colOff>
      <xdr:row>3</xdr:row>
      <xdr:rowOff>0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A07A71E3-5692-4BA6-B585-4DB7F2C41E1B}"/>
            </a:ext>
          </a:extLst>
        </xdr:cNvPr>
        <xdr:cNvGrpSpPr/>
      </xdr:nvGrpSpPr>
      <xdr:grpSpPr>
        <a:xfrm>
          <a:off x="31426914" y="0"/>
          <a:ext cx="1474344" cy="1162050"/>
          <a:chOff x="12260227" y="0"/>
          <a:chExt cx="1118316" cy="770164"/>
        </a:xfrm>
      </xdr:grpSpPr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8E255F5A-B6F5-4384-BB0C-02AB66E7774E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6" name="CaixaDeTexto 35">
            <a:extLst>
              <a:ext uri="{FF2B5EF4-FFF2-40B4-BE49-F238E27FC236}">
                <a16:creationId xmlns:a16="http://schemas.microsoft.com/office/drawing/2014/main" id="{AA122AD3-6AE5-4B80-94A0-D38446432DB7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7" name="Imagem 36" descr="Ícone do banco de dados (símbolo png) preto">
            <a:extLst>
              <a:ext uri="{FF2B5EF4-FFF2-40B4-BE49-F238E27FC236}">
                <a16:creationId xmlns:a16="http://schemas.microsoft.com/office/drawing/2014/main" id="{C810A363-9176-45C3-BBC5-353B200CEA8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515E08E4-5623-4F25-A450-334D760E09C9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342900</xdr:colOff>
      <xdr:row>5</xdr:row>
      <xdr:rowOff>171450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7E07AC85-43F3-4F0C-BEFF-7EF9AA45E6A5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25100"/>
          <a:ext cx="341364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2D969197-A0C7-4C73-9A10-CA1C205012F2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10</xdr:col>
      <xdr:colOff>114300</xdr:colOff>
      <xdr:row>3</xdr:row>
      <xdr:rowOff>152400</xdr:rowOff>
    </xdr:from>
    <xdr:to>
      <xdr:col>11</xdr:col>
      <xdr:colOff>617100</xdr:colOff>
      <xdr:row>5</xdr:row>
      <xdr:rowOff>141750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52F0B595-845A-4E8D-87AF-2AE118902F4B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9160" y="1295400"/>
          <a:ext cx="34136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 COMPRAS</a:t>
          </a:r>
        </a:p>
      </xdr:txBody>
    </xdr:sp>
    <xdr:clientData/>
  </xdr:twoCellAnchor>
  <xdr:twoCellAnchor editAs="absolute">
    <xdr:from>
      <xdr:col>12</xdr:col>
      <xdr:colOff>293712</xdr:colOff>
      <xdr:row>3</xdr:row>
      <xdr:rowOff>133350</xdr:rowOff>
    </xdr:from>
    <xdr:to>
      <xdr:col>13</xdr:col>
      <xdr:colOff>1710912</xdr:colOff>
      <xdr:row>5</xdr:row>
      <xdr:rowOff>164263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788EAD8D-95C2-491E-9023-12C0E07F1BD2}"/>
            </a:ext>
          </a:extLst>
        </xdr:cNvPr>
        <xdr:cNvSpPr/>
      </xdr:nvSpPr>
      <xdr:spPr>
        <a:xfrm>
          <a:off x="20974392" y="1276350"/>
          <a:ext cx="340602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29</xdr:row>
      <xdr:rowOff>65315</xdr:rowOff>
    </xdr:from>
    <xdr:to>
      <xdr:col>13</xdr:col>
      <xdr:colOff>0</xdr:colOff>
      <xdr:row>32</xdr:row>
      <xdr:rowOff>78037</xdr:rowOff>
    </xdr:to>
    <xdr:sp macro="" textlink="">
      <xdr:nvSpPr>
        <xdr:cNvPr id="43" name="Retângulo Arredondado 11">
          <a:extLst>
            <a:ext uri="{FF2B5EF4-FFF2-40B4-BE49-F238E27FC236}">
              <a16:creationId xmlns:a16="http://schemas.microsoft.com/office/drawing/2014/main" id="{C817F180-E05E-4963-9511-8D06A972B678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2669500" y="1039041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8</xdr:col>
      <xdr:colOff>1543050</xdr:colOff>
      <xdr:row>20</xdr:row>
      <xdr:rowOff>95250</xdr:rowOff>
    </xdr:from>
    <xdr:to>
      <xdr:col>10</xdr:col>
      <xdr:colOff>1148986</xdr:colOff>
      <xdr:row>24</xdr:row>
      <xdr:rowOff>79669</xdr:rowOff>
    </xdr:to>
    <xdr:sp macro="[5]!meta" textlink="">
      <xdr:nvSpPr>
        <xdr:cNvPr id="44" name="Retângulo Arredondado 11">
          <a:extLst>
            <a:ext uri="{FF2B5EF4-FFF2-40B4-BE49-F238E27FC236}">
              <a16:creationId xmlns:a16="http://schemas.microsoft.com/office/drawing/2014/main" id="{E9019DE8-A87B-40E2-BEA7-0DF24CEE472E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4085570" y="7128510"/>
          <a:ext cx="3088276" cy="144745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1615770</xdr:colOff>
      <xdr:row>2</xdr:row>
      <xdr:rowOff>133894</xdr:rowOff>
    </xdr:from>
    <xdr:to>
      <xdr:col>3</xdr:col>
      <xdr:colOff>207980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EF9F2389-E03C-407B-AADA-5946D105BB38}"/>
            </a:ext>
          </a:extLst>
        </xdr:cNvPr>
        <xdr:cNvSpPr txBox="1"/>
      </xdr:nvSpPr>
      <xdr:spPr>
        <a:xfrm rot="10800000" flipH="1" flipV="1">
          <a:off x="4450410" y="499654"/>
          <a:ext cx="1190630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2</xdr:col>
      <xdr:colOff>1952595</xdr:colOff>
      <xdr:row>0</xdr:row>
      <xdr:rowOff>91651</xdr:rowOff>
    </xdr:from>
    <xdr:to>
      <xdr:col>2</xdr:col>
      <xdr:colOff>2369831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71D06F1-D320-4435-B407-965761837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8723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1</xdr:col>
      <xdr:colOff>1628775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B1F37499-03A3-4062-938E-8A6C8AC50343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38375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</xdr:col>
      <xdr:colOff>1785937</xdr:colOff>
      <xdr:row>0</xdr:row>
      <xdr:rowOff>0</xdr:rowOff>
    </xdr:from>
    <xdr:to>
      <xdr:col>2</xdr:col>
      <xdr:colOff>1078980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53557B4B-681A-4CDD-9CC1-C52B97E2A917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95537" y="0"/>
          <a:ext cx="1521893" cy="116205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167E6EFC-2FF0-4924-906A-6C06A6E0B227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A0D5506C-104D-4F53-A09D-40227D04E9F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F5BCCF95-CB97-4588-B459-741C120DA68C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3</xdr:col>
      <xdr:colOff>593398</xdr:colOff>
      <xdr:row>0</xdr:row>
      <xdr:rowOff>0</xdr:rowOff>
    </xdr:from>
    <xdr:to>
      <xdr:col>3</xdr:col>
      <xdr:colOff>2041600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A713D4BD-5BF0-436B-B0D9-9E31E973FB62}"/>
            </a:ext>
          </a:extLst>
        </xdr:cNvPr>
        <xdr:cNvGrpSpPr/>
      </xdr:nvGrpSpPr>
      <xdr:grpSpPr>
        <a:xfrm>
          <a:off x="6022648" y="0"/>
          <a:ext cx="1448202" cy="116205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FEECD034-67C2-427D-AA20-EB48DFDB5CE6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69D9D843-6D74-4206-859B-DF267FA47314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3B90B32E-33C9-4588-ADC9-98D0949CC3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4</xdr:col>
      <xdr:colOff>1124502</xdr:colOff>
      <xdr:row>0</xdr:row>
      <xdr:rowOff>0</xdr:rowOff>
    </xdr:from>
    <xdr:to>
      <xdr:col>4</xdr:col>
      <xdr:colOff>2533523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F102F7F9-4FAF-4ACB-848A-7E8B1A515650}"/>
            </a:ext>
          </a:extLst>
        </xdr:cNvPr>
        <xdr:cNvSpPr/>
      </xdr:nvSpPr>
      <xdr:spPr>
        <a:xfrm>
          <a:off x="9597942" y="0"/>
          <a:ext cx="140902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1075006</xdr:colOff>
      <xdr:row>2</xdr:row>
      <xdr:rowOff>384583</xdr:rowOff>
    </xdr:from>
    <xdr:to>
      <xdr:col>4</xdr:col>
      <xdr:colOff>2620785</xdr:colOff>
      <xdr:row>3</xdr:row>
      <xdr:rowOff>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E365CD8D-7EE0-4D49-9F8F-B8217D58D9B5}"/>
            </a:ext>
          </a:extLst>
        </xdr:cNvPr>
        <xdr:cNvSpPr txBox="1"/>
      </xdr:nvSpPr>
      <xdr:spPr>
        <a:xfrm rot="10800000" flipH="1" flipV="1">
          <a:off x="9548446" y="750343"/>
          <a:ext cx="1545779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1556369</xdr:colOff>
      <xdr:row>0</xdr:row>
      <xdr:rowOff>136274</xdr:rowOff>
    </xdr:from>
    <xdr:to>
      <xdr:col>4</xdr:col>
      <xdr:colOff>2154045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E364A1C-448C-46DB-8489-E1DF2EB468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29809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5</xdr:col>
      <xdr:colOff>1360568</xdr:colOff>
      <xdr:row>0</xdr:row>
      <xdr:rowOff>0</xdr:rowOff>
    </xdr:from>
    <xdr:to>
      <xdr:col>5</xdr:col>
      <xdr:colOff>2777409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A2FE7F39-885F-4619-9CEE-F67EEEE78CB0}"/>
            </a:ext>
          </a:extLst>
        </xdr:cNvPr>
        <xdr:cNvSpPr/>
      </xdr:nvSpPr>
      <xdr:spPr>
        <a:xfrm>
          <a:off x="13232528" y="0"/>
          <a:ext cx="141684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5</xdr:col>
      <xdr:colOff>1311291</xdr:colOff>
      <xdr:row>2</xdr:row>
      <xdr:rowOff>384583</xdr:rowOff>
    </xdr:from>
    <xdr:to>
      <xdr:col>5</xdr:col>
      <xdr:colOff>2864285</xdr:colOff>
      <xdr:row>3</xdr:row>
      <xdr:rowOff>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03288DAB-4931-433F-9DA4-98F3AEB5CEE6}"/>
            </a:ext>
          </a:extLst>
        </xdr:cNvPr>
        <xdr:cNvSpPr txBox="1"/>
      </xdr:nvSpPr>
      <xdr:spPr>
        <a:xfrm rot="10800000" flipH="1" flipV="1">
          <a:off x="13183251" y="750343"/>
          <a:ext cx="1552994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5</xdr:col>
      <xdr:colOff>1792988</xdr:colOff>
      <xdr:row>0</xdr:row>
      <xdr:rowOff>136274</xdr:rowOff>
    </xdr:from>
    <xdr:to>
      <xdr:col>5</xdr:col>
      <xdr:colOff>2344989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B0842AC-6558-49E5-8008-00BD6E5876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64948" y="136274"/>
          <a:ext cx="552001" cy="583748"/>
        </a:xfrm>
        <a:prstGeom prst="rect">
          <a:avLst/>
        </a:prstGeom>
      </xdr:spPr>
    </xdr:pic>
    <xdr:clientData/>
  </xdr:twoCellAnchor>
  <xdr:twoCellAnchor editAs="absolute">
    <xdr:from>
      <xdr:col>6</xdr:col>
      <xdr:colOff>1071312</xdr:colOff>
      <xdr:row>0</xdr:row>
      <xdr:rowOff>0</xdr:rowOff>
    </xdr:from>
    <xdr:to>
      <xdr:col>6</xdr:col>
      <xdr:colOff>2545266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764C6A01-8C40-4942-A71E-0FFD115F6A43}"/>
            </a:ext>
          </a:extLst>
        </xdr:cNvPr>
        <xdr:cNvSpPr/>
      </xdr:nvSpPr>
      <xdr:spPr>
        <a:xfrm>
          <a:off x="16890432" y="0"/>
          <a:ext cx="1473954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1021391</xdr:colOff>
      <xdr:row>2</xdr:row>
      <xdr:rowOff>384583</xdr:rowOff>
    </xdr:from>
    <xdr:to>
      <xdr:col>6</xdr:col>
      <xdr:colOff>2633277</xdr:colOff>
      <xdr:row>3</xdr:row>
      <xdr:rowOff>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4C39DFA7-DEB0-45FB-B309-85943BB34A60}"/>
            </a:ext>
          </a:extLst>
        </xdr:cNvPr>
        <xdr:cNvSpPr txBox="1"/>
      </xdr:nvSpPr>
      <xdr:spPr>
        <a:xfrm rot="10800000" flipH="1" flipV="1">
          <a:off x="16840511" y="750343"/>
          <a:ext cx="1611886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6</xdr:col>
      <xdr:colOff>1510576</xdr:colOff>
      <xdr:row>0</xdr:row>
      <xdr:rowOff>136274</xdr:rowOff>
    </xdr:from>
    <xdr:to>
      <xdr:col>6</xdr:col>
      <xdr:colOff>2106000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A8FDDEC-45FD-4D44-A05B-5C4656CBB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29696" y="136274"/>
          <a:ext cx="595424" cy="583748"/>
        </a:xfrm>
        <a:prstGeom prst="rect">
          <a:avLst/>
        </a:prstGeom>
        <a:noFill/>
      </xdr:spPr>
    </xdr:pic>
    <xdr:clientData/>
  </xdr:twoCellAnchor>
  <xdr:twoCellAnchor editAs="absolute">
    <xdr:from>
      <xdr:col>7</xdr:col>
      <xdr:colOff>1880995</xdr:colOff>
      <xdr:row>0</xdr:row>
      <xdr:rowOff>0</xdr:rowOff>
    </xdr:from>
    <xdr:to>
      <xdr:col>8</xdr:col>
      <xdr:colOff>282630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520E1D0D-5BAE-4C60-8D6B-12F1C8038450}"/>
            </a:ext>
          </a:extLst>
        </xdr:cNvPr>
        <xdr:cNvGrpSpPr/>
      </xdr:nvGrpSpPr>
      <xdr:grpSpPr>
        <a:xfrm>
          <a:off x="20435695" y="0"/>
          <a:ext cx="1678235" cy="116205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8F80DE62-7C87-40BB-A1CD-0AF0BA4E3BFF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B4C108D7-E65D-48DF-8586-ED64B0241342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E6EC5AC-9D7C-47D0-B8D6-301E0B6706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2268786</xdr:colOff>
      <xdr:row>0</xdr:row>
      <xdr:rowOff>0</xdr:rowOff>
    </xdr:from>
    <xdr:to>
      <xdr:col>9</xdr:col>
      <xdr:colOff>891409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5F24A33E-4A8F-4937-B510-A56AD1673C71}"/>
            </a:ext>
          </a:extLst>
        </xdr:cNvPr>
        <xdr:cNvGrpSpPr/>
      </xdr:nvGrpSpPr>
      <xdr:grpSpPr>
        <a:xfrm>
          <a:off x="24100086" y="0"/>
          <a:ext cx="1594423" cy="116205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C6CC51A5-9513-4FB7-9072-A1C47EA0EA6B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6E44A112-4415-4E9E-8D34-7074BE46E030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32E3C6E1-37E1-44C3-AF83-8AEBC106C3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2912774</xdr:colOff>
      <xdr:row>0</xdr:row>
      <xdr:rowOff>0</xdr:rowOff>
    </xdr:from>
    <xdr:to>
      <xdr:col>10</xdr:col>
      <xdr:colOff>1183310</xdr:colOff>
      <xdr:row>3</xdr:row>
      <xdr:rowOff>0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1A979B7B-01C4-46CB-AA3E-EE4D1306B55D}"/>
            </a:ext>
          </a:extLst>
        </xdr:cNvPr>
        <xdr:cNvSpPr/>
      </xdr:nvSpPr>
      <xdr:spPr>
        <a:xfrm>
          <a:off x="27723494" y="0"/>
          <a:ext cx="1554756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9</xdr:col>
      <xdr:colOff>2863278</xdr:colOff>
      <xdr:row>2</xdr:row>
      <xdr:rowOff>384583</xdr:rowOff>
    </xdr:from>
    <xdr:to>
      <xdr:col>10</xdr:col>
      <xdr:colOff>1270572</xdr:colOff>
      <xdr:row>3</xdr:row>
      <xdr:rowOff>890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id="{DED21494-93A9-4422-8F0D-23516467C4B5}"/>
            </a:ext>
          </a:extLst>
        </xdr:cNvPr>
        <xdr:cNvSpPr txBox="1"/>
      </xdr:nvSpPr>
      <xdr:spPr>
        <a:xfrm rot="10800000" flipH="1" flipV="1">
          <a:off x="27673998" y="750343"/>
          <a:ext cx="1691514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10</xdr:col>
      <xdr:colOff>164743</xdr:colOff>
      <xdr:row>0</xdr:row>
      <xdr:rowOff>136274</xdr:rowOff>
    </xdr:from>
    <xdr:to>
      <xdr:col>10</xdr:col>
      <xdr:colOff>740462</xdr:colOff>
      <xdr:row>2</xdr:row>
      <xdr:rowOff>354260</xdr:rowOff>
    </xdr:to>
    <xdr:pic>
      <xdr:nvPicPr>
        <xdr:cNvPr id="3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8EFD8E8-C6F8-4EEB-AC69-CF5967D30D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259683" y="136274"/>
          <a:ext cx="575719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11</xdr:col>
      <xdr:colOff>1356489</xdr:colOff>
      <xdr:row>0</xdr:row>
      <xdr:rowOff>0</xdr:rowOff>
    </xdr:from>
    <xdr:to>
      <xdr:col>11</xdr:col>
      <xdr:colOff>2821308</xdr:colOff>
      <xdr:row>3</xdr:row>
      <xdr:rowOff>0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88B5B153-069F-4142-8EF3-686EDC5DEDEB}"/>
            </a:ext>
          </a:extLst>
        </xdr:cNvPr>
        <xdr:cNvGrpSpPr/>
      </xdr:nvGrpSpPr>
      <xdr:grpSpPr>
        <a:xfrm>
          <a:off x="31455489" y="0"/>
          <a:ext cx="1464819" cy="1162050"/>
          <a:chOff x="12260227" y="0"/>
          <a:chExt cx="1118316" cy="770164"/>
        </a:xfrm>
      </xdr:grpSpPr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4182EF57-DDDD-4BF7-9657-D477072640A5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6" name="CaixaDeTexto 35">
            <a:extLst>
              <a:ext uri="{FF2B5EF4-FFF2-40B4-BE49-F238E27FC236}">
                <a16:creationId xmlns:a16="http://schemas.microsoft.com/office/drawing/2014/main" id="{6BAA7A9C-35CA-4235-B731-9B5F344EF6B5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7" name="Imagem 36" descr="Ícone do banco de dados (símbolo png) preto">
            <a:extLst>
              <a:ext uri="{FF2B5EF4-FFF2-40B4-BE49-F238E27FC236}">
                <a16:creationId xmlns:a16="http://schemas.microsoft.com/office/drawing/2014/main" id="{D01A82B9-85E3-49F0-8BDB-41CC1254103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2</xdr:col>
      <xdr:colOff>844992</xdr:colOff>
      <xdr:row>5</xdr:row>
      <xdr:rowOff>152399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79A7762B-3FC8-4F79-9D6D-CC7442B032C9}"/>
            </a:ext>
          </a:extLst>
        </xdr:cNvPr>
        <xdr:cNvSpPr/>
      </xdr:nvSpPr>
      <xdr:spPr>
        <a:xfrm>
          <a:off x="266700" y="1306632"/>
          <a:ext cx="341293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4</xdr:col>
      <xdr:colOff>2497575</xdr:colOff>
      <xdr:row>3</xdr:row>
      <xdr:rowOff>182100</xdr:rowOff>
    </xdr:from>
    <xdr:to>
      <xdr:col>5</xdr:col>
      <xdr:colOff>2509837</xdr:colOff>
      <xdr:row>5</xdr:row>
      <xdr:rowOff>171450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BE26145C-96FB-4AAC-B091-4EE8EF67F39F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0971015" y="1325100"/>
          <a:ext cx="3410782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3</xdr:col>
      <xdr:colOff>485775</xdr:colOff>
      <xdr:row>3</xdr:row>
      <xdr:rowOff>182100</xdr:rowOff>
    </xdr:from>
    <xdr:to>
      <xdr:col>4</xdr:col>
      <xdr:colOff>736163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2DC25CE1-011E-4D64-BA03-6A4DDE772A69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918835" y="1325100"/>
          <a:ext cx="3290768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6</xdr:col>
      <xdr:colOff>304800</xdr:colOff>
      <xdr:row>3</xdr:row>
      <xdr:rowOff>152400</xdr:rowOff>
    </xdr:from>
    <xdr:to>
      <xdr:col>7</xdr:col>
      <xdr:colOff>974288</xdr:colOff>
      <xdr:row>5</xdr:row>
      <xdr:rowOff>141750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FAB5D8E0-E99C-45AD-BE70-63EDB919C4BD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23920" y="1295400"/>
          <a:ext cx="3405068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en-US" sz="2000" b="1" i="0" u="none" strike="noStrike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CONTROLE DE VENDAS</a:t>
          </a:r>
          <a:endParaRPr lang="en-US" sz="2000" b="1" i="0" u="none" strike="noStrike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7</xdr:col>
      <xdr:colOff>2341587</xdr:colOff>
      <xdr:row>3</xdr:row>
      <xdr:rowOff>133350</xdr:rowOff>
    </xdr:from>
    <xdr:to>
      <xdr:col>8</xdr:col>
      <xdr:colOff>2496725</xdr:colOff>
      <xdr:row>5</xdr:row>
      <xdr:rowOff>164263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E294790B-3283-46BC-A6D5-370BBC14FF8D}"/>
            </a:ext>
          </a:extLst>
        </xdr:cNvPr>
        <xdr:cNvSpPr/>
      </xdr:nvSpPr>
      <xdr:spPr>
        <a:xfrm>
          <a:off x="20896287" y="1276350"/>
          <a:ext cx="3439358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0</xdr:colOff>
      <xdr:row>48</xdr:row>
      <xdr:rowOff>65315</xdr:rowOff>
    </xdr:from>
    <xdr:to>
      <xdr:col>9</xdr:col>
      <xdr:colOff>0</xdr:colOff>
      <xdr:row>51</xdr:row>
      <xdr:rowOff>78037</xdr:rowOff>
    </xdr:to>
    <xdr:sp macro="" textlink="">
      <xdr:nvSpPr>
        <xdr:cNvPr id="43" name="Retângulo Arredondado 11">
          <a:extLst>
            <a:ext uri="{FF2B5EF4-FFF2-40B4-BE49-F238E27FC236}">
              <a16:creationId xmlns:a16="http://schemas.microsoft.com/office/drawing/2014/main" id="{A92927E7-F24D-4CF5-B191-D3A3E0179D19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4810720" y="1733985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1251778</xdr:colOff>
      <xdr:row>2</xdr:row>
      <xdr:rowOff>133894</xdr:rowOff>
    </xdr:from>
    <xdr:to>
      <xdr:col>2</xdr:col>
      <xdr:colOff>2368113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83D5E041-A820-42A9-8EDD-E896C35E9BD3}"/>
            </a:ext>
          </a:extLst>
        </xdr:cNvPr>
        <xdr:cNvSpPr txBox="1"/>
      </xdr:nvSpPr>
      <xdr:spPr>
        <a:xfrm rot="10800000" flipH="1" flipV="1">
          <a:off x="4459798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2</xdr:col>
      <xdr:colOff>1588603</xdr:colOff>
      <xdr:row>0</xdr:row>
      <xdr:rowOff>91651</xdr:rowOff>
    </xdr:from>
    <xdr:to>
      <xdr:col>2</xdr:col>
      <xdr:colOff>2005839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4798356-3059-4C7A-A1C3-FD6D811128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96623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1</xdr:col>
      <xdr:colOff>1628775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151C0E0A-CC9C-4691-877A-0F77F0498F58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38375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</xdr:col>
      <xdr:colOff>1785937</xdr:colOff>
      <xdr:row>0</xdr:row>
      <xdr:rowOff>0</xdr:rowOff>
    </xdr:from>
    <xdr:to>
      <xdr:col>2</xdr:col>
      <xdr:colOff>714988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20654A7B-DA37-4E3A-8F2F-E2B1BED11B28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395537" y="0"/>
          <a:ext cx="1519851" cy="116205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37E2DBB9-9553-44FF-A876-C945500ECC14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C3277C0C-E4EB-4DE1-8F0D-3C79951FD12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7D99EA0D-2C87-4FDE-B188-872793E5C779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3</xdr:col>
      <xdr:colOff>59317</xdr:colOff>
      <xdr:row>0</xdr:row>
      <xdr:rowOff>0</xdr:rowOff>
    </xdr:from>
    <xdr:to>
      <xdr:col>3</xdr:col>
      <xdr:colOff>1514323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4DFCDEDF-EDC7-4C36-B086-197EBEA4FC24}"/>
            </a:ext>
          </a:extLst>
        </xdr:cNvPr>
        <xdr:cNvGrpSpPr/>
      </xdr:nvGrpSpPr>
      <xdr:grpSpPr>
        <a:xfrm>
          <a:off x="6041017" y="0"/>
          <a:ext cx="1455006" cy="116205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47203729-750E-4C4B-8E5D-6C23F8AD8985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9904110F-D290-452E-959B-87C66C2808BD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4C6252C-052E-41FB-B051-F557856EB81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4</xdr:col>
      <xdr:colOff>1536118</xdr:colOff>
      <xdr:row>0</xdr:row>
      <xdr:rowOff>0</xdr:rowOff>
    </xdr:from>
    <xdr:to>
      <xdr:col>5</xdr:col>
      <xdr:colOff>1217032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60FB8500-DDC7-4AD3-AC90-30079398B2DF}"/>
            </a:ext>
          </a:extLst>
        </xdr:cNvPr>
        <xdr:cNvSpPr/>
      </xdr:nvSpPr>
      <xdr:spPr>
        <a:xfrm>
          <a:off x="9582838" y="0"/>
          <a:ext cx="1463994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1486622</xdr:colOff>
      <xdr:row>2</xdr:row>
      <xdr:rowOff>384583</xdr:rowOff>
    </xdr:from>
    <xdr:to>
      <xdr:col>5</xdr:col>
      <xdr:colOff>1304294</xdr:colOff>
      <xdr:row>3</xdr:row>
      <xdr:rowOff>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3025522A-48D0-4352-AF99-1F6B10391547}"/>
            </a:ext>
          </a:extLst>
        </xdr:cNvPr>
        <xdr:cNvSpPr txBox="1"/>
      </xdr:nvSpPr>
      <xdr:spPr>
        <a:xfrm rot="10800000" flipH="1" flipV="1">
          <a:off x="9533342" y="750343"/>
          <a:ext cx="1600752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5</xdr:col>
      <xdr:colOff>239878</xdr:colOff>
      <xdr:row>0</xdr:row>
      <xdr:rowOff>136274</xdr:rowOff>
    </xdr:from>
    <xdr:to>
      <xdr:col>5</xdr:col>
      <xdr:colOff>837554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5AE752F-C78F-41CB-89EA-6E9931030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69678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6</xdr:col>
      <xdr:colOff>367246</xdr:colOff>
      <xdr:row>0</xdr:row>
      <xdr:rowOff>0</xdr:rowOff>
    </xdr:from>
    <xdr:to>
      <xdr:col>8</xdr:col>
      <xdr:colOff>164837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C2AB965B-B06B-45F5-BFB4-EB69DA2FB9E0}"/>
            </a:ext>
          </a:extLst>
        </xdr:cNvPr>
        <xdr:cNvSpPr/>
      </xdr:nvSpPr>
      <xdr:spPr>
        <a:xfrm>
          <a:off x="13275526" y="0"/>
          <a:ext cx="147399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317969</xdr:colOff>
      <xdr:row>2</xdr:row>
      <xdr:rowOff>384583</xdr:rowOff>
    </xdr:from>
    <xdr:to>
      <xdr:col>8</xdr:col>
      <xdr:colOff>251713</xdr:colOff>
      <xdr:row>3</xdr:row>
      <xdr:rowOff>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440BA069-CA6B-4720-B128-12D31D51F85C}"/>
            </a:ext>
          </a:extLst>
        </xdr:cNvPr>
        <xdr:cNvSpPr txBox="1"/>
      </xdr:nvSpPr>
      <xdr:spPr>
        <a:xfrm rot="10800000" flipH="1" flipV="1">
          <a:off x="13226249" y="750343"/>
          <a:ext cx="1610144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6</xdr:col>
      <xdr:colOff>799666</xdr:colOff>
      <xdr:row>0</xdr:row>
      <xdr:rowOff>136274</xdr:rowOff>
    </xdr:from>
    <xdr:to>
      <xdr:col>7</xdr:col>
      <xdr:colOff>317524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550BE50-C25D-42B4-8B9C-18A37AABFB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707946" y="136274"/>
          <a:ext cx="584658" cy="583748"/>
        </a:xfrm>
        <a:prstGeom prst="rect">
          <a:avLst/>
        </a:prstGeom>
      </xdr:spPr>
    </xdr:pic>
    <xdr:clientData/>
  </xdr:twoCellAnchor>
  <xdr:twoCellAnchor editAs="absolute">
    <xdr:from>
      <xdr:col>11</xdr:col>
      <xdr:colOff>537231</xdr:colOff>
      <xdr:row>0</xdr:row>
      <xdr:rowOff>0</xdr:rowOff>
    </xdr:from>
    <xdr:to>
      <xdr:col>13</xdr:col>
      <xdr:colOff>279677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B7021D7F-3951-462F-9369-768A0B9D6BD2}"/>
            </a:ext>
          </a:extLst>
        </xdr:cNvPr>
        <xdr:cNvSpPr/>
      </xdr:nvSpPr>
      <xdr:spPr>
        <a:xfrm>
          <a:off x="16950711" y="0"/>
          <a:ext cx="15331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487310</xdr:colOff>
      <xdr:row>2</xdr:row>
      <xdr:rowOff>384583</xdr:rowOff>
    </xdr:from>
    <xdr:to>
      <xdr:col>13</xdr:col>
      <xdr:colOff>367688</xdr:colOff>
      <xdr:row>3</xdr:row>
      <xdr:rowOff>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F92EAF75-6F40-4935-B23C-465069E2515D}"/>
            </a:ext>
          </a:extLst>
        </xdr:cNvPr>
        <xdr:cNvSpPr txBox="1"/>
      </xdr:nvSpPr>
      <xdr:spPr>
        <a:xfrm rot="10800000" flipH="1" flipV="1">
          <a:off x="16900790" y="750343"/>
          <a:ext cx="1671078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11</xdr:col>
      <xdr:colOff>986701</xdr:colOff>
      <xdr:row>0</xdr:row>
      <xdr:rowOff>136274</xdr:rowOff>
    </xdr:from>
    <xdr:to>
      <xdr:col>12</xdr:col>
      <xdr:colOff>17303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A312CC3-779F-47FB-9D95-E7C6A453D7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400181" y="136274"/>
          <a:ext cx="638422" cy="583748"/>
        </a:xfrm>
        <a:prstGeom prst="rect">
          <a:avLst/>
        </a:prstGeom>
        <a:noFill/>
      </xdr:spPr>
    </xdr:pic>
    <xdr:clientData/>
  </xdr:twoCellAnchor>
  <xdr:twoCellAnchor editAs="absolute">
    <xdr:from>
      <xdr:col>13</xdr:col>
      <xdr:colOff>2282406</xdr:colOff>
      <xdr:row>0</xdr:row>
      <xdr:rowOff>0</xdr:rowOff>
    </xdr:from>
    <xdr:to>
      <xdr:col>14</xdr:col>
      <xdr:colOff>459523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168C51A8-263A-44D2-80B9-90C6E36E8EB2}"/>
            </a:ext>
          </a:extLst>
        </xdr:cNvPr>
        <xdr:cNvGrpSpPr/>
      </xdr:nvGrpSpPr>
      <xdr:grpSpPr>
        <a:xfrm>
          <a:off x="20494206" y="0"/>
          <a:ext cx="1682317" cy="116205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A61185AC-4304-4412-ACE0-5312329921A8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5B53F89B-49F4-4AA1-9D4F-9CB87E00B687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0525605-A104-408A-A49A-0470A96DEB6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18</xdr:col>
      <xdr:colOff>118857</xdr:colOff>
      <xdr:row>0</xdr:row>
      <xdr:rowOff>0</xdr:rowOff>
    </xdr:from>
    <xdr:to>
      <xdr:col>20</xdr:col>
      <xdr:colOff>459383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6D3D15C1-7F97-4677-9794-14CF9BE511F2}"/>
            </a:ext>
          </a:extLst>
        </xdr:cNvPr>
        <xdr:cNvGrpSpPr/>
      </xdr:nvGrpSpPr>
      <xdr:grpSpPr>
        <a:xfrm>
          <a:off x="24274257" y="0"/>
          <a:ext cx="1559726" cy="116205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19237A4B-74D7-4B63-B0C9-159FB4413689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BFC072F8-C47F-44F9-BEFA-E947802E0C27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B69C0BF-9B23-4260-B44D-28397D57DF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24</xdr:col>
      <xdr:colOff>140319</xdr:colOff>
      <xdr:row>0</xdr:row>
      <xdr:rowOff>0</xdr:rowOff>
    </xdr:from>
    <xdr:to>
      <xdr:col>26</xdr:col>
      <xdr:colOff>434917</xdr:colOff>
      <xdr:row>3</xdr:row>
      <xdr:rowOff>0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26897FC0-0E99-4F83-83B1-CE4DADE3708B}"/>
            </a:ext>
          </a:extLst>
        </xdr:cNvPr>
        <xdr:cNvSpPr/>
      </xdr:nvSpPr>
      <xdr:spPr>
        <a:xfrm>
          <a:off x="27945699" y="0"/>
          <a:ext cx="1513798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24</xdr:col>
      <xdr:colOff>90823</xdr:colOff>
      <xdr:row>2</xdr:row>
      <xdr:rowOff>384583</xdr:rowOff>
    </xdr:from>
    <xdr:to>
      <xdr:col>26</xdr:col>
      <xdr:colOff>522179</xdr:colOff>
      <xdr:row>3</xdr:row>
      <xdr:rowOff>890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id="{64921432-1966-4B97-9677-8FEB539EDAE4}"/>
            </a:ext>
          </a:extLst>
        </xdr:cNvPr>
        <xdr:cNvSpPr txBox="1"/>
      </xdr:nvSpPr>
      <xdr:spPr>
        <a:xfrm rot="10800000" flipH="1" flipV="1">
          <a:off x="27896203" y="750343"/>
          <a:ext cx="1650556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25</xdr:col>
      <xdr:colOff>1457</xdr:colOff>
      <xdr:row>0</xdr:row>
      <xdr:rowOff>136274</xdr:rowOff>
    </xdr:from>
    <xdr:to>
      <xdr:col>25</xdr:col>
      <xdr:colOff>577176</xdr:colOff>
      <xdr:row>2</xdr:row>
      <xdr:rowOff>354260</xdr:rowOff>
    </xdr:to>
    <xdr:pic>
      <xdr:nvPicPr>
        <xdr:cNvPr id="3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E7827B3-4DB9-4BAB-8506-FEBBEAD056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416437" y="136274"/>
          <a:ext cx="575719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30</xdr:col>
      <xdr:colOff>233899</xdr:colOff>
      <xdr:row>0</xdr:row>
      <xdr:rowOff>0</xdr:rowOff>
    </xdr:from>
    <xdr:to>
      <xdr:col>32</xdr:col>
      <xdr:colOff>527824</xdr:colOff>
      <xdr:row>3</xdr:row>
      <xdr:rowOff>0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FC4CCED8-F275-4F37-9416-F68043A4C9F1}"/>
            </a:ext>
          </a:extLst>
        </xdr:cNvPr>
        <xdr:cNvGrpSpPr/>
      </xdr:nvGrpSpPr>
      <xdr:grpSpPr>
        <a:xfrm>
          <a:off x="31704499" y="0"/>
          <a:ext cx="1513125" cy="1162050"/>
          <a:chOff x="12260227" y="0"/>
          <a:chExt cx="1118316" cy="770164"/>
        </a:xfrm>
      </xdr:grpSpPr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88DA5204-82CC-4477-A746-C18DD1876A1E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6" name="CaixaDeTexto 35">
            <a:extLst>
              <a:ext uri="{FF2B5EF4-FFF2-40B4-BE49-F238E27FC236}">
                <a16:creationId xmlns:a16="http://schemas.microsoft.com/office/drawing/2014/main" id="{70262052-CE87-4B14-ADD2-487CAC7E6518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7" name="Imagem 36" descr="Ícone do banco de dados (símbolo png) preto">
            <a:extLst>
              <a:ext uri="{FF2B5EF4-FFF2-40B4-BE49-F238E27FC236}">
                <a16:creationId xmlns:a16="http://schemas.microsoft.com/office/drawing/2014/main" id="{B31DE80D-3325-4ECC-B04B-2617F38CA42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2</xdr:col>
      <xdr:colOff>481000</xdr:colOff>
      <xdr:row>5</xdr:row>
      <xdr:rowOff>152399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749372B5-CD54-47F4-B1A5-A4B24A201E6D}"/>
            </a:ext>
          </a:extLst>
        </xdr:cNvPr>
        <xdr:cNvSpPr/>
      </xdr:nvSpPr>
      <xdr:spPr>
        <a:xfrm>
          <a:off x="266700" y="1306632"/>
          <a:ext cx="3422320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5</xdr:col>
      <xdr:colOff>1181084</xdr:colOff>
      <xdr:row>3</xdr:row>
      <xdr:rowOff>182100</xdr:rowOff>
    </xdr:from>
    <xdr:to>
      <xdr:col>7</xdr:col>
      <xdr:colOff>482372</xdr:colOff>
      <xdr:row>5</xdr:row>
      <xdr:rowOff>171450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A950617C-8E89-448A-B000-C987B53B0D0E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10884" y="1325100"/>
          <a:ext cx="3446568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2</xdr:col>
      <xdr:colOff>2645908</xdr:colOff>
      <xdr:row>3</xdr:row>
      <xdr:rowOff>182100</xdr:rowOff>
    </xdr:from>
    <xdr:to>
      <xdr:col>4</xdr:col>
      <xdr:colOff>1147779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5135E069-0ADE-4FA1-8A22-ACC57AD5A9C4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53928" y="1325100"/>
          <a:ext cx="3340571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10</xdr:col>
      <xdr:colOff>355826</xdr:colOff>
      <xdr:row>3</xdr:row>
      <xdr:rowOff>152400</xdr:rowOff>
    </xdr:from>
    <xdr:to>
      <xdr:col>13</xdr:col>
      <xdr:colOff>1375699</xdr:colOff>
      <xdr:row>5</xdr:row>
      <xdr:rowOff>141750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81C3CC7B-48C1-4AE1-9D8E-8D936D0FB4BD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59706" y="1295400"/>
          <a:ext cx="3420173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 COMPRAS</a:t>
          </a:r>
        </a:p>
      </xdr:txBody>
    </xdr:sp>
    <xdr:clientData/>
  </xdr:twoCellAnchor>
  <xdr:twoCellAnchor editAs="absolute">
    <xdr:from>
      <xdr:col>13</xdr:col>
      <xdr:colOff>2742998</xdr:colOff>
      <xdr:row>3</xdr:row>
      <xdr:rowOff>133350</xdr:rowOff>
    </xdr:from>
    <xdr:to>
      <xdr:col>18</xdr:col>
      <xdr:colOff>346796</xdr:colOff>
      <xdr:row>5</xdr:row>
      <xdr:rowOff>164263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DDE728BB-D224-43E7-92EA-6A8A3F65FEB4}"/>
            </a:ext>
          </a:extLst>
        </xdr:cNvPr>
        <xdr:cNvSpPr/>
      </xdr:nvSpPr>
      <xdr:spPr>
        <a:xfrm>
          <a:off x="20947178" y="1276350"/>
          <a:ext cx="3547398" cy="800533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7ABBBEF2-1B58-443F-8576-61F39CC15992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4BFC158-3EED-4A67-BE64-37D42A8392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D2B15F83-15A7-4C48-97B7-59195C5664E5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957A05CF-7B40-4821-874B-67F3048DFF71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1047750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8E8E5DF8-5990-41F5-96BE-59F38554DC90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0983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DD19E2C7-2FAB-40FF-A34E-CF4230366A33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10</xdr:col>
      <xdr:colOff>819150</xdr:colOff>
      <xdr:row>3</xdr:row>
      <xdr:rowOff>152400</xdr:rowOff>
    </xdr:from>
    <xdr:to>
      <xdr:col>11</xdr:col>
      <xdr:colOff>2198250</xdr:colOff>
      <xdr:row>5</xdr:row>
      <xdr:rowOff>141750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544DB1CB-8B7A-48DC-BD39-2C37DF31748B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27730" y="12954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12</xdr:col>
      <xdr:colOff>617562</xdr:colOff>
      <xdr:row>3</xdr:row>
      <xdr:rowOff>133350</xdr:rowOff>
    </xdr:from>
    <xdr:to>
      <xdr:col>13</xdr:col>
      <xdr:colOff>2701512</xdr:colOff>
      <xdr:row>5</xdr:row>
      <xdr:rowOff>164263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F4A65915-D753-4195-AA58-1FAA8EE4B117}"/>
            </a:ext>
          </a:extLst>
        </xdr:cNvPr>
        <xdr:cNvSpPr/>
      </xdr:nvSpPr>
      <xdr:spPr>
        <a:xfrm>
          <a:off x="20955342" y="1276350"/>
          <a:ext cx="340221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C77BEC7F-B84D-4616-ABBF-2FE2E09CCD85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00300" y="0"/>
          <a:ext cx="1459980" cy="1162050"/>
          <a:chOff x="1993654" y="0"/>
          <a:chExt cx="1022595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5130CB73-7CB1-4A92-89B5-D246F61322CE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5E8CF82-3EC3-4A1C-AC10-D522F6E889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EE5BB574-E329-435D-A4F0-74B7CB93DF26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F56ACFB5-D050-4A21-B0CB-6387474C63E2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FB36C216-2FE5-437C-A2B3-2E635286611A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D5D3D41-68FC-4005-BB08-484B08E2CC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F033FD16-E930-4BF9-BE46-B1E6302C4F46}"/>
            </a:ext>
          </a:extLst>
        </xdr:cNvPr>
        <xdr:cNvGrpSpPr/>
      </xdr:nvGrpSpPr>
      <xdr:grpSpPr>
        <a:xfrm>
          <a:off x="9528443" y="0"/>
          <a:ext cx="1598167" cy="1162050"/>
          <a:chOff x="4450172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5C952D8B-7C8A-4232-B8AC-B50E6E815715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5FF35378-75FD-4174-8970-0712F2D97573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6815A45-0C62-4789-9074-FA96D7EEFB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1335104</xdr:colOff>
      <xdr:row>0</xdr:row>
      <xdr:rowOff>0</xdr:rowOff>
    </xdr:from>
    <xdr:to>
      <xdr:col>9</xdr:col>
      <xdr:colOff>1364098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7F2F2125-DFF3-4380-A4CF-D760848D4B40}"/>
            </a:ext>
          </a:extLst>
        </xdr:cNvPr>
        <xdr:cNvGrpSpPr/>
      </xdr:nvGrpSpPr>
      <xdr:grpSpPr>
        <a:xfrm>
          <a:off x="13165154" y="0"/>
          <a:ext cx="1591094" cy="1162050"/>
          <a:chOff x="578122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43F63B15-BA65-4083-B9AB-E266074B8158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FA1DAF88-D56F-441E-843C-1CAE5A0B097C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BA7D733-EAF8-4CC5-B59E-64294D68C6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1497641</xdr:colOff>
      <xdr:row>0</xdr:row>
      <xdr:rowOff>0</xdr:rowOff>
    </xdr:from>
    <xdr:to>
      <xdr:col>11</xdr:col>
      <xdr:colOff>1090227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940F052C-E3EC-4ECD-B71F-ECF75474CF06}"/>
            </a:ext>
          </a:extLst>
        </xdr:cNvPr>
        <xdr:cNvGrpSpPr/>
      </xdr:nvGrpSpPr>
      <xdr:grpSpPr>
        <a:xfrm>
          <a:off x="16794791" y="0"/>
          <a:ext cx="1611886" cy="1162050"/>
          <a:chOff x="711229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AA078A7D-97DD-4B1A-B779-3222E0A6BE9F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DBAE5E03-E6CD-40D0-BF7A-510106656763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2FAC914-2630-4BE3-8898-708569F3B9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118870</xdr:colOff>
      <xdr:row>0</xdr:row>
      <xdr:rowOff>0</xdr:rowOff>
    </xdr:from>
    <xdr:to>
      <xdr:col>13</xdr:col>
      <xdr:colOff>396930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2F63A7BF-D9BE-4BF0-8DEB-12BEFA65CB2D}"/>
            </a:ext>
          </a:extLst>
        </xdr:cNvPr>
        <xdr:cNvGrpSpPr/>
      </xdr:nvGrpSpPr>
      <xdr:grpSpPr>
        <a:xfrm>
          <a:off x="20445220" y="0"/>
          <a:ext cx="1592510" cy="1162050"/>
          <a:chOff x="8443355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6490CA0B-AD87-453F-910C-B6CA027076A4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34775F37-6327-493A-8FDC-4C6E081364FC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30AB5AB-191F-426D-96AE-8173996B2D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2484706</xdr:colOff>
      <xdr:row>0</xdr:row>
      <xdr:rowOff>0</xdr:rowOff>
    </xdr:from>
    <xdr:to>
      <xdr:col>14</xdr:col>
      <xdr:colOff>661737</xdr:colOff>
      <xdr:row>3</xdr:row>
      <xdr:rowOff>0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37DFE93D-2A47-4B7E-B6FD-37445D6BE0A4}"/>
            </a:ext>
          </a:extLst>
        </xdr:cNvPr>
        <xdr:cNvSpPr/>
      </xdr:nvSpPr>
      <xdr:spPr>
        <a:xfrm>
          <a:off x="24140746" y="0"/>
          <a:ext cx="146125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2435473</xdr:colOff>
      <xdr:row>2</xdr:row>
      <xdr:rowOff>384583</xdr:rowOff>
    </xdr:from>
    <xdr:to>
      <xdr:col>14</xdr:col>
      <xdr:colOff>748534</xdr:colOff>
      <xdr:row>2</xdr:row>
      <xdr:rowOff>762890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17B8FA49-1E15-4B71-A6CE-B6E951261D02}"/>
            </a:ext>
          </a:extLst>
        </xdr:cNvPr>
        <xdr:cNvSpPr txBox="1"/>
      </xdr:nvSpPr>
      <xdr:spPr>
        <a:xfrm rot="10800000" flipH="1" flipV="1">
          <a:off x="24091513" y="750343"/>
          <a:ext cx="159728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13</xdr:col>
      <xdr:colOff>2922766</xdr:colOff>
      <xdr:row>0</xdr:row>
      <xdr:rowOff>136274</xdr:rowOff>
    </xdr:from>
    <xdr:to>
      <xdr:col>14</xdr:col>
      <xdr:colOff>223674</xdr:colOff>
      <xdr:row>2</xdr:row>
      <xdr:rowOff>354260</xdr:rowOff>
    </xdr:to>
    <xdr:pic>
      <xdr:nvPicPr>
        <xdr:cNvPr id="37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6F42E6-0D6A-4B7C-9C0B-CC18D9A0FD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78806" y="136274"/>
          <a:ext cx="585128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767778</xdr:colOff>
      <xdr:row>0</xdr:row>
      <xdr:rowOff>0</xdr:rowOff>
    </xdr:from>
    <xdr:to>
      <xdr:col>15</xdr:col>
      <xdr:colOff>2365947</xdr:colOff>
      <xdr:row>3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B6FBA535-F8C0-4CFA-844B-96C95D2E75C3}"/>
            </a:ext>
          </a:extLst>
        </xdr:cNvPr>
        <xdr:cNvGrpSpPr/>
      </xdr:nvGrpSpPr>
      <xdr:grpSpPr>
        <a:xfrm>
          <a:off x="27704478" y="0"/>
          <a:ext cx="1598169" cy="1162050"/>
          <a:chOff x="11105473" y="0"/>
          <a:chExt cx="1118289" cy="781538"/>
        </a:xfrm>
      </xdr:grpSpPr>
      <xdr:sp macro="" textlink="">
        <xdr:nvSpPr>
          <xdr:cNvPr id="39" name="Retângulo 38">
            <a:extLst>
              <a:ext uri="{FF2B5EF4-FFF2-40B4-BE49-F238E27FC236}">
                <a16:creationId xmlns:a16="http://schemas.microsoft.com/office/drawing/2014/main" id="{4BA07CAC-DE4C-46A9-AD0F-CB0C106EA839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CaixaDeTexto 39">
            <a:extLst>
              <a:ext uri="{FF2B5EF4-FFF2-40B4-BE49-F238E27FC236}">
                <a16:creationId xmlns:a16="http://schemas.microsoft.com/office/drawing/2014/main" id="{00257622-B45E-4F16-9076-EF2ACDE2DD21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41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E45C1A5-2539-4D67-A45E-9A863880AA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4404489</xdr:colOff>
      <xdr:row>0</xdr:row>
      <xdr:rowOff>0</xdr:rowOff>
    </xdr:from>
    <xdr:to>
      <xdr:col>16</xdr:col>
      <xdr:colOff>973458</xdr:colOff>
      <xdr:row>3</xdr:row>
      <xdr:rowOff>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4FC01CAC-88CC-46E1-9CAB-0E19162D3075}"/>
            </a:ext>
          </a:extLst>
        </xdr:cNvPr>
        <xdr:cNvGrpSpPr/>
      </xdr:nvGrpSpPr>
      <xdr:grpSpPr>
        <a:xfrm>
          <a:off x="31341189" y="0"/>
          <a:ext cx="1598169" cy="1162050"/>
          <a:chOff x="12260227" y="0"/>
          <a:chExt cx="1118316" cy="770164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id="{2B98FCD2-21D2-401F-B712-EC35ECBCEE4F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id="{AC07692E-C12A-4355-A95F-9E0AE0209B16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5" name="Imagem 44" descr="Ícone do banco de dados (símbolo png) preto">
            <a:extLst>
              <a:ext uri="{FF2B5EF4-FFF2-40B4-BE49-F238E27FC236}">
                <a16:creationId xmlns:a16="http://schemas.microsoft.com/office/drawing/2014/main" id="{DC7A300B-7C6D-4512-AEC5-28C9FA2BEA8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6</xdr:col>
      <xdr:colOff>1257300</xdr:colOff>
      <xdr:row>10</xdr:row>
      <xdr:rowOff>152400</xdr:rowOff>
    </xdr:from>
    <xdr:to>
      <xdr:col>14</xdr:col>
      <xdr:colOff>781050</xdr:colOff>
      <xdr:row>48</xdr:row>
      <xdr:rowOff>351322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D955D960-7290-4092-A296-1C5779A71F12}"/>
            </a:ext>
            <a:ext uri="{147F2762-F138-4A5C-976F-8EAC2B608ADB}">
              <a16:predDERef xmlns:a16="http://schemas.microsoft.com/office/drawing/2014/main" pred="{45AAF0B4-637A-42E1-B7D2-A6E46851A7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>
          <a:alphaModFix amt="23000"/>
          <a:extLst>
            <a:ext uri="{BEBA8EAE-BF5A-486C-A8C5-ECC9F3942E4B}">
              <a14:imgProps xmlns:a14="http://schemas.microsoft.com/office/drawing/2010/main">
                <a14:imgLayer r:embed="rId25">
                  <a14:imgEffect>
                    <a14:brightnessContrast contrast="1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8158" b="8325"/>
        <a:stretch/>
      </xdr:blipFill>
      <xdr:spPr>
        <a:xfrm>
          <a:off x="10248900" y="3562350"/>
          <a:ext cx="15449550" cy="13953022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D1D9B888-E40D-4E39-A3C6-AF383DC3152F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3C908F9-0C82-426F-B27E-C64DCB8F0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1FE36323-3B0A-4619-8BFC-BF157A2E5BE2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EDEB5DB2-1DF9-41B6-B4EB-F14EDF925036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1047750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2A50D3C5-2056-4615-9C90-E354DE61732D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25100"/>
          <a:ext cx="340983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A49CAAFB-08C5-41F5-A38F-D3A257DCC833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10</xdr:col>
      <xdr:colOff>819150</xdr:colOff>
      <xdr:row>3</xdr:row>
      <xdr:rowOff>152400</xdr:rowOff>
    </xdr:from>
    <xdr:to>
      <xdr:col>11</xdr:col>
      <xdr:colOff>2198250</xdr:colOff>
      <xdr:row>5</xdr:row>
      <xdr:rowOff>141750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3AE4387B-25FB-42E4-86A5-CFA9FF55C7A7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5350" y="12954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12</xdr:col>
      <xdr:colOff>617562</xdr:colOff>
      <xdr:row>3</xdr:row>
      <xdr:rowOff>133350</xdr:rowOff>
    </xdr:from>
    <xdr:to>
      <xdr:col>13</xdr:col>
      <xdr:colOff>2701512</xdr:colOff>
      <xdr:row>5</xdr:row>
      <xdr:rowOff>164263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D6C2407-8032-4783-9759-B614C8FAB780}"/>
            </a:ext>
          </a:extLst>
        </xdr:cNvPr>
        <xdr:cNvSpPr/>
      </xdr:nvSpPr>
      <xdr:spPr>
        <a:xfrm>
          <a:off x="20955342" y="1276350"/>
          <a:ext cx="340983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:a16="http://schemas.microsoft.com/office/drawing/2014/main" id="{BAEEB1AC-F54C-4E2A-AC35-0491B58A5C0C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166366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2C00CF96-F69C-4CFB-B68E-EA5C28166061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00300" y="0"/>
          <a:ext cx="1459980" cy="1162050"/>
          <a:chOff x="1993654" y="0"/>
          <a:chExt cx="1022595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EC46E750-0121-4F6C-B6E3-0CD157561CCA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D6C59BC-409D-4D0D-8456-64F6DD50FBF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3E5F68BE-52E3-4DFF-B7FE-366F633E7775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35FC8DB3-61D5-418B-828B-66B48CE2C913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3</xdr:row>
      <xdr:rowOff>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D7E87DCD-AB9E-4E09-9CDB-5E74E4A3F5FC}"/>
            </a:ext>
          </a:extLst>
        </xdr:cNvPr>
        <xdr:cNvSpPr txBox="1"/>
      </xdr:nvSpPr>
      <xdr:spPr>
        <a:xfrm rot="10800000" flipH="1" flipV="1">
          <a:off x="5898823" y="750343"/>
          <a:ext cx="1598697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E67D2F-1030-4819-80A3-29F106A926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F122864C-47D4-41AC-9877-2176DD006F3E}"/>
            </a:ext>
          </a:extLst>
        </xdr:cNvPr>
        <xdr:cNvGrpSpPr/>
      </xdr:nvGrpSpPr>
      <xdr:grpSpPr>
        <a:xfrm>
          <a:off x="9528443" y="0"/>
          <a:ext cx="1598167" cy="1162050"/>
          <a:chOff x="4450172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B3CFF071-75BB-4108-A785-81C262B592A2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315F9FF9-8944-4CAC-BFF7-9C34D97B78DB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3683C47-CCCB-4581-8C87-5299DDCB4A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1335104</xdr:colOff>
      <xdr:row>0</xdr:row>
      <xdr:rowOff>0</xdr:rowOff>
    </xdr:from>
    <xdr:to>
      <xdr:col>9</xdr:col>
      <xdr:colOff>1364098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C67FCEE7-B83E-40CC-8033-635F44FFA62D}"/>
            </a:ext>
          </a:extLst>
        </xdr:cNvPr>
        <xdr:cNvGrpSpPr/>
      </xdr:nvGrpSpPr>
      <xdr:grpSpPr>
        <a:xfrm>
          <a:off x="13165154" y="0"/>
          <a:ext cx="1591094" cy="1162050"/>
          <a:chOff x="578122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CD472E35-0322-434A-BAD6-583B18EF6B88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3946920D-AF54-46C9-A3F8-D0C21A8C5786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C63EE59-0A6E-453D-8146-A94BC321360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1497641</xdr:colOff>
      <xdr:row>0</xdr:row>
      <xdr:rowOff>0</xdr:rowOff>
    </xdr:from>
    <xdr:to>
      <xdr:col>11</xdr:col>
      <xdr:colOff>1090227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8549E514-1394-44D8-AC4B-C1C5BBDF5ABD}"/>
            </a:ext>
          </a:extLst>
        </xdr:cNvPr>
        <xdr:cNvGrpSpPr/>
      </xdr:nvGrpSpPr>
      <xdr:grpSpPr>
        <a:xfrm>
          <a:off x="16794791" y="0"/>
          <a:ext cx="1611886" cy="1162050"/>
          <a:chOff x="711229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90A17C05-0E68-4E21-AF3C-A11EE30AEA56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EAADB612-533C-4BA7-AB3A-A56E89AB794D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3A415D2C-AA7D-451B-BEB1-35BD7E1967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118870</xdr:colOff>
      <xdr:row>0</xdr:row>
      <xdr:rowOff>0</xdr:rowOff>
    </xdr:from>
    <xdr:to>
      <xdr:col>13</xdr:col>
      <xdr:colOff>396930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890B27A4-80BB-43FD-AD3C-0EA880EE5843}"/>
            </a:ext>
          </a:extLst>
        </xdr:cNvPr>
        <xdr:cNvGrpSpPr/>
      </xdr:nvGrpSpPr>
      <xdr:grpSpPr>
        <a:xfrm>
          <a:off x="20426170" y="0"/>
          <a:ext cx="1611560" cy="1162050"/>
          <a:chOff x="8443355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84EAF4DB-62A1-47F6-BD2E-AE60A6FF2F6E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13EFFC2E-6C63-4E37-919F-2CB3659D3A2A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AA45D8A-8F4A-43D6-85CF-7AEF3E0605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2484706</xdr:colOff>
      <xdr:row>0</xdr:row>
      <xdr:rowOff>0</xdr:rowOff>
    </xdr:from>
    <xdr:to>
      <xdr:col>14</xdr:col>
      <xdr:colOff>661737</xdr:colOff>
      <xdr:row>3</xdr:row>
      <xdr:rowOff>0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D3F35492-FFD0-442B-B25E-568B58B7E561}"/>
            </a:ext>
          </a:extLst>
        </xdr:cNvPr>
        <xdr:cNvSpPr/>
      </xdr:nvSpPr>
      <xdr:spPr>
        <a:xfrm>
          <a:off x="24148366" y="0"/>
          <a:ext cx="146125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2435473</xdr:colOff>
      <xdr:row>2</xdr:row>
      <xdr:rowOff>384583</xdr:rowOff>
    </xdr:from>
    <xdr:to>
      <xdr:col>14</xdr:col>
      <xdr:colOff>748534</xdr:colOff>
      <xdr:row>3</xdr:row>
      <xdr:rowOff>890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303DC4A5-E058-4001-8CA0-348D1BC38924}"/>
            </a:ext>
          </a:extLst>
        </xdr:cNvPr>
        <xdr:cNvSpPr txBox="1"/>
      </xdr:nvSpPr>
      <xdr:spPr>
        <a:xfrm rot="10800000" flipH="1" flipV="1">
          <a:off x="24099133" y="750343"/>
          <a:ext cx="1597281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13</xdr:col>
      <xdr:colOff>2922766</xdr:colOff>
      <xdr:row>0</xdr:row>
      <xdr:rowOff>136274</xdr:rowOff>
    </xdr:from>
    <xdr:to>
      <xdr:col>14</xdr:col>
      <xdr:colOff>223674</xdr:colOff>
      <xdr:row>2</xdr:row>
      <xdr:rowOff>354260</xdr:rowOff>
    </xdr:to>
    <xdr:pic>
      <xdr:nvPicPr>
        <xdr:cNvPr id="37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734B59D-6DDA-4345-B3AB-2F615AE6AC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86426" y="136274"/>
          <a:ext cx="585128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767778</xdr:colOff>
      <xdr:row>0</xdr:row>
      <xdr:rowOff>0</xdr:rowOff>
    </xdr:from>
    <xdr:to>
      <xdr:col>15</xdr:col>
      <xdr:colOff>2365947</xdr:colOff>
      <xdr:row>3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C01D6369-7863-48D4-B67F-41F559FC91E2}"/>
            </a:ext>
          </a:extLst>
        </xdr:cNvPr>
        <xdr:cNvGrpSpPr/>
      </xdr:nvGrpSpPr>
      <xdr:grpSpPr>
        <a:xfrm>
          <a:off x="27704478" y="0"/>
          <a:ext cx="1598169" cy="1162050"/>
          <a:chOff x="11105473" y="0"/>
          <a:chExt cx="1118289" cy="781538"/>
        </a:xfrm>
      </xdr:grpSpPr>
      <xdr:sp macro="" textlink="">
        <xdr:nvSpPr>
          <xdr:cNvPr id="39" name="Retângulo 38">
            <a:extLst>
              <a:ext uri="{FF2B5EF4-FFF2-40B4-BE49-F238E27FC236}">
                <a16:creationId xmlns:a16="http://schemas.microsoft.com/office/drawing/2014/main" id="{E876C235-4650-466E-9854-5F964DA07D5A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CaixaDeTexto 39">
            <a:extLst>
              <a:ext uri="{FF2B5EF4-FFF2-40B4-BE49-F238E27FC236}">
                <a16:creationId xmlns:a16="http://schemas.microsoft.com/office/drawing/2014/main" id="{26C33E76-4026-483B-A93F-C10931BB4C6F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41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0C154DC-9A6E-4C62-86C5-1851A7C4B31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4404489</xdr:colOff>
      <xdr:row>0</xdr:row>
      <xdr:rowOff>0</xdr:rowOff>
    </xdr:from>
    <xdr:to>
      <xdr:col>16</xdr:col>
      <xdr:colOff>973458</xdr:colOff>
      <xdr:row>3</xdr:row>
      <xdr:rowOff>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D4C716EF-93B1-42D8-AD52-DCC61558EE59}"/>
            </a:ext>
          </a:extLst>
        </xdr:cNvPr>
        <xdr:cNvGrpSpPr/>
      </xdr:nvGrpSpPr>
      <xdr:grpSpPr>
        <a:xfrm>
          <a:off x="31341189" y="0"/>
          <a:ext cx="1598169" cy="1162050"/>
          <a:chOff x="12260227" y="0"/>
          <a:chExt cx="1118316" cy="770164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id="{A8BFBECF-B09A-476A-8BA8-95ACD8938FAA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id="{D67F9333-A85A-477C-86B4-679E01E5152D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5" name="Imagem 44" descr="Ícone do banco de dados (símbolo png) preto">
            <a:extLst>
              <a:ext uri="{FF2B5EF4-FFF2-40B4-BE49-F238E27FC236}">
                <a16:creationId xmlns:a16="http://schemas.microsoft.com/office/drawing/2014/main" id="{E79DC6F1-6E8C-4F1B-871C-4331170F628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9</xdr:col>
      <xdr:colOff>849336</xdr:colOff>
      <xdr:row>32</xdr:row>
      <xdr:rowOff>85969</xdr:rowOff>
    </xdr:from>
    <xdr:to>
      <xdr:col>11</xdr:col>
      <xdr:colOff>957381</xdr:colOff>
      <xdr:row>35</xdr:row>
      <xdr:rowOff>97017</xdr:rowOff>
    </xdr:to>
    <xdr:sp macro="[4]!CadastroFornCerto" textlink="">
      <xdr:nvSpPr>
        <xdr:cNvPr id="46" name="Retângulo Arredondado 11">
          <a:extLst>
            <a:ext uri="{FF2B5EF4-FFF2-40B4-BE49-F238E27FC236}">
              <a16:creationId xmlns:a16="http://schemas.microsoft.com/office/drawing/2014/main" id="{797BF772-CB63-4FE8-8F97-878C564D72AD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4252916" y="11508349"/>
          <a:ext cx="4047585" cy="1108328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8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3297487-55EF-4E65-90DD-98D7E6542957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8B43FC-1998-4DE0-B19E-2C56B17D50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251CF235-EA3D-47A7-8CEE-FA22D69514DE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108776F5-157C-48E6-8B22-94F3F19DD5D1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8</xdr:col>
      <xdr:colOff>214313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B047BE89-8946-40CD-B9A5-BDB89181CCF1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25100"/>
          <a:ext cx="3422213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695270D0-A745-4A99-9420-7E8E8A1D12BB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8</xdr:col>
      <xdr:colOff>1843088</xdr:colOff>
      <xdr:row>3</xdr:row>
      <xdr:rowOff>152400</xdr:rowOff>
    </xdr:from>
    <xdr:to>
      <xdr:col>9</xdr:col>
      <xdr:colOff>2626875</xdr:colOff>
      <xdr:row>5</xdr:row>
      <xdr:rowOff>141750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CB2B67B3-2C62-49E1-8ACB-7875D3A2B2AF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092488" y="1295400"/>
          <a:ext cx="3435547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9</xdr:col>
      <xdr:colOff>3965600</xdr:colOff>
      <xdr:row>3</xdr:row>
      <xdr:rowOff>133350</xdr:rowOff>
    </xdr:from>
    <xdr:to>
      <xdr:col>11</xdr:col>
      <xdr:colOff>715550</xdr:colOff>
      <xdr:row>5</xdr:row>
      <xdr:rowOff>164263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FFA1CC6-7E60-49F3-8A63-8A7EC928E1B3}"/>
            </a:ext>
          </a:extLst>
        </xdr:cNvPr>
        <xdr:cNvSpPr/>
      </xdr:nvSpPr>
      <xdr:spPr>
        <a:xfrm>
          <a:off x="20866760" y="1276350"/>
          <a:ext cx="355461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>
    <xdr:from>
      <xdr:col>13</xdr:col>
      <xdr:colOff>0</xdr:colOff>
      <xdr:row>33</xdr:row>
      <xdr:rowOff>65315</xdr:rowOff>
    </xdr:from>
    <xdr:to>
      <xdr:col>13</xdr:col>
      <xdr:colOff>0</xdr:colOff>
      <xdr:row>36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:a16="http://schemas.microsoft.com/office/drawing/2014/main" id="{027C1E24-C40A-4771-AF92-A00C1D5CE04B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30411420" y="1185345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FC7F9D6E-D88A-4DD0-A90B-30A351519014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00300" y="0"/>
          <a:ext cx="1459980" cy="1162050"/>
          <a:chOff x="1993654" y="0"/>
          <a:chExt cx="1022595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74158421-89B1-49D5-AD89-4640DEE89E15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63AB3A4-6C42-4593-A628-F37A12CB57C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56D72CD-2501-4609-B151-BC8C0CF7EC9D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2250983C-13F0-4B6D-B1AF-CF3EC126D2EF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3</xdr:row>
      <xdr:rowOff>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99F822E1-A075-4B8A-BA79-5BD3B443D924}"/>
            </a:ext>
          </a:extLst>
        </xdr:cNvPr>
        <xdr:cNvSpPr txBox="1"/>
      </xdr:nvSpPr>
      <xdr:spPr>
        <a:xfrm rot="10800000" flipH="1" flipV="1">
          <a:off x="5898823" y="750343"/>
          <a:ext cx="1598697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AE05F1-B743-4149-908C-585A2B798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7C27F721-CB52-4ABB-ACE6-BCD9CAA81B41}"/>
            </a:ext>
          </a:extLst>
        </xdr:cNvPr>
        <xdr:cNvGrpSpPr/>
      </xdr:nvGrpSpPr>
      <xdr:grpSpPr>
        <a:xfrm>
          <a:off x="9528443" y="0"/>
          <a:ext cx="1598167" cy="1162050"/>
          <a:chOff x="4450172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3B9CBE5C-3109-4453-931B-5E1B82DB9A99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894D1A03-556F-412B-AC87-94299DF93865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641FE21-4D4F-4CC0-BEB1-BEBDD06E7E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2359042</xdr:colOff>
      <xdr:row>0</xdr:row>
      <xdr:rowOff>0</xdr:rowOff>
    </xdr:from>
    <xdr:to>
      <xdr:col>8</xdr:col>
      <xdr:colOff>530661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E85D8A21-4C93-4B48-BC87-2EF04100F007}"/>
            </a:ext>
          </a:extLst>
        </xdr:cNvPr>
        <xdr:cNvGrpSpPr/>
      </xdr:nvGrpSpPr>
      <xdr:grpSpPr>
        <a:xfrm>
          <a:off x="13141342" y="0"/>
          <a:ext cx="1638719" cy="1162050"/>
          <a:chOff x="578122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365A4336-C9FD-4A5C-B3CF-ED9310AA772D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201DF942-BBFE-402E-B1B4-7B5263EFDFD0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96AAE0C-8DA8-43A6-93FD-D5D299C7BF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2521579</xdr:colOff>
      <xdr:row>0</xdr:row>
      <xdr:rowOff>0</xdr:rowOff>
    </xdr:from>
    <xdr:to>
      <xdr:col>9</xdr:col>
      <xdr:colOff>1518852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F6F02E98-CF04-462C-8759-E1B337D29526}"/>
            </a:ext>
          </a:extLst>
        </xdr:cNvPr>
        <xdr:cNvGrpSpPr/>
      </xdr:nvGrpSpPr>
      <xdr:grpSpPr>
        <a:xfrm>
          <a:off x="16770979" y="0"/>
          <a:ext cx="1645223" cy="1162050"/>
          <a:chOff x="711229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194660DC-D82D-4BD5-B2FF-79A5A04707B7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9052F3B2-9A45-4923-93AE-D729BA6D6852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263EA1E-C395-4969-BDFF-9756DDE47CC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3466908</xdr:colOff>
      <xdr:row>0</xdr:row>
      <xdr:rowOff>0</xdr:rowOff>
    </xdr:from>
    <xdr:to>
      <xdr:col>10</xdr:col>
      <xdr:colOff>315968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BE172ADA-05E2-408D-87C1-7442A6137332}"/>
            </a:ext>
          </a:extLst>
        </xdr:cNvPr>
        <xdr:cNvGrpSpPr/>
      </xdr:nvGrpSpPr>
      <xdr:grpSpPr>
        <a:xfrm>
          <a:off x="20364258" y="0"/>
          <a:ext cx="1687760" cy="1162050"/>
          <a:chOff x="8443355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33A91DF2-BA41-402D-A7E8-1F12864E7CDC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8AA8AF18-8E21-4E9C-8FBC-262B57515F9F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F8B0BDF-8C25-435B-9277-69124D1693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498744</xdr:colOff>
      <xdr:row>0</xdr:row>
      <xdr:rowOff>0</xdr:rowOff>
    </xdr:from>
    <xdr:to>
      <xdr:col>11</xdr:col>
      <xdr:colOff>1866650</xdr:colOff>
      <xdr:row>3</xdr:row>
      <xdr:rowOff>0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5046D25C-76A5-468F-A283-75C453C03D31}"/>
            </a:ext>
          </a:extLst>
        </xdr:cNvPr>
        <xdr:cNvSpPr/>
      </xdr:nvSpPr>
      <xdr:spPr>
        <a:xfrm>
          <a:off x="24204564" y="0"/>
          <a:ext cx="1367906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449511</xdr:colOff>
      <xdr:row>2</xdr:row>
      <xdr:rowOff>384583</xdr:rowOff>
    </xdr:from>
    <xdr:to>
      <xdr:col>11</xdr:col>
      <xdr:colOff>1953447</xdr:colOff>
      <xdr:row>3</xdr:row>
      <xdr:rowOff>890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CE28964F-8CC5-4118-85D8-EF40DF2BD7D2}"/>
            </a:ext>
          </a:extLst>
        </xdr:cNvPr>
        <xdr:cNvSpPr txBox="1"/>
      </xdr:nvSpPr>
      <xdr:spPr>
        <a:xfrm rot="10800000" flipH="1" flipV="1">
          <a:off x="24155331" y="750343"/>
          <a:ext cx="1503936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11</xdr:col>
      <xdr:colOff>936804</xdr:colOff>
      <xdr:row>0</xdr:row>
      <xdr:rowOff>136274</xdr:rowOff>
    </xdr:from>
    <xdr:to>
      <xdr:col>11</xdr:col>
      <xdr:colOff>1428587</xdr:colOff>
      <xdr:row>2</xdr:row>
      <xdr:rowOff>354260</xdr:rowOff>
    </xdr:to>
    <xdr:pic>
      <xdr:nvPicPr>
        <xdr:cNvPr id="37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BB4917A-5D1D-433D-B14E-50CF0EA128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642624" y="136274"/>
          <a:ext cx="491783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11</xdr:col>
      <xdr:colOff>3925316</xdr:colOff>
      <xdr:row>0</xdr:row>
      <xdr:rowOff>0</xdr:rowOff>
    </xdr:from>
    <xdr:to>
      <xdr:col>12</xdr:col>
      <xdr:colOff>1284860</xdr:colOff>
      <xdr:row>3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9772C4FE-C4E9-4B72-8127-3C84886F8480}"/>
            </a:ext>
          </a:extLst>
        </xdr:cNvPr>
        <xdr:cNvGrpSpPr/>
      </xdr:nvGrpSpPr>
      <xdr:grpSpPr>
        <a:xfrm>
          <a:off x="27623516" y="0"/>
          <a:ext cx="1702944" cy="1162050"/>
          <a:chOff x="11105473" y="0"/>
          <a:chExt cx="1118289" cy="781538"/>
        </a:xfrm>
      </xdr:grpSpPr>
      <xdr:sp macro="" textlink="">
        <xdr:nvSpPr>
          <xdr:cNvPr id="39" name="Retângulo 38">
            <a:extLst>
              <a:ext uri="{FF2B5EF4-FFF2-40B4-BE49-F238E27FC236}">
                <a16:creationId xmlns:a16="http://schemas.microsoft.com/office/drawing/2014/main" id="{62FFABA3-D681-455A-9CAE-270BF69CB205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CaixaDeTexto 39">
            <a:extLst>
              <a:ext uri="{FF2B5EF4-FFF2-40B4-BE49-F238E27FC236}">
                <a16:creationId xmlns:a16="http://schemas.microsoft.com/office/drawing/2014/main" id="{A1C5EE8A-F020-4CCB-8BF8-DCDD5E102499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41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6CA4AB2-2E36-4CBF-B836-020303CA67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1037402</xdr:colOff>
      <xdr:row>0</xdr:row>
      <xdr:rowOff>0</xdr:rowOff>
    </xdr:from>
    <xdr:to>
      <xdr:col>14</xdr:col>
      <xdr:colOff>587696</xdr:colOff>
      <xdr:row>3</xdr:row>
      <xdr:rowOff>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8F01DAA6-D9F7-4D14-8B19-2F87835F9B4D}"/>
            </a:ext>
          </a:extLst>
        </xdr:cNvPr>
        <xdr:cNvGrpSpPr/>
      </xdr:nvGrpSpPr>
      <xdr:grpSpPr>
        <a:xfrm>
          <a:off x="31441202" y="0"/>
          <a:ext cx="1512444" cy="1162050"/>
          <a:chOff x="12260227" y="0"/>
          <a:chExt cx="1118316" cy="770164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id="{19711E3E-E95E-4E87-9A62-32D39C4C94A1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id="{DE218793-8030-463E-8E70-631029E01D05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5" name="Imagem 44" descr="Ícone do banco de dados (símbolo png) preto">
            <a:extLst>
              <a:ext uri="{FF2B5EF4-FFF2-40B4-BE49-F238E27FC236}">
                <a16:creationId xmlns:a16="http://schemas.microsoft.com/office/drawing/2014/main" id="{E590113F-92FF-4193-9A31-37830A3D42D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7</xdr:col>
      <xdr:colOff>2886075</xdr:colOff>
      <xdr:row>9</xdr:row>
      <xdr:rowOff>111919</xdr:rowOff>
    </xdr:from>
    <xdr:to>
      <xdr:col>8</xdr:col>
      <xdr:colOff>1243012</xdr:colOff>
      <xdr:row>10</xdr:row>
      <xdr:rowOff>230981</xdr:rowOff>
    </xdr:to>
    <xdr:sp macro="[4]!COALHO" textlink="">
      <xdr:nvSpPr>
        <xdr:cNvPr id="46" name="Retângulo Arredondado 11">
          <a:extLst>
            <a:ext uri="{FF2B5EF4-FFF2-40B4-BE49-F238E27FC236}">
              <a16:creationId xmlns:a16="http://schemas.microsoft.com/office/drawing/2014/main" id="{0A418E84-38B5-4E47-A3B3-A3F297AAD691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3668375" y="3121819"/>
          <a:ext cx="1824037" cy="48482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24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COALHO</a:t>
          </a:r>
        </a:p>
      </xdr:txBody>
    </xdr:sp>
    <xdr:clientData/>
  </xdr:twoCellAnchor>
  <xdr:twoCellAnchor editAs="absolute">
    <xdr:from>
      <xdr:col>6</xdr:col>
      <xdr:colOff>23813</xdr:colOff>
      <xdr:row>9</xdr:row>
      <xdr:rowOff>111919</xdr:rowOff>
    </xdr:from>
    <xdr:to>
      <xdr:col>7</xdr:col>
      <xdr:colOff>23813</xdr:colOff>
      <xdr:row>10</xdr:row>
      <xdr:rowOff>230981</xdr:rowOff>
    </xdr:to>
    <xdr:sp macro="[4]!SAL" textlink="">
      <xdr:nvSpPr>
        <xdr:cNvPr id="47" name="Retângulo Arredondado 11">
          <a:extLst>
            <a:ext uri="{FF2B5EF4-FFF2-40B4-BE49-F238E27FC236}">
              <a16:creationId xmlns:a16="http://schemas.microsoft.com/office/drawing/2014/main" id="{4DCCC58B-66BF-47DC-9CFE-6CC696E6B0E4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9023033" y="3121819"/>
          <a:ext cx="1783080" cy="48482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24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SAL</a:t>
          </a:r>
        </a:p>
      </xdr:txBody>
    </xdr:sp>
    <xdr:clientData/>
  </xdr:twoCellAnchor>
  <xdr:twoCellAnchor editAs="absolute">
    <xdr:from>
      <xdr:col>8</xdr:col>
      <xdr:colOff>1804987</xdr:colOff>
      <xdr:row>9</xdr:row>
      <xdr:rowOff>111919</xdr:rowOff>
    </xdr:from>
    <xdr:to>
      <xdr:col>9</xdr:col>
      <xdr:colOff>971549</xdr:colOff>
      <xdr:row>10</xdr:row>
      <xdr:rowOff>230981</xdr:rowOff>
    </xdr:to>
    <xdr:sp macro="[4]!VINAGRE" textlink="">
      <xdr:nvSpPr>
        <xdr:cNvPr id="48" name="Retângulo Arredondado 11">
          <a:extLst>
            <a:ext uri="{FF2B5EF4-FFF2-40B4-BE49-F238E27FC236}">
              <a16:creationId xmlns:a16="http://schemas.microsoft.com/office/drawing/2014/main" id="{4C2AF72C-BB24-4E10-A374-79B2D1DD161C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6054387" y="3121819"/>
          <a:ext cx="1818322" cy="48482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24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VINAGRE</a:t>
          </a:r>
        </a:p>
      </xdr:txBody>
    </xdr:sp>
    <xdr:clientData/>
  </xdr:twoCellAnchor>
  <xdr:twoCellAnchor editAs="absolute">
    <xdr:from>
      <xdr:col>7</xdr:col>
      <xdr:colOff>585788</xdr:colOff>
      <xdr:row>9</xdr:row>
      <xdr:rowOff>111919</xdr:rowOff>
    </xdr:from>
    <xdr:to>
      <xdr:col>7</xdr:col>
      <xdr:colOff>2324100</xdr:colOff>
      <xdr:row>10</xdr:row>
      <xdr:rowOff>230981</xdr:rowOff>
    </xdr:to>
    <xdr:sp macro="[4]!LEITE" textlink="">
      <xdr:nvSpPr>
        <xdr:cNvPr id="49" name="Retângulo Arredondado 11">
          <a:extLst>
            <a:ext uri="{FF2B5EF4-FFF2-40B4-BE49-F238E27FC236}">
              <a16:creationId xmlns:a16="http://schemas.microsoft.com/office/drawing/2014/main" id="{1230A1DF-8775-4218-BB88-81D692D95930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1368088" y="3121819"/>
          <a:ext cx="1738312" cy="48482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24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LEITE</a:t>
          </a:r>
        </a:p>
      </xdr:txBody>
    </xdr:sp>
    <xdr:clientData/>
  </xdr:twoCellAnchor>
  <xdr:twoCellAnchor editAs="absolute">
    <xdr:from>
      <xdr:col>9</xdr:col>
      <xdr:colOff>3833813</xdr:colOff>
      <xdr:row>9</xdr:row>
      <xdr:rowOff>111919</xdr:rowOff>
    </xdr:from>
    <xdr:to>
      <xdr:col>10</xdr:col>
      <xdr:colOff>857250</xdr:colOff>
      <xdr:row>10</xdr:row>
      <xdr:rowOff>230981</xdr:rowOff>
    </xdr:to>
    <xdr:sp macro="[4]!TODOSFORN" textlink="">
      <xdr:nvSpPr>
        <xdr:cNvPr id="50" name="Retângulo Arredondado 11">
          <a:extLst>
            <a:ext uri="{FF2B5EF4-FFF2-40B4-BE49-F238E27FC236}">
              <a16:creationId xmlns:a16="http://schemas.microsoft.com/office/drawing/2014/main" id="{FA7327A6-ECE0-4DF5-BB84-DE41DEF1927F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0734973" y="3121819"/>
          <a:ext cx="1862137" cy="48482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24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TODOS</a:t>
          </a:r>
        </a:p>
      </xdr:txBody>
    </xdr:sp>
    <xdr:clientData/>
  </xdr:twoCellAnchor>
  <xdr:twoCellAnchor editAs="absolute">
    <xdr:from>
      <xdr:col>9</xdr:col>
      <xdr:colOff>1319212</xdr:colOff>
      <xdr:row>9</xdr:row>
      <xdr:rowOff>119062</xdr:rowOff>
    </xdr:from>
    <xdr:to>
      <xdr:col>9</xdr:col>
      <xdr:colOff>3357561</xdr:colOff>
      <xdr:row>10</xdr:row>
      <xdr:rowOff>240506</xdr:rowOff>
    </xdr:to>
    <xdr:sp macro="[4]!FERMENTO" textlink="">
      <xdr:nvSpPr>
        <xdr:cNvPr id="51" name="Retângulo Arredondado 11">
          <a:extLst>
            <a:ext uri="{FF2B5EF4-FFF2-40B4-BE49-F238E27FC236}">
              <a16:creationId xmlns:a16="http://schemas.microsoft.com/office/drawing/2014/main" id="{6B241BEA-B152-441F-AF0D-FEF22B3BD1AE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8220372" y="3128962"/>
          <a:ext cx="2038349" cy="487204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24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FERMENTO</a:t>
          </a:r>
        </a:p>
      </xdr:txBody>
    </xdr:sp>
    <xdr:clientData/>
  </xdr:twoCellAnchor>
  <xdr:twoCellAnchor editAs="absolute">
    <xdr:from>
      <xdr:col>14</xdr:col>
      <xdr:colOff>142874</xdr:colOff>
      <xdr:row>9</xdr:row>
      <xdr:rowOff>47624</xdr:rowOff>
    </xdr:from>
    <xdr:to>
      <xdr:col>14</xdr:col>
      <xdr:colOff>904874</xdr:colOff>
      <xdr:row>10</xdr:row>
      <xdr:rowOff>285749</xdr:rowOff>
    </xdr:to>
    <xdr:sp macro="[4]!MenoPMaiorPreço" textlink="">
      <xdr:nvSpPr>
        <xdr:cNvPr id="52" name="Retângulo Arredondado 11">
          <a:extLst>
            <a:ext uri="{FF2B5EF4-FFF2-40B4-BE49-F238E27FC236}">
              <a16:creationId xmlns:a16="http://schemas.microsoft.com/office/drawing/2014/main" id="{D9C677DC-460B-4B1B-8D0A-A97E57CE7357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32512634" y="3057524"/>
          <a:ext cx="762000" cy="603885"/>
        </a:xfrm>
        <a:prstGeom prst="roundRect">
          <a:avLst>
            <a:gd name="adj" fmla="val 36022"/>
          </a:avLst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endParaRPr lang="en-US" sz="2400" b="1" i="0" u="none" strike="noStrike">
            <a:solidFill>
              <a:schemeClr val="lt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marL="0" indent="0" algn="ctr"/>
          <a:endParaRPr lang="en-US" sz="2400" b="1" i="0" u="none" strike="noStrike">
            <a:solidFill>
              <a:schemeClr val="lt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14</xdr:col>
      <xdr:colOff>1047749</xdr:colOff>
      <xdr:row>9</xdr:row>
      <xdr:rowOff>47626</xdr:rowOff>
    </xdr:from>
    <xdr:to>
      <xdr:col>14</xdr:col>
      <xdr:colOff>1809749</xdr:colOff>
      <xdr:row>10</xdr:row>
      <xdr:rowOff>285751</xdr:rowOff>
    </xdr:to>
    <xdr:sp macro="[4]!MaiorPmenorPreço" textlink="">
      <xdr:nvSpPr>
        <xdr:cNvPr id="53" name="Retângulo Arredondado 11">
          <a:extLst>
            <a:ext uri="{FF2B5EF4-FFF2-40B4-BE49-F238E27FC236}">
              <a16:creationId xmlns:a16="http://schemas.microsoft.com/office/drawing/2014/main" id="{43EBAC8A-9565-4052-845F-B560AFF9D732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33417509" y="3057526"/>
          <a:ext cx="762000" cy="603885"/>
        </a:xfrm>
        <a:prstGeom prst="roundRect">
          <a:avLst>
            <a:gd name="adj" fmla="val 36022"/>
          </a:avLst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endParaRPr lang="en-US" sz="2400" b="1" i="0" u="none" strike="noStrike">
            <a:solidFill>
              <a:schemeClr val="lt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marL="0" indent="0" algn="ctr"/>
          <a:endParaRPr lang="en-US" sz="2400" b="1" i="0" u="none" strike="noStrike">
            <a:solidFill>
              <a:schemeClr val="lt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309563</xdr:colOff>
      <xdr:row>9</xdr:row>
      <xdr:rowOff>47625</xdr:rowOff>
    </xdr:from>
    <xdr:to>
      <xdr:col>14</xdr:col>
      <xdr:colOff>714375</xdr:colOff>
      <xdr:row>10</xdr:row>
      <xdr:rowOff>214312</xdr:rowOff>
    </xdr:to>
    <xdr:sp macro="[4]!MenoPMaiorPreço" textlink="">
      <xdr:nvSpPr>
        <xdr:cNvPr id="54" name="Arrow: Up 65">
          <a:extLst>
            <a:ext uri="{FF2B5EF4-FFF2-40B4-BE49-F238E27FC236}">
              <a16:creationId xmlns:a16="http://schemas.microsoft.com/office/drawing/2014/main" id="{F251BF18-3C6E-47A0-8D76-AF623E995AB6}"/>
            </a:ext>
          </a:extLst>
        </xdr:cNvPr>
        <xdr:cNvSpPr/>
      </xdr:nvSpPr>
      <xdr:spPr>
        <a:xfrm>
          <a:off x="32679323" y="3057525"/>
          <a:ext cx="404812" cy="532447"/>
        </a:xfrm>
        <a:prstGeom prst="upArrow">
          <a:avLst/>
        </a:prstGeom>
        <a:solidFill>
          <a:schemeClr val="bg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1238251</xdr:colOff>
      <xdr:row>9</xdr:row>
      <xdr:rowOff>95251</xdr:rowOff>
    </xdr:from>
    <xdr:to>
      <xdr:col>14</xdr:col>
      <xdr:colOff>1643063</xdr:colOff>
      <xdr:row>10</xdr:row>
      <xdr:rowOff>261938</xdr:rowOff>
    </xdr:to>
    <xdr:sp macro="[4]!MaiorPmenorPreço" textlink="">
      <xdr:nvSpPr>
        <xdr:cNvPr id="55" name="Arrow: Up 66">
          <a:extLst>
            <a:ext uri="{FF2B5EF4-FFF2-40B4-BE49-F238E27FC236}">
              <a16:creationId xmlns:a16="http://schemas.microsoft.com/office/drawing/2014/main" id="{DC03A8DD-5FC5-470B-A5D3-CC4FF365877F}"/>
            </a:ext>
          </a:extLst>
        </xdr:cNvPr>
        <xdr:cNvSpPr/>
      </xdr:nvSpPr>
      <xdr:spPr>
        <a:xfrm rot="10800000">
          <a:off x="33608011" y="3105151"/>
          <a:ext cx="404812" cy="532447"/>
        </a:xfrm>
        <a:prstGeom prst="upArrow">
          <a:avLst/>
        </a:prstGeom>
        <a:solidFill>
          <a:schemeClr val="bg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C16C2718-6C52-4606-A6EC-B0D42AD24BE4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20D49B4-5A85-4135-A11C-A63CF76CB5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7F8F23E4-8617-471E-84F6-9DAD57A52C8D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1896CCC8-8CE4-4F4F-A942-E9DF67209C63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1047750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C9574D1D-D3E1-4B53-9F05-8326EC85FB9A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25100"/>
          <a:ext cx="340983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4BAE707C-B1B6-40B7-AB94-CA8D9B2A2012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10</xdr:col>
      <xdr:colOff>819150</xdr:colOff>
      <xdr:row>3</xdr:row>
      <xdr:rowOff>152400</xdr:rowOff>
    </xdr:from>
    <xdr:to>
      <xdr:col>11</xdr:col>
      <xdr:colOff>2198250</xdr:colOff>
      <xdr:row>5</xdr:row>
      <xdr:rowOff>141750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B96BC9A9-506A-41AE-9BC6-6CA517CEA334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5350" y="12954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12</xdr:col>
      <xdr:colOff>846162</xdr:colOff>
      <xdr:row>3</xdr:row>
      <xdr:rowOff>133350</xdr:rowOff>
    </xdr:from>
    <xdr:to>
      <xdr:col>13</xdr:col>
      <xdr:colOff>2930112</xdr:colOff>
      <xdr:row>5</xdr:row>
      <xdr:rowOff>164263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3A413A0B-4064-4B96-A21B-89A6CD08271D}"/>
            </a:ext>
          </a:extLst>
        </xdr:cNvPr>
        <xdr:cNvSpPr/>
      </xdr:nvSpPr>
      <xdr:spPr>
        <a:xfrm>
          <a:off x="20962962" y="1276350"/>
          <a:ext cx="340983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:a16="http://schemas.microsoft.com/office/drawing/2014/main" id="{98FDB453-CA63-4DED-89C8-A24C6D38FB6B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144268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12432605-FEC2-45C4-9E46-77B396FC3AB3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00300" y="0"/>
          <a:ext cx="1459980" cy="1162050"/>
          <a:chOff x="1993654" y="0"/>
          <a:chExt cx="1022595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A090A2D9-C15B-4A92-BA7A-118A0AFE7F78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EA60834A-8C8A-43A3-BC5E-B38A157B9C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BF042E33-5964-4835-AB0A-BA27FD6301BA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DBCF4BF4-21AA-4923-BCFB-BF6925AB7135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3</xdr:row>
      <xdr:rowOff>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F5C84FB6-0121-4207-B70C-E5C1FE461A26}"/>
            </a:ext>
          </a:extLst>
        </xdr:cNvPr>
        <xdr:cNvSpPr txBox="1"/>
      </xdr:nvSpPr>
      <xdr:spPr>
        <a:xfrm rot="10800000" flipH="1" flipV="1">
          <a:off x="5898823" y="750343"/>
          <a:ext cx="1598697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08228C3-6CE1-417D-8C82-19CC862AD6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D7258144-6157-4041-943B-E71D6FA0D8FA}"/>
            </a:ext>
          </a:extLst>
        </xdr:cNvPr>
        <xdr:cNvGrpSpPr/>
      </xdr:nvGrpSpPr>
      <xdr:grpSpPr>
        <a:xfrm>
          <a:off x="9528443" y="0"/>
          <a:ext cx="1598167" cy="1162050"/>
          <a:chOff x="4450172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FFE881BD-7F43-4727-B987-E326467959B6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1EB51DD2-72D5-4A0F-B83E-7E596DE45A00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B1891C4-973D-4B77-8D3B-F5EBC072EE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1335104</xdr:colOff>
      <xdr:row>0</xdr:row>
      <xdr:rowOff>0</xdr:rowOff>
    </xdr:from>
    <xdr:to>
      <xdr:col>9</xdr:col>
      <xdr:colOff>1364098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55C363B2-852A-4076-83F6-34D9E026EC7E}"/>
            </a:ext>
          </a:extLst>
        </xdr:cNvPr>
        <xdr:cNvGrpSpPr/>
      </xdr:nvGrpSpPr>
      <xdr:grpSpPr>
        <a:xfrm>
          <a:off x="13165154" y="0"/>
          <a:ext cx="1591094" cy="1162050"/>
          <a:chOff x="578122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81493698-80D6-4607-8E73-FD43C0A06902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FD73C8B2-4CD6-4CC2-90D7-233E90440122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B1927E5-BE15-43E9-906B-DD4601805F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1497641</xdr:colOff>
      <xdr:row>0</xdr:row>
      <xdr:rowOff>0</xdr:rowOff>
    </xdr:from>
    <xdr:to>
      <xdr:col>11</xdr:col>
      <xdr:colOff>1090227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42189DD1-2884-42A5-BFBC-E44959BFE4FE}"/>
            </a:ext>
          </a:extLst>
        </xdr:cNvPr>
        <xdr:cNvGrpSpPr/>
      </xdr:nvGrpSpPr>
      <xdr:grpSpPr>
        <a:xfrm>
          <a:off x="16794791" y="0"/>
          <a:ext cx="1611886" cy="1162050"/>
          <a:chOff x="711229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DF267656-CA31-402B-8FD7-23DC3D04F25F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4D970A07-5740-41D1-9DEE-B922B5191069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B1A1F7A-5C85-409C-995A-E8B6D6B075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347470</xdr:colOff>
      <xdr:row>0</xdr:row>
      <xdr:rowOff>0</xdr:rowOff>
    </xdr:from>
    <xdr:to>
      <xdr:col>13</xdr:col>
      <xdr:colOff>625530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728DC884-1401-42B2-8C29-570D7FAD7F5B}"/>
            </a:ext>
          </a:extLst>
        </xdr:cNvPr>
        <xdr:cNvGrpSpPr/>
      </xdr:nvGrpSpPr>
      <xdr:grpSpPr>
        <a:xfrm>
          <a:off x="20445220" y="0"/>
          <a:ext cx="1611560" cy="1162050"/>
          <a:chOff x="8443355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27E2CE00-48F8-4A44-BDDD-518FA66E569F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67D713CC-3B86-4182-B868-70216D3F7520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6A64618-F28E-4D3A-823C-23A23C5252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2713306</xdr:colOff>
      <xdr:row>0</xdr:row>
      <xdr:rowOff>0</xdr:rowOff>
    </xdr:from>
    <xdr:to>
      <xdr:col>14</xdr:col>
      <xdr:colOff>890337</xdr:colOff>
      <xdr:row>3</xdr:row>
      <xdr:rowOff>0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DFCCAEE6-BB24-415A-B946-E1118E6DF0AC}"/>
            </a:ext>
          </a:extLst>
        </xdr:cNvPr>
        <xdr:cNvSpPr/>
      </xdr:nvSpPr>
      <xdr:spPr>
        <a:xfrm>
          <a:off x="24155986" y="0"/>
          <a:ext cx="146125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2664073</xdr:colOff>
      <xdr:row>2</xdr:row>
      <xdr:rowOff>384583</xdr:rowOff>
    </xdr:from>
    <xdr:to>
      <xdr:col>14</xdr:col>
      <xdr:colOff>977134</xdr:colOff>
      <xdr:row>3</xdr:row>
      <xdr:rowOff>890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61B843F5-B759-4D04-8B82-134EB9EAE302}"/>
            </a:ext>
          </a:extLst>
        </xdr:cNvPr>
        <xdr:cNvSpPr txBox="1"/>
      </xdr:nvSpPr>
      <xdr:spPr>
        <a:xfrm rot="10800000" flipH="1" flipV="1">
          <a:off x="24106753" y="750343"/>
          <a:ext cx="1597281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13</xdr:col>
      <xdr:colOff>3151366</xdr:colOff>
      <xdr:row>0</xdr:row>
      <xdr:rowOff>136274</xdr:rowOff>
    </xdr:from>
    <xdr:to>
      <xdr:col>14</xdr:col>
      <xdr:colOff>452274</xdr:colOff>
      <xdr:row>2</xdr:row>
      <xdr:rowOff>354260</xdr:rowOff>
    </xdr:to>
    <xdr:pic>
      <xdr:nvPicPr>
        <xdr:cNvPr id="37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5F712CE-859E-4DBE-96C4-217BE8D005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94046" y="136274"/>
          <a:ext cx="585128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996378</xdr:colOff>
      <xdr:row>0</xdr:row>
      <xdr:rowOff>0</xdr:rowOff>
    </xdr:from>
    <xdr:to>
      <xdr:col>15</xdr:col>
      <xdr:colOff>2594547</xdr:colOff>
      <xdr:row>3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B60C328F-FC53-4F62-B6FB-296C5A6BF928}"/>
            </a:ext>
          </a:extLst>
        </xdr:cNvPr>
        <xdr:cNvGrpSpPr/>
      </xdr:nvGrpSpPr>
      <xdr:grpSpPr>
        <a:xfrm>
          <a:off x="27723528" y="0"/>
          <a:ext cx="1598169" cy="1162050"/>
          <a:chOff x="11105473" y="0"/>
          <a:chExt cx="1118289" cy="781538"/>
        </a:xfrm>
      </xdr:grpSpPr>
      <xdr:sp macro="" textlink="">
        <xdr:nvSpPr>
          <xdr:cNvPr id="39" name="Retângulo 38">
            <a:extLst>
              <a:ext uri="{FF2B5EF4-FFF2-40B4-BE49-F238E27FC236}">
                <a16:creationId xmlns:a16="http://schemas.microsoft.com/office/drawing/2014/main" id="{7B5CA3BA-B909-4487-ACA5-16501DA0765A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CaixaDeTexto 39">
            <a:extLst>
              <a:ext uri="{FF2B5EF4-FFF2-40B4-BE49-F238E27FC236}">
                <a16:creationId xmlns:a16="http://schemas.microsoft.com/office/drawing/2014/main" id="{3D59AEF7-D634-4E5D-97FD-91433DAD9F0B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41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8B936E2-C8DB-4585-A09B-847F7BD28A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4633089</xdr:colOff>
      <xdr:row>0</xdr:row>
      <xdr:rowOff>0</xdr:rowOff>
    </xdr:from>
    <xdr:to>
      <xdr:col>17</xdr:col>
      <xdr:colOff>135258</xdr:colOff>
      <xdr:row>3</xdr:row>
      <xdr:rowOff>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AC7BF5F9-0196-4E29-BE01-05244D35317C}"/>
            </a:ext>
          </a:extLst>
        </xdr:cNvPr>
        <xdr:cNvGrpSpPr/>
      </xdr:nvGrpSpPr>
      <xdr:grpSpPr>
        <a:xfrm>
          <a:off x="31360239" y="0"/>
          <a:ext cx="1598169" cy="1162050"/>
          <a:chOff x="12260227" y="0"/>
          <a:chExt cx="1118316" cy="770164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id="{CE34DFE9-CB6E-48E5-80A7-F74090BF55AB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id="{506176F0-59AA-41E7-AF25-4A8EC989028E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5" name="Imagem 44" descr="Ícone do banco de dados (símbolo png) preto">
            <a:extLst>
              <a:ext uri="{FF2B5EF4-FFF2-40B4-BE49-F238E27FC236}">
                <a16:creationId xmlns:a16="http://schemas.microsoft.com/office/drawing/2014/main" id="{AC622704-8915-4A65-96B5-FA532D6FB72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9</xdr:col>
      <xdr:colOff>704850</xdr:colOff>
      <xdr:row>23</xdr:row>
      <xdr:rowOff>57150</xdr:rowOff>
    </xdr:from>
    <xdr:to>
      <xdr:col>11</xdr:col>
      <xdr:colOff>812895</xdr:colOff>
      <xdr:row>26</xdr:row>
      <xdr:rowOff>68198</xdr:rowOff>
    </xdr:to>
    <xdr:sp macro="[4]!EnviarSolicitações" textlink="">
      <xdr:nvSpPr>
        <xdr:cNvPr id="46" name="Retângulo Arredondado 11">
          <a:extLst>
            <a:ext uri="{FF2B5EF4-FFF2-40B4-BE49-F238E27FC236}">
              <a16:creationId xmlns:a16="http://schemas.microsoft.com/office/drawing/2014/main" id="{9904BF21-F5DE-4A76-BB7F-79D9CC9116CE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4108430" y="8187690"/>
          <a:ext cx="4047585" cy="1108328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8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13</xdr:col>
      <xdr:colOff>857250</xdr:colOff>
      <xdr:row>18</xdr:row>
      <xdr:rowOff>142875</xdr:rowOff>
    </xdr:from>
    <xdr:to>
      <xdr:col>14</xdr:col>
      <xdr:colOff>357187</xdr:colOff>
      <xdr:row>22</xdr:row>
      <xdr:rowOff>214313</xdr:rowOff>
    </xdr:to>
    <xdr:sp macro="" textlink="">
      <xdr:nvSpPr>
        <xdr:cNvPr id="47" name="Arrow: Right 46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775AB679-FD5F-4B7A-9B3B-283EBFE17674}"/>
            </a:ext>
          </a:extLst>
        </xdr:cNvPr>
        <xdr:cNvSpPr/>
      </xdr:nvSpPr>
      <xdr:spPr>
        <a:xfrm>
          <a:off x="22299930" y="6444615"/>
          <a:ext cx="2784157" cy="1534478"/>
        </a:xfrm>
        <a:prstGeom prst="rightArrow">
          <a:avLst/>
        </a:prstGeom>
        <a:solidFill>
          <a:schemeClr val="tx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SOLICITAÇÔES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EEF4C97B-FC84-4F29-BF05-203EB5161451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45A78D5-25BF-48DE-893E-2C11587654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48DD2120-B817-4E0F-8FCE-92A651C4AA1A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DD888486-5ADC-4A55-92A6-BA4B9527E990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1047750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A9C3084F-AFF6-4DCB-BE7F-BDFDD4CB539C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25100"/>
          <a:ext cx="340983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36C71F7-D8EC-4E14-9D36-1B082531DB57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10</xdr:col>
      <xdr:colOff>819150</xdr:colOff>
      <xdr:row>3</xdr:row>
      <xdr:rowOff>152400</xdr:rowOff>
    </xdr:from>
    <xdr:to>
      <xdr:col>11</xdr:col>
      <xdr:colOff>2198250</xdr:colOff>
      <xdr:row>5</xdr:row>
      <xdr:rowOff>141750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9F49EC12-CAAB-46EE-9A16-833B00270E17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5350" y="12954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12</xdr:col>
      <xdr:colOff>846162</xdr:colOff>
      <xdr:row>3</xdr:row>
      <xdr:rowOff>133350</xdr:rowOff>
    </xdr:from>
    <xdr:to>
      <xdr:col>13</xdr:col>
      <xdr:colOff>2930112</xdr:colOff>
      <xdr:row>5</xdr:row>
      <xdr:rowOff>164263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1D3BE76D-3400-4E37-95CA-70BFEECD1519}"/>
            </a:ext>
          </a:extLst>
        </xdr:cNvPr>
        <xdr:cNvSpPr/>
      </xdr:nvSpPr>
      <xdr:spPr>
        <a:xfrm>
          <a:off x="20962962" y="1276350"/>
          <a:ext cx="340983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:a16="http://schemas.microsoft.com/office/drawing/2014/main" id="{FBCDAA74-81BC-48CE-9C4D-B221CB1E74E8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144268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C9CC5649-9F17-4441-80ED-BBBA98D92633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00300" y="0"/>
          <a:ext cx="1459980" cy="1162050"/>
          <a:chOff x="1993654" y="0"/>
          <a:chExt cx="1022595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127103D3-6069-4E5E-88D3-C979064459B8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2BFBE395-DB06-4BA3-A93C-B8AC28C099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2835E5CA-15A6-442A-80A1-BA7234924750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5DAC72F8-1018-4124-80A5-46D035D9C96A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66F63D-A9F0-4D99-8A40-E24615D29604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08EFC45-2248-460D-B75D-5251A5EFDB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E8E6E7E4-4C74-4770-B1A5-AAD2846CFB35}"/>
            </a:ext>
          </a:extLst>
        </xdr:cNvPr>
        <xdr:cNvGrpSpPr/>
      </xdr:nvGrpSpPr>
      <xdr:grpSpPr>
        <a:xfrm>
          <a:off x="9528443" y="0"/>
          <a:ext cx="1598167" cy="1162050"/>
          <a:chOff x="4450172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DD097893-9154-4BD5-B2EB-E7A92248EF32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55A12340-2DA5-42D0-96C3-DCF2AA022E8F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8170E6F-4F2C-432D-9131-98CE1B1FD80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1335104</xdr:colOff>
      <xdr:row>0</xdr:row>
      <xdr:rowOff>0</xdr:rowOff>
    </xdr:from>
    <xdr:to>
      <xdr:col>9</xdr:col>
      <xdr:colOff>1364098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0C2D7B5C-083F-4515-B473-3D5793DB688E}"/>
            </a:ext>
          </a:extLst>
        </xdr:cNvPr>
        <xdr:cNvGrpSpPr/>
      </xdr:nvGrpSpPr>
      <xdr:grpSpPr>
        <a:xfrm>
          <a:off x="13165154" y="0"/>
          <a:ext cx="1591094" cy="1162050"/>
          <a:chOff x="578122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2F0A65FD-08A2-4667-9BDC-C9B94F1A93F5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3D0C7C1A-92DD-4FEE-A4CF-0D0BE0B6699D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98FAF6E-7DF1-4C9C-9C12-9C96249AD5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1497641</xdr:colOff>
      <xdr:row>0</xdr:row>
      <xdr:rowOff>0</xdr:rowOff>
    </xdr:from>
    <xdr:to>
      <xdr:col>11</xdr:col>
      <xdr:colOff>1090227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859C9566-077F-4763-BFDB-90A7D4423C46}"/>
            </a:ext>
          </a:extLst>
        </xdr:cNvPr>
        <xdr:cNvGrpSpPr/>
      </xdr:nvGrpSpPr>
      <xdr:grpSpPr>
        <a:xfrm>
          <a:off x="16794791" y="0"/>
          <a:ext cx="1611886" cy="1162050"/>
          <a:chOff x="711229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A9DE8F79-59B2-4F85-B99B-5D33694F7D66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4CA1BD02-C5CD-4052-BB5F-0FA4D1CCBCAB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421B5F5-813A-4629-AD8D-7749574B39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347470</xdr:colOff>
      <xdr:row>0</xdr:row>
      <xdr:rowOff>0</xdr:rowOff>
    </xdr:from>
    <xdr:to>
      <xdr:col>13</xdr:col>
      <xdr:colOff>625530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B99B53B8-5143-4745-A2D1-D0F463BAA9CE}"/>
            </a:ext>
          </a:extLst>
        </xdr:cNvPr>
        <xdr:cNvGrpSpPr/>
      </xdr:nvGrpSpPr>
      <xdr:grpSpPr>
        <a:xfrm>
          <a:off x="20445220" y="0"/>
          <a:ext cx="1611560" cy="1162050"/>
          <a:chOff x="8443355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CA74B16D-1510-4496-BC6B-922411C742EE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1B1BA3E4-011D-495D-A37B-06416F34C32C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E03A4C2-E195-4756-A0FE-31776D0BFE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2713306</xdr:colOff>
      <xdr:row>0</xdr:row>
      <xdr:rowOff>0</xdr:rowOff>
    </xdr:from>
    <xdr:to>
      <xdr:col>14</xdr:col>
      <xdr:colOff>890337</xdr:colOff>
      <xdr:row>3</xdr:row>
      <xdr:rowOff>0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AEF45D5D-5E1E-4D3D-91CB-9C29802C088E}"/>
            </a:ext>
          </a:extLst>
        </xdr:cNvPr>
        <xdr:cNvSpPr/>
      </xdr:nvSpPr>
      <xdr:spPr>
        <a:xfrm>
          <a:off x="24155986" y="0"/>
          <a:ext cx="146125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2664073</xdr:colOff>
      <xdr:row>2</xdr:row>
      <xdr:rowOff>384583</xdr:rowOff>
    </xdr:from>
    <xdr:to>
      <xdr:col>14</xdr:col>
      <xdr:colOff>977134</xdr:colOff>
      <xdr:row>2</xdr:row>
      <xdr:rowOff>762890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FC52D60C-F3C9-4B01-9CFB-3355FE3869C6}"/>
            </a:ext>
          </a:extLst>
        </xdr:cNvPr>
        <xdr:cNvSpPr txBox="1"/>
      </xdr:nvSpPr>
      <xdr:spPr>
        <a:xfrm rot="10800000" flipH="1" flipV="1">
          <a:off x="24106753" y="750343"/>
          <a:ext cx="159728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13</xdr:col>
      <xdr:colOff>3151366</xdr:colOff>
      <xdr:row>0</xdr:row>
      <xdr:rowOff>136274</xdr:rowOff>
    </xdr:from>
    <xdr:to>
      <xdr:col>14</xdr:col>
      <xdr:colOff>452274</xdr:colOff>
      <xdr:row>2</xdr:row>
      <xdr:rowOff>354260</xdr:rowOff>
    </xdr:to>
    <xdr:pic>
      <xdr:nvPicPr>
        <xdr:cNvPr id="37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86CD6DA-B488-4604-8F77-3B13EFE921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94046" y="136274"/>
          <a:ext cx="585128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996378</xdr:colOff>
      <xdr:row>0</xdr:row>
      <xdr:rowOff>0</xdr:rowOff>
    </xdr:from>
    <xdr:to>
      <xdr:col>15</xdr:col>
      <xdr:colOff>2594547</xdr:colOff>
      <xdr:row>3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650135CC-676F-4330-9C39-D637264942FF}"/>
            </a:ext>
          </a:extLst>
        </xdr:cNvPr>
        <xdr:cNvGrpSpPr/>
      </xdr:nvGrpSpPr>
      <xdr:grpSpPr>
        <a:xfrm>
          <a:off x="27723528" y="0"/>
          <a:ext cx="1598169" cy="1162050"/>
          <a:chOff x="11105473" y="0"/>
          <a:chExt cx="1118289" cy="781538"/>
        </a:xfrm>
      </xdr:grpSpPr>
      <xdr:sp macro="" textlink="">
        <xdr:nvSpPr>
          <xdr:cNvPr id="39" name="Retângulo 38">
            <a:extLst>
              <a:ext uri="{FF2B5EF4-FFF2-40B4-BE49-F238E27FC236}">
                <a16:creationId xmlns:a16="http://schemas.microsoft.com/office/drawing/2014/main" id="{33A55235-2ED3-4BDF-9D43-66C2E39E6517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CaixaDeTexto 39">
            <a:extLst>
              <a:ext uri="{FF2B5EF4-FFF2-40B4-BE49-F238E27FC236}">
                <a16:creationId xmlns:a16="http://schemas.microsoft.com/office/drawing/2014/main" id="{1DFCF0E0-DE53-48D0-B767-F50AFFF62F2C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41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A6521B1-81BE-4CFE-BE47-2726846575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4633089</xdr:colOff>
      <xdr:row>0</xdr:row>
      <xdr:rowOff>0</xdr:rowOff>
    </xdr:from>
    <xdr:to>
      <xdr:col>17</xdr:col>
      <xdr:colOff>135258</xdr:colOff>
      <xdr:row>3</xdr:row>
      <xdr:rowOff>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31EDF51E-31A6-4BB6-A483-A7CBD7848DB9}"/>
            </a:ext>
          </a:extLst>
        </xdr:cNvPr>
        <xdr:cNvGrpSpPr/>
      </xdr:nvGrpSpPr>
      <xdr:grpSpPr>
        <a:xfrm>
          <a:off x="31360239" y="0"/>
          <a:ext cx="1598169" cy="1162050"/>
          <a:chOff x="12260227" y="0"/>
          <a:chExt cx="1118316" cy="770164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id="{092BFCA1-3F6A-4446-A89D-1ED56297AB04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id="{41CF2156-CD18-4160-885F-A9741726409B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5" name="Imagem 44" descr="Ícone do banco de dados (símbolo png) preto">
            <a:extLst>
              <a:ext uri="{FF2B5EF4-FFF2-40B4-BE49-F238E27FC236}">
                <a16:creationId xmlns:a16="http://schemas.microsoft.com/office/drawing/2014/main" id="{FC8F3214-FF60-4AD1-B85F-8333FA4B87B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5</xdr:col>
      <xdr:colOff>165118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4B74794D-4EE7-48F9-9FA1-6CE0DBA761F8}"/>
            </a:ext>
          </a:extLst>
        </xdr:cNvPr>
        <xdr:cNvSpPr txBox="1"/>
      </xdr:nvSpPr>
      <xdr:spPr>
        <a:xfrm rot="10800000" flipH="1" flipV="1">
          <a:off x="4435170" y="499654"/>
          <a:ext cx="1117288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2276445</xdr:colOff>
      <xdr:row>0</xdr:row>
      <xdr:rowOff>91651</xdr:rowOff>
    </xdr:from>
    <xdr:to>
      <xdr:col>4</xdr:col>
      <xdr:colOff>2693681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2255F8B-21E7-47F0-BB54-94FEC6E714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1484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3ACDEEEF-1DF5-41C6-96D6-906CD3A7B3A7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5B0E192E-91CA-4567-9208-E34087FC4C12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8</xdr:col>
      <xdr:colOff>1478400</xdr:colOff>
      <xdr:row>3</xdr:row>
      <xdr:rowOff>182100</xdr:rowOff>
    </xdr:from>
    <xdr:to>
      <xdr:col>10</xdr:col>
      <xdr:colOff>1595438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5265B9D8-9536-4A30-BCD3-65DEC25992BF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01258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5</xdr:col>
      <xdr:colOff>442913</xdr:colOff>
      <xdr:row>3</xdr:row>
      <xdr:rowOff>182100</xdr:rowOff>
    </xdr:from>
    <xdr:to>
      <xdr:col>7</xdr:col>
      <xdr:colOff>1560075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27423FDA-10F8-44D0-B75E-9065DB760ED3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30253" y="1325100"/>
          <a:ext cx="3365062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11</xdr:col>
      <xdr:colOff>323850</xdr:colOff>
      <xdr:row>3</xdr:row>
      <xdr:rowOff>152400</xdr:rowOff>
    </xdr:from>
    <xdr:to>
      <xdr:col>12</xdr:col>
      <xdr:colOff>1002862</xdr:colOff>
      <xdr:row>5</xdr:row>
      <xdr:rowOff>141750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F482CB4F-486A-4911-B85C-8F91AABC1D69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12490" y="1295400"/>
          <a:ext cx="3452692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13</xdr:col>
      <xdr:colOff>1060474</xdr:colOff>
      <xdr:row>3</xdr:row>
      <xdr:rowOff>133350</xdr:rowOff>
    </xdr:from>
    <xdr:to>
      <xdr:col>14</xdr:col>
      <xdr:colOff>1201324</xdr:colOff>
      <xdr:row>5</xdr:row>
      <xdr:rowOff>164263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EB248216-9163-469C-BE62-53D7FA8D913A}"/>
            </a:ext>
          </a:extLst>
        </xdr:cNvPr>
        <xdr:cNvSpPr/>
      </xdr:nvSpPr>
      <xdr:spPr>
        <a:xfrm>
          <a:off x="20948674" y="1276350"/>
          <a:ext cx="342507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>
    <xdr:from>
      <xdr:col>13</xdr:col>
      <xdr:colOff>0</xdr:colOff>
      <xdr:row>33</xdr:row>
      <xdr:rowOff>65315</xdr:rowOff>
    </xdr:from>
    <xdr:to>
      <xdr:col>13</xdr:col>
      <xdr:colOff>0</xdr:colOff>
      <xdr:row>36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:a16="http://schemas.microsoft.com/office/drawing/2014/main" id="{8A549FCF-0619-432C-A28F-26FB5E72A35B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9888200" y="1185345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7960A4B1-5D5A-408C-93CA-0E6548BB0C95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00300" y="0"/>
          <a:ext cx="1459980" cy="1162050"/>
          <a:chOff x="1993654" y="0"/>
          <a:chExt cx="1022595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1C482E92-19D6-4077-9887-39F5FB0F0F45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870A70F-F1A5-4A04-B8AF-7E083D962E3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31AC38AC-D8AB-45CC-8D1D-6AFEFC814FF9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579087</xdr:colOff>
      <xdr:row>0</xdr:row>
      <xdr:rowOff>0</xdr:rowOff>
    </xdr:from>
    <xdr:to>
      <xdr:col>6</xdr:col>
      <xdr:colOff>1091038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9E72FDC7-F48F-44D6-8384-EE5807EFDCED}"/>
            </a:ext>
          </a:extLst>
        </xdr:cNvPr>
        <xdr:cNvSpPr/>
      </xdr:nvSpPr>
      <xdr:spPr>
        <a:xfrm>
          <a:off x="5966427" y="0"/>
          <a:ext cx="144921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5</xdr:col>
      <xdr:colOff>512436</xdr:colOff>
      <xdr:row>2</xdr:row>
      <xdr:rowOff>384583</xdr:rowOff>
    </xdr:from>
    <xdr:to>
      <xdr:col>6</xdr:col>
      <xdr:colOff>1160538</xdr:colOff>
      <xdr:row>3</xdr:row>
      <xdr:rowOff>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91D6F436-0848-40D7-9EDE-D38C4A98D6E3}"/>
            </a:ext>
          </a:extLst>
        </xdr:cNvPr>
        <xdr:cNvSpPr txBox="1"/>
      </xdr:nvSpPr>
      <xdr:spPr>
        <a:xfrm rot="10800000" flipH="1" flipV="1">
          <a:off x="5899776" y="750343"/>
          <a:ext cx="1585362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6</xdr:col>
      <xdr:colOff>75588</xdr:colOff>
      <xdr:row>0</xdr:row>
      <xdr:rowOff>126203</xdr:rowOff>
    </xdr:from>
    <xdr:to>
      <xdr:col>6</xdr:col>
      <xdr:colOff>661087</xdr:colOff>
      <xdr:row>2</xdr:row>
      <xdr:rowOff>364332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B181F33-8F8B-4159-A39F-6B55F3610F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0188" y="126203"/>
          <a:ext cx="585499" cy="603889"/>
        </a:xfrm>
        <a:prstGeom prst="rect">
          <a:avLst/>
        </a:prstGeom>
        <a:noFill/>
      </xdr:spPr>
    </xdr:pic>
    <xdr:clientData/>
  </xdr:twoCellAnchor>
  <xdr:twoCellAnchor editAs="absolute">
    <xdr:from>
      <xdr:col>7</xdr:col>
      <xdr:colOff>1822718</xdr:colOff>
      <xdr:row>0</xdr:row>
      <xdr:rowOff>0</xdr:rowOff>
    </xdr:from>
    <xdr:to>
      <xdr:col>9</xdr:col>
      <xdr:colOff>39510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8A176A13-9684-4D43-B3B6-A184F10D3130}"/>
            </a:ext>
          </a:extLst>
        </xdr:cNvPr>
        <xdr:cNvGrpSpPr/>
      </xdr:nvGrpSpPr>
      <xdr:grpSpPr>
        <a:xfrm>
          <a:off x="9461768" y="0"/>
          <a:ext cx="1702942" cy="1162050"/>
          <a:chOff x="4450172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599F2C1F-8595-4B27-880B-0C8F2F30BB79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74E5373B-E7E4-4FB8-B2C1-FD37011952C6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A5C6A73-07AD-49A7-9F2C-C247A1FB00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363554</xdr:colOff>
      <xdr:row>0</xdr:row>
      <xdr:rowOff>0</xdr:rowOff>
    </xdr:from>
    <xdr:to>
      <xdr:col>10</xdr:col>
      <xdr:colOff>1911786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62F3DF24-2A5E-4E63-9AAE-79E9793510FE}"/>
            </a:ext>
          </a:extLst>
        </xdr:cNvPr>
        <xdr:cNvGrpSpPr/>
      </xdr:nvGrpSpPr>
      <xdr:grpSpPr>
        <a:xfrm>
          <a:off x="13203254" y="0"/>
          <a:ext cx="1548232" cy="1162050"/>
          <a:chOff x="578122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DE9A0F90-AE73-4EB0-8400-C14AEB0DE173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26C77833-D743-451F-8DDD-84D82BC6DE79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A350253-89CF-4985-B88C-2E3B522E78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1002341</xdr:colOff>
      <xdr:row>0</xdr:row>
      <xdr:rowOff>0</xdr:rowOff>
    </xdr:from>
    <xdr:to>
      <xdr:col>11</xdr:col>
      <xdr:colOff>2585652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F4FE67A8-50DF-4681-8914-4200FBBA9117}"/>
            </a:ext>
          </a:extLst>
        </xdr:cNvPr>
        <xdr:cNvGrpSpPr/>
      </xdr:nvGrpSpPr>
      <xdr:grpSpPr>
        <a:xfrm>
          <a:off x="16794791" y="0"/>
          <a:ext cx="1583311" cy="1162050"/>
          <a:chOff x="711229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F0EF29BE-A50C-4D26-BBC4-8C4D8A6C49AF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FC667568-1591-4307-9F05-DFFA781F6FC6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5AC58B0-163E-4EB6-89BD-9BE19037A3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647507</xdr:colOff>
      <xdr:row>0</xdr:row>
      <xdr:rowOff>0</xdr:rowOff>
    </xdr:from>
    <xdr:to>
      <xdr:col>13</xdr:col>
      <xdr:colOff>2154292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55F48E13-33A3-4D76-BB98-6CDC07E84EA9}"/>
            </a:ext>
          </a:extLst>
        </xdr:cNvPr>
        <xdr:cNvGrpSpPr/>
      </xdr:nvGrpSpPr>
      <xdr:grpSpPr>
        <a:xfrm>
          <a:off x="20554757" y="0"/>
          <a:ext cx="1506785" cy="1162050"/>
          <a:chOff x="8443355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85C40359-6D53-46FA-A3DD-C0CF1F70BB87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260F579E-0B27-4A0D-88E7-28F23E616A7C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BB2B4CA-A332-46BE-B8AD-0E328B02C3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984518</xdr:colOff>
      <xdr:row>0</xdr:row>
      <xdr:rowOff>0</xdr:rowOff>
    </xdr:from>
    <xdr:to>
      <xdr:col>15</xdr:col>
      <xdr:colOff>485524</xdr:colOff>
      <xdr:row>3</xdr:row>
      <xdr:rowOff>0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8FD7E9AB-CF82-41CB-9220-106831E1566A}"/>
            </a:ext>
          </a:extLst>
        </xdr:cNvPr>
        <xdr:cNvSpPr/>
      </xdr:nvSpPr>
      <xdr:spPr>
        <a:xfrm>
          <a:off x="24156938" y="0"/>
          <a:ext cx="1512686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935285</xdr:colOff>
      <xdr:row>2</xdr:row>
      <xdr:rowOff>384583</xdr:rowOff>
    </xdr:from>
    <xdr:to>
      <xdr:col>15</xdr:col>
      <xdr:colOff>572321</xdr:colOff>
      <xdr:row>3</xdr:row>
      <xdr:rowOff>890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D8BD3703-31E6-4B03-8C54-AA11A8D73FAF}"/>
            </a:ext>
          </a:extLst>
        </xdr:cNvPr>
        <xdr:cNvSpPr txBox="1"/>
      </xdr:nvSpPr>
      <xdr:spPr>
        <a:xfrm rot="10800000" flipH="1" flipV="1">
          <a:off x="24107705" y="750343"/>
          <a:ext cx="1648716" cy="3935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14</xdr:col>
      <xdr:colOff>1422578</xdr:colOff>
      <xdr:row>0</xdr:row>
      <xdr:rowOff>136274</xdr:rowOff>
    </xdr:from>
    <xdr:to>
      <xdr:col>15</xdr:col>
      <xdr:colOff>47461</xdr:colOff>
      <xdr:row>2</xdr:row>
      <xdr:rowOff>354260</xdr:rowOff>
    </xdr:to>
    <xdr:pic>
      <xdr:nvPicPr>
        <xdr:cNvPr id="37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6FB3D1C-77A1-4CC9-B1B1-AEECFB9897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94998" y="136274"/>
          <a:ext cx="636563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2487040</xdr:colOff>
      <xdr:row>0</xdr:row>
      <xdr:rowOff>0</xdr:rowOff>
    </xdr:from>
    <xdr:to>
      <xdr:col>15</xdr:col>
      <xdr:colOff>4066159</xdr:colOff>
      <xdr:row>3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CBDD53BF-E92E-43B0-A150-D6CFE72B28A6}"/>
            </a:ext>
          </a:extLst>
        </xdr:cNvPr>
        <xdr:cNvGrpSpPr/>
      </xdr:nvGrpSpPr>
      <xdr:grpSpPr>
        <a:xfrm>
          <a:off x="27690190" y="0"/>
          <a:ext cx="1579119" cy="1162050"/>
          <a:chOff x="11105473" y="0"/>
          <a:chExt cx="1118289" cy="781538"/>
        </a:xfrm>
      </xdr:grpSpPr>
      <xdr:sp macro="" textlink="">
        <xdr:nvSpPr>
          <xdr:cNvPr id="39" name="Retângulo 38">
            <a:extLst>
              <a:ext uri="{FF2B5EF4-FFF2-40B4-BE49-F238E27FC236}">
                <a16:creationId xmlns:a16="http://schemas.microsoft.com/office/drawing/2014/main" id="{C9489BCA-BF00-4019-97B3-D06CD274D026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CaixaDeTexto 39">
            <a:extLst>
              <a:ext uri="{FF2B5EF4-FFF2-40B4-BE49-F238E27FC236}">
                <a16:creationId xmlns:a16="http://schemas.microsoft.com/office/drawing/2014/main" id="{96460177-A0CF-42BD-9E76-6606761B07DC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41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FA6FD7A-BEB8-40A3-B342-01599264F6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17</xdr:col>
      <xdr:colOff>94426</xdr:colOff>
      <xdr:row>0</xdr:row>
      <xdr:rowOff>0</xdr:rowOff>
    </xdr:from>
    <xdr:to>
      <xdr:col>19</xdr:col>
      <xdr:colOff>473395</xdr:colOff>
      <xdr:row>3</xdr:row>
      <xdr:rowOff>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C99BB3BE-16D0-4627-AE1C-C74AC3358DCA}"/>
            </a:ext>
          </a:extLst>
        </xdr:cNvPr>
        <xdr:cNvGrpSpPr/>
      </xdr:nvGrpSpPr>
      <xdr:grpSpPr>
        <a:xfrm>
          <a:off x="31393576" y="0"/>
          <a:ext cx="1598169" cy="1162050"/>
          <a:chOff x="12260227" y="0"/>
          <a:chExt cx="1118316" cy="770164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id="{5B916B9A-1E96-4BD0-8745-F8D27EDCCA83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id="{DA6B8D12-61CD-4D23-8D23-EE89A6218164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5" name="Imagem 44" descr="Ícone do banco de dados (símbolo png) preto">
            <a:extLst>
              <a:ext uri="{FF2B5EF4-FFF2-40B4-BE49-F238E27FC236}">
                <a16:creationId xmlns:a16="http://schemas.microsoft.com/office/drawing/2014/main" id="{3F03B5EB-DB6B-41D7-B577-1AD5739E05D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6</xdr:col>
      <xdr:colOff>571500</xdr:colOff>
      <xdr:row>20</xdr:row>
      <xdr:rowOff>0</xdr:rowOff>
    </xdr:from>
    <xdr:to>
      <xdr:col>8</xdr:col>
      <xdr:colOff>0</xdr:colOff>
      <xdr:row>24</xdr:row>
      <xdr:rowOff>71438</xdr:rowOff>
    </xdr:to>
    <xdr:sp macro="" textlink="">
      <xdr:nvSpPr>
        <xdr:cNvPr id="46" name="Arrow: Right 45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B94444D6-C8A8-4DD9-A71F-E72031817E2D}"/>
            </a:ext>
          </a:extLst>
        </xdr:cNvPr>
        <xdr:cNvSpPr/>
      </xdr:nvSpPr>
      <xdr:spPr>
        <a:xfrm flipH="1">
          <a:off x="6896100" y="7033260"/>
          <a:ext cx="2659380" cy="1534478"/>
        </a:xfrm>
        <a:prstGeom prst="rightArrow">
          <a:avLst/>
        </a:prstGeom>
        <a:solidFill>
          <a:schemeClr val="tx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VOLTAR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A4399145-B7D3-4312-9484-39D65257AFA5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BAD287B-3257-4C18-B0DB-8B298A252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AFD38A48-7A78-49CA-A200-FB284019252E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3C7C628C-6C5B-43D1-A347-1973FDDCBC07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1047750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BC33700-11F4-4B9D-9B99-C6CF4AC99A58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25100"/>
          <a:ext cx="340983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7093634E-F5A0-4E96-8FC8-359E1EB9BCDB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10</xdr:col>
      <xdr:colOff>819150</xdr:colOff>
      <xdr:row>3</xdr:row>
      <xdr:rowOff>152400</xdr:rowOff>
    </xdr:from>
    <xdr:to>
      <xdr:col>11</xdr:col>
      <xdr:colOff>2198250</xdr:colOff>
      <xdr:row>5</xdr:row>
      <xdr:rowOff>141750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D027E10D-62AB-4FBD-ACEB-F267046BFBD8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5350" y="12954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12</xdr:col>
      <xdr:colOff>617562</xdr:colOff>
      <xdr:row>3</xdr:row>
      <xdr:rowOff>133350</xdr:rowOff>
    </xdr:from>
    <xdr:to>
      <xdr:col>13</xdr:col>
      <xdr:colOff>2701512</xdr:colOff>
      <xdr:row>5</xdr:row>
      <xdr:rowOff>164263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F0E7254D-34C5-476F-AF15-1EFE253AB152}"/>
            </a:ext>
          </a:extLst>
        </xdr:cNvPr>
        <xdr:cNvSpPr/>
      </xdr:nvSpPr>
      <xdr:spPr>
        <a:xfrm>
          <a:off x="20955342" y="1276350"/>
          <a:ext cx="3409830" cy="800533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:a16="http://schemas.microsoft.com/office/drawing/2014/main" id="{A992E602-4A64-4F82-9C44-51ACC4935D27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166366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73254A76-DF30-4BB2-A209-E106BD201B56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00300" y="0"/>
          <a:ext cx="1459980" cy="1162050"/>
          <a:chOff x="1993654" y="0"/>
          <a:chExt cx="1022595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82792303-CDE1-45D4-BC89-38D2345EA730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FB98CF9-F677-4245-B05A-E41B43088FC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EA1418A0-3387-48FC-8765-2886D7E35AA4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07A3D9FD-CACC-4DDE-A40D-ECC363CDA580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441C1384-5691-49B9-990A-2C1849C861F9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EC9BFC-1ADF-4270-BFD0-96F245905C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88A6CF18-BD19-4CB8-BEFA-53C446E57752}"/>
            </a:ext>
          </a:extLst>
        </xdr:cNvPr>
        <xdr:cNvGrpSpPr/>
      </xdr:nvGrpSpPr>
      <xdr:grpSpPr>
        <a:xfrm>
          <a:off x="9528443" y="0"/>
          <a:ext cx="1598167" cy="1162050"/>
          <a:chOff x="4450172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B34261F5-56D3-4AE1-BC5E-CBDA750DF4B9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3C9BA9E8-E830-49E2-9D3F-72854AC20F3D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359ADD7-5E84-4BEF-A609-66E2788936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1335104</xdr:colOff>
      <xdr:row>0</xdr:row>
      <xdr:rowOff>0</xdr:rowOff>
    </xdr:from>
    <xdr:to>
      <xdr:col>9</xdr:col>
      <xdr:colOff>1364098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A6E72EE5-564E-4431-A052-6EB14326FE3D}"/>
            </a:ext>
          </a:extLst>
        </xdr:cNvPr>
        <xdr:cNvGrpSpPr/>
      </xdr:nvGrpSpPr>
      <xdr:grpSpPr>
        <a:xfrm>
          <a:off x="13165154" y="0"/>
          <a:ext cx="1591094" cy="1162050"/>
          <a:chOff x="578122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F793C9B8-4853-4CA5-8E79-46A296A1F3D9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66BCFCF7-A625-4752-A65C-669796F6399E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74B41479-3CEA-478F-A50D-0B4C8B8C52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1497641</xdr:colOff>
      <xdr:row>0</xdr:row>
      <xdr:rowOff>0</xdr:rowOff>
    </xdr:from>
    <xdr:to>
      <xdr:col>11</xdr:col>
      <xdr:colOff>1090227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0111B9C9-EE23-495E-BD5D-4E9C15CB8443}"/>
            </a:ext>
          </a:extLst>
        </xdr:cNvPr>
        <xdr:cNvGrpSpPr/>
      </xdr:nvGrpSpPr>
      <xdr:grpSpPr>
        <a:xfrm>
          <a:off x="16794791" y="0"/>
          <a:ext cx="1611886" cy="1162050"/>
          <a:chOff x="711229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4C60129A-87CA-4A09-8A92-B1519C4C793A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DF40D98B-11E3-41F4-BC7F-524494094A02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5610B77-B9DA-4528-AC1A-E8416411D8F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118870</xdr:colOff>
      <xdr:row>0</xdr:row>
      <xdr:rowOff>0</xdr:rowOff>
    </xdr:from>
    <xdr:to>
      <xdr:col>13</xdr:col>
      <xdr:colOff>396930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5EB07E71-69AD-4E1D-BE70-12137F01F57F}"/>
            </a:ext>
          </a:extLst>
        </xdr:cNvPr>
        <xdr:cNvGrpSpPr/>
      </xdr:nvGrpSpPr>
      <xdr:grpSpPr>
        <a:xfrm>
          <a:off x="20426170" y="0"/>
          <a:ext cx="1611560" cy="1162050"/>
          <a:chOff x="8443355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5D9F1E59-6E7F-444E-8285-06C7FE25B0AF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F48F9589-C6CA-44D9-B4FC-5F6333828FAE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84A3F71-3E23-474C-903E-E1DFB329EA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2484706</xdr:colOff>
      <xdr:row>0</xdr:row>
      <xdr:rowOff>0</xdr:rowOff>
    </xdr:from>
    <xdr:to>
      <xdr:col>14</xdr:col>
      <xdr:colOff>661737</xdr:colOff>
      <xdr:row>3</xdr:row>
      <xdr:rowOff>0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1C51FCD1-78AC-488C-B2CA-D4B5386220B1}"/>
            </a:ext>
          </a:extLst>
        </xdr:cNvPr>
        <xdr:cNvSpPr/>
      </xdr:nvSpPr>
      <xdr:spPr>
        <a:xfrm>
          <a:off x="24148366" y="0"/>
          <a:ext cx="146125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2435473</xdr:colOff>
      <xdr:row>2</xdr:row>
      <xdr:rowOff>384583</xdr:rowOff>
    </xdr:from>
    <xdr:to>
      <xdr:col>14</xdr:col>
      <xdr:colOff>748534</xdr:colOff>
      <xdr:row>2</xdr:row>
      <xdr:rowOff>762890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DDCDDF5F-A4C3-4622-B400-1BB6BEC38BEA}"/>
            </a:ext>
          </a:extLst>
        </xdr:cNvPr>
        <xdr:cNvSpPr txBox="1"/>
      </xdr:nvSpPr>
      <xdr:spPr>
        <a:xfrm rot="10800000" flipH="1" flipV="1">
          <a:off x="24099133" y="750343"/>
          <a:ext cx="159728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13</xdr:col>
      <xdr:colOff>2922766</xdr:colOff>
      <xdr:row>0</xdr:row>
      <xdr:rowOff>136274</xdr:rowOff>
    </xdr:from>
    <xdr:to>
      <xdr:col>14</xdr:col>
      <xdr:colOff>223674</xdr:colOff>
      <xdr:row>2</xdr:row>
      <xdr:rowOff>354260</xdr:rowOff>
    </xdr:to>
    <xdr:pic>
      <xdr:nvPicPr>
        <xdr:cNvPr id="37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8775064-DECD-49A8-B7F5-4995B43EFA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86426" y="136274"/>
          <a:ext cx="585128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767778</xdr:colOff>
      <xdr:row>0</xdr:row>
      <xdr:rowOff>0</xdr:rowOff>
    </xdr:from>
    <xdr:to>
      <xdr:col>15</xdr:col>
      <xdr:colOff>2365947</xdr:colOff>
      <xdr:row>3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2ABE12DC-BBC0-4A94-BE4F-56A46CAFCC48}"/>
            </a:ext>
          </a:extLst>
        </xdr:cNvPr>
        <xdr:cNvGrpSpPr/>
      </xdr:nvGrpSpPr>
      <xdr:grpSpPr>
        <a:xfrm>
          <a:off x="27704478" y="0"/>
          <a:ext cx="1598169" cy="1162050"/>
          <a:chOff x="11105473" y="0"/>
          <a:chExt cx="1118289" cy="781538"/>
        </a:xfrm>
      </xdr:grpSpPr>
      <xdr:sp macro="" textlink="">
        <xdr:nvSpPr>
          <xdr:cNvPr id="39" name="Retângulo 38">
            <a:extLst>
              <a:ext uri="{FF2B5EF4-FFF2-40B4-BE49-F238E27FC236}">
                <a16:creationId xmlns:a16="http://schemas.microsoft.com/office/drawing/2014/main" id="{54D10E89-DB85-4B1E-9C92-90927FAD209B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CaixaDeTexto 39">
            <a:extLst>
              <a:ext uri="{FF2B5EF4-FFF2-40B4-BE49-F238E27FC236}">
                <a16:creationId xmlns:a16="http://schemas.microsoft.com/office/drawing/2014/main" id="{C9B3A22D-8982-4D3E-AF0D-A050DC4F6290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41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2107A97-9EF0-4454-BC88-81C1AE723A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4404489</xdr:colOff>
      <xdr:row>0</xdr:row>
      <xdr:rowOff>0</xdr:rowOff>
    </xdr:from>
    <xdr:to>
      <xdr:col>16</xdr:col>
      <xdr:colOff>973458</xdr:colOff>
      <xdr:row>3</xdr:row>
      <xdr:rowOff>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7D34ED13-4F37-427E-921E-D5EDD4E1C316}"/>
            </a:ext>
          </a:extLst>
        </xdr:cNvPr>
        <xdr:cNvGrpSpPr/>
      </xdr:nvGrpSpPr>
      <xdr:grpSpPr>
        <a:xfrm>
          <a:off x="31341189" y="0"/>
          <a:ext cx="1598169" cy="1162050"/>
          <a:chOff x="12260227" y="0"/>
          <a:chExt cx="1118316" cy="770164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id="{5E902FAB-4EB1-4742-8DCD-006C0E36DD40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id="{2545F155-DA10-42AB-8199-B6573D2F4248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5" name="Imagem 44" descr="Ícone do banco de dados (símbolo png) preto">
            <a:extLst>
              <a:ext uri="{FF2B5EF4-FFF2-40B4-BE49-F238E27FC236}">
                <a16:creationId xmlns:a16="http://schemas.microsoft.com/office/drawing/2014/main" id="{C753B3CE-6D40-48F2-ACA3-D631A3844A4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9</xdr:col>
      <xdr:colOff>849336</xdr:colOff>
      <xdr:row>30</xdr:row>
      <xdr:rowOff>314569</xdr:rowOff>
    </xdr:from>
    <xdr:to>
      <xdr:col>11</xdr:col>
      <xdr:colOff>957381</xdr:colOff>
      <xdr:row>33</xdr:row>
      <xdr:rowOff>325617</xdr:rowOff>
    </xdr:to>
    <xdr:sp macro="[4]!RealizarPedido" textlink="">
      <xdr:nvSpPr>
        <xdr:cNvPr id="46" name="Retângulo Arredondado 11">
          <a:extLst>
            <a:ext uri="{FF2B5EF4-FFF2-40B4-BE49-F238E27FC236}">
              <a16:creationId xmlns:a16="http://schemas.microsoft.com/office/drawing/2014/main" id="{336EB450-8D88-4C72-B223-4ACE10028868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4252916" y="11005429"/>
          <a:ext cx="4047585" cy="1108328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8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E8A88E9-CAF9-48B2-BDB7-658DB7318067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BEBC365-A2EC-4FD9-8C6E-FE38D8FC7F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653CC731-03EF-4F17-AD07-03D33768AB0E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E358B9F-BCAF-45CC-A42D-47BACEFD6AFE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CUSTO FIXO E VARIAVEL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10</xdr:col>
      <xdr:colOff>361950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C1179918-4558-4657-B48B-C40BEE871F66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1745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VALORES PRODUTOS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1AA3732E-B8DD-4622-BBDC-16EE9C8C42BF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DRE</a:t>
          </a:r>
        </a:p>
      </xdr:txBody>
    </xdr:sp>
    <xdr:clientData/>
  </xdr:twoCellAnchor>
  <xdr:twoCellAnchor>
    <xdr:from>
      <xdr:col>0</xdr:col>
      <xdr:colOff>0</xdr:colOff>
      <xdr:row>31</xdr:row>
      <xdr:rowOff>65315</xdr:rowOff>
    </xdr:from>
    <xdr:to>
      <xdr:col>0</xdr:col>
      <xdr:colOff>0</xdr:colOff>
      <xdr:row>34</xdr:row>
      <xdr:rowOff>78037</xdr:rowOff>
    </xdr:to>
    <xdr:sp macro="" textlink="">
      <xdr:nvSpPr>
        <xdr:cNvPr id="9" name="Retângulo Arredondado 11">
          <a:extLst>
            <a:ext uri="{FF2B5EF4-FFF2-40B4-BE49-F238E27FC236}">
              <a16:creationId xmlns:a16="http://schemas.microsoft.com/office/drawing/2014/main" id="{90B9CF0F-ECFF-4DC6-A2CC-6640936385AA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812036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E834E01D-E2DB-4C99-95D5-2847CF1C311C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00300" y="0"/>
          <a:ext cx="1459980" cy="1162050"/>
          <a:chOff x="1993654" y="0"/>
          <a:chExt cx="1022595" cy="781538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04F90988-21F3-4C1A-ADEA-CF6C66839EDE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146E46A4-3C8B-4DDA-889F-C6FC3960007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B6CDB6BD-EAE9-465F-B98A-782D92ECEF8C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B0C89B50-6B10-486E-AB00-3049237EBE66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8047240F-DDDB-454D-A864-8C8DF090ED38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7C3E61C-357A-4770-99C2-59A9AA2FCE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D3884C30-36E5-40B7-B602-F0475AAC0C8D}"/>
            </a:ext>
          </a:extLst>
        </xdr:cNvPr>
        <xdr:cNvGrpSpPr/>
      </xdr:nvGrpSpPr>
      <xdr:grpSpPr>
        <a:xfrm>
          <a:off x="9528443" y="0"/>
          <a:ext cx="1598167" cy="1162050"/>
          <a:chOff x="4450172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E1EF63FC-FA2B-466E-8AB3-C62567AD5E84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7940C582-0F63-4984-9E45-F174BC1AF68A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5F9F955-93DA-4B7B-8CA6-9C9180CDF5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1335104</xdr:colOff>
      <xdr:row>0</xdr:row>
      <xdr:rowOff>0</xdr:rowOff>
    </xdr:from>
    <xdr:to>
      <xdr:col>10</xdr:col>
      <xdr:colOff>678298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1F7D76F7-DC03-4244-98C4-97666FF8AAB3}"/>
            </a:ext>
          </a:extLst>
        </xdr:cNvPr>
        <xdr:cNvGrpSpPr/>
      </xdr:nvGrpSpPr>
      <xdr:grpSpPr>
        <a:xfrm>
          <a:off x="13165154" y="0"/>
          <a:ext cx="1591094" cy="1162050"/>
          <a:chOff x="5781229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382E69ED-CBE3-486D-8276-BF9C3E7114E6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23153655-0D48-4A1B-BDE7-D0BF79CDED8D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6287B19-97DC-40B9-8936-37CACEF9EB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126041</xdr:colOff>
      <xdr:row>0</xdr:row>
      <xdr:rowOff>0</xdr:rowOff>
    </xdr:from>
    <xdr:to>
      <xdr:col>13</xdr:col>
      <xdr:colOff>290127</xdr:colOff>
      <xdr:row>3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FC77F513-CB84-41A3-AC4C-BFEF6BA51663}"/>
            </a:ext>
          </a:extLst>
        </xdr:cNvPr>
        <xdr:cNvGrpSpPr/>
      </xdr:nvGrpSpPr>
      <xdr:grpSpPr>
        <a:xfrm>
          <a:off x="16794791" y="0"/>
          <a:ext cx="1611886" cy="1162050"/>
          <a:chOff x="7112293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02DF2A64-5EE3-4137-AFA8-7E9FB83F53AD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A66DC67B-E864-45E8-817A-7F69E7FB78ED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398FB404-E988-4713-AFE8-A1A8957C45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244391</xdr:colOff>
      <xdr:row>0</xdr:row>
      <xdr:rowOff>0</xdr:rowOff>
    </xdr:from>
    <xdr:to>
      <xdr:col>15</xdr:col>
      <xdr:colOff>1700627</xdr:colOff>
      <xdr:row>3</xdr:row>
      <xdr:rowOff>0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0F4877AE-2545-4977-AC78-800C0A72BB96}"/>
            </a:ext>
          </a:extLst>
        </xdr:cNvPr>
        <xdr:cNvSpPr/>
      </xdr:nvSpPr>
      <xdr:spPr>
        <a:xfrm>
          <a:off x="20498351" y="0"/>
          <a:ext cx="1456236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195070</xdr:colOff>
      <xdr:row>2</xdr:row>
      <xdr:rowOff>384583</xdr:rowOff>
    </xdr:from>
    <xdr:to>
      <xdr:col>16</xdr:col>
      <xdr:colOff>73080</xdr:colOff>
      <xdr:row>2</xdr:row>
      <xdr:rowOff>762890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8219D730-482A-4E5D-9BA5-300589A1ABE6}"/>
            </a:ext>
          </a:extLst>
        </xdr:cNvPr>
        <xdr:cNvSpPr txBox="1"/>
      </xdr:nvSpPr>
      <xdr:spPr>
        <a:xfrm rot="10800000" flipH="1" flipV="1">
          <a:off x="20449030" y="750343"/>
          <a:ext cx="1600130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15</xdr:col>
      <xdr:colOff>683236</xdr:colOff>
      <xdr:row>0</xdr:row>
      <xdr:rowOff>136274</xdr:rowOff>
    </xdr:from>
    <xdr:to>
      <xdr:col>15</xdr:col>
      <xdr:colOff>1261779</xdr:colOff>
      <xdr:row>2</xdr:row>
      <xdr:rowOff>354262</xdr:rowOff>
    </xdr:to>
    <xdr:pic>
      <xdr:nvPicPr>
        <xdr:cNvPr id="31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5222E42-D2BE-4684-9F70-946627D27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BEBA8EAE-BF5A-486C-A8C5-ECC9F3942E4B}">
              <a14:imgProps xmlns:a14="http://schemas.microsoft.com/office/drawing/2010/main">
                <a14:imgLayer r:embed="rId17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937196" y="136274"/>
          <a:ext cx="578543" cy="583748"/>
        </a:xfrm>
        <a:prstGeom prst="rect">
          <a:avLst/>
        </a:prstGeom>
      </xdr:spPr>
    </xdr:pic>
    <xdr:clientData/>
  </xdr:twoCellAnchor>
  <xdr:twoCellAnchor editAs="absolute">
    <xdr:from>
      <xdr:col>18</xdr:col>
      <xdr:colOff>484456</xdr:colOff>
      <xdr:row>0</xdr:row>
      <xdr:rowOff>0</xdr:rowOff>
    </xdr:from>
    <xdr:to>
      <xdr:col>21</xdr:col>
      <xdr:colOff>109287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B3330805-1912-4F11-AFF6-7AA660872D28}"/>
            </a:ext>
          </a:extLst>
        </xdr:cNvPr>
        <xdr:cNvSpPr/>
      </xdr:nvSpPr>
      <xdr:spPr>
        <a:xfrm>
          <a:off x="24136936" y="0"/>
          <a:ext cx="145363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18</xdr:col>
      <xdr:colOff>435223</xdr:colOff>
      <xdr:row>2</xdr:row>
      <xdr:rowOff>384583</xdr:rowOff>
    </xdr:from>
    <xdr:to>
      <xdr:col>21</xdr:col>
      <xdr:colOff>196084</xdr:colOff>
      <xdr:row>2</xdr:row>
      <xdr:rowOff>762890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579AF2A1-C9B7-482E-9D89-5D7090DEF6F6}"/>
            </a:ext>
          </a:extLst>
        </xdr:cNvPr>
        <xdr:cNvSpPr txBox="1"/>
      </xdr:nvSpPr>
      <xdr:spPr>
        <a:xfrm rot="10800000" flipH="1" flipV="1">
          <a:off x="24087703" y="750343"/>
          <a:ext cx="158966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19</xdr:col>
      <xdr:colOff>312916</xdr:colOff>
      <xdr:row>0</xdr:row>
      <xdr:rowOff>136274</xdr:rowOff>
    </xdr:from>
    <xdr:to>
      <xdr:col>20</xdr:col>
      <xdr:colOff>280824</xdr:colOff>
      <xdr:row>2</xdr:row>
      <xdr:rowOff>354260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D1A55EB-A489-4C4D-BE10-34FE38961D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74996" y="136274"/>
          <a:ext cx="577508" cy="583746"/>
        </a:xfrm>
        <a:prstGeom prst="rect">
          <a:avLst/>
        </a:prstGeom>
        <a:noFill/>
      </xdr:spPr>
    </xdr:pic>
    <xdr:clientData/>
  </xdr:twoCellAnchor>
  <xdr:twoCellAnchor editAs="absolute">
    <xdr:from>
      <xdr:col>23</xdr:col>
      <xdr:colOff>443928</xdr:colOff>
      <xdr:row>0</xdr:row>
      <xdr:rowOff>0</xdr:rowOff>
    </xdr:from>
    <xdr:to>
      <xdr:col>23</xdr:col>
      <xdr:colOff>2042097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0F76E259-59EE-449A-81B9-F5F8046465FE}"/>
            </a:ext>
          </a:extLst>
        </xdr:cNvPr>
        <xdr:cNvGrpSpPr/>
      </xdr:nvGrpSpPr>
      <xdr:grpSpPr>
        <a:xfrm>
          <a:off x="27704478" y="0"/>
          <a:ext cx="1598169" cy="116205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07F0D300-280D-42DE-A966-17C966CB8CCE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C178919A-5DA7-4676-9305-00F00244F0EA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359BC28-A749-4258-9315-A60A31210D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24</xdr:col>
      <xdr:colOff>575439</xdr:colOff>
      <xdr:row>0</xdr:row>
      <xdr:rowOff>0</xdr:rowOff>
    </xdr:from>
    <xdr:to>
      <xdr:col>27</xdr:col>
      <xdr:colOff>344808</xdr:colOff>
      <xdr:row>3</xdr:row>
      <xdr:rowOff>0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9B780B22-7872-4DE1-8EEB-4558A49F4FF6}"/>
            </a:ext>
          </a:extLst>
        </xdr:cNvPr>
        <xdr:cNvGrpSpPr/>
      </xdr:nvGrpSpPr>
      <xdr:grpSpPr>
        <a:xfrm>
          <a:off x="31341189" y="0"/>
          <a:ext cx="1598169" cy="1162050"/>
          <a:chOff x="12260227" y="0"/>
          <a:chExt cx="1118316" cy="770164"/>
        </a:xfrm>
      </xdr:grpSpPr>
      <xdr:sp macro="" textlink="">
        <xdr:nvSpPr>
          <xdr:cNvPr id="40" name="Retângulo 39">
            <a:extLst>
              <a:ext uri="{FF2B5EF4-FFF2-40B4-BE49-F238E27FC236}">
                <a16:creationId xmlns:a16="http://schemas.microsoft.com/office/drawing/2014/main" id="{B5119F51-85F9-4378-8005-3B1B64D6528E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" name="CaixaDeTexto 40">
            <a:extLst>
              <a:ext uri="{FF2B5EF4-FFF2-40B4-BE49-F238E27FC236}">
                <a16:creationId xmlns:a16="http://schemas.microsoft.com/office/drawing/2014/main" id="{3D672DA5-8838-4872-A06B-D7A98AC82451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2" name="Imagem 41" descr="Ícone do banco de dados (símbolo png) preto">
            <a:extLst>
              <a:ext uri="{FF2B5EF4-FFF2-40B4-BE49-F238E27FC236}">
                <a16:creationId xmlns:a16="http://schemas.microsoft.com/office/drawing/2014/main" id="{B1F702EF-4D23-4255-8FFA-6A11B30BCFC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6</xdr:col>
      <xdr:colOff>1409700</xdr:colOff>
      <xdr:row>10</xdr:row>
      <xdr:rowOff>228600</xdr:rowOff>
    </xdr:from>
    <xdr:to>
      <xdr:col>21</xdr:col>
      <xdr:colOff>381000</xdr:colOff>
      <xdr:row>49</xdr:row>
      <xdr:rowOff>65572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A0AE90BF-58A8-42D8-BDEE-C5FF9F2EE047}"/>
            </a:ext>
            <a:ext uri="{147F2762-F138-4A5C-976F-8EAC2B608ADB}">
              <a16:predDERef xmlns:a16="http://schemas.microsoft.com/office/drawing/2014/main" pred="{45AAF0B4-637A-42E1-B7D2-A6E46851A7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>
          <a:alphaModFix amt="23000"/>
          <a:extLst>
            <a:ext uri="{BEBA8EAE-BF5A-486C-A8C5-ECC9F3942E4B}">
              <a14:imgProps xmlns:a14="http://schemas.microsoft.com/office/drawing/2010/main">
                <a14:imgLayer r:embed="rId25">
                  <a14:imgEffect>
                    <a14:brightnessContrast contrast="1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8158" b="8325"/>
        <a:stretch/>
      </xdr:blipFill>
      <xdr:spPr>
        <a:xfrm>
          <a:off x="10401300" y="3638550"/>
          <a:ext cx="15449550" cy="13953022"/>
        </a:xfrm>
        <a:prstGeom prst="rect">
          <a:avLst/>
        </a:prstGeom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D0E766C1-546B-49EB-9B23-2AC1CC5C25E8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CC46364-FC1C-45D6-A309-2FA8D6091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1D46D822-3678-44C6-96D2-0378B2BECE21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15D74C6A-FDF3-4A23-9C53-EA3B117642A8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CUSTO FIXO E VARIAVEL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10</xdr:col>
      <xdr:colOff>361950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517E42C-7970-4155-84CF-C21BE9EF8478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0983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VALORES PRODUTOS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89D2BF39-A6AA-479B-A77F-4797A76E9B39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DRE</a:t>
          </a: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:a16="http://schemas.microsoft.com/office/drawing/2014/main" id="{84045E74-C9DA-4AC4-B8A8-A8B52EE1FE0F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165604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8CDBAC92-CD02-476D-AF4A-707D3E0EFA10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00300" y="0"/>
          <a:ext cx="1459980" cy="1162050"/>
          <a:chOff x="1993654" y="0"/>
          <a:chExt cx="1022595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6308F832-CE85-495C-A885-EFE23FF7A050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8E19AD1-2000-42DB-AFED-BAEB5F1F68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356FD34C-5B89-4338-9108-D837E8FB3DBA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3AEE41E9-9BD3-4BC5-906D-2F6EACDF3C63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E57EB052-0F02-40EF-B61B-FFC0B7038404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551CA8D-06C6-48BC-A868-453CBB6A3F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CA9DA564-2490-47CB-BFE1-676A8539F8BE}"/>
            </a:ext>
          </a:extLst>
        </xdr:cNvPr>
        <xdr:cNvGrpSpPr/>
      </xdr:nvGrpSpPr>
      <xdr:grpSpPr>
        <a:xfrm>
          <a:off x="9528443" y="0"/>
          <a:ext cx="1598167" cy="1162050"/>
          <a:chOff x="4450172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84047F41-6F12-4328-B11B-939B7A603813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DCC25F4A-7FCD-44B4-8EEE-241899FA06B2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400D7B4-01CD-4E68-927A-49F7310F98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1335104</xdr:colOff>
      <xdr:row>0</xdr:row>
      <xdr:rowOff>0</xdr:rowOff>
    </xdr:from>
    <xdr:to>
      <xdr:col>10</xdr:col>
      <xdr:colOff>678298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3E99E84F-3481-4E6D-B3EE-9D05F5B9F5BB}"/>
            </a:ext>
          </a:extLst>
        </xdr:cNvPr>
        <xdr:cNvGrpSpPr/>
      </xdr:nvGrpSpPr>
      <xdr:grpSpPr>
        <a:xfrm>
          <a:off x="13165154" y="0"/>
          <a:ext cx="1591094" cy="1162050"/>
          <a:chOff x="578122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F844FDB0-EB86-4D2A-B743-A2F4249181D6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D4FD03D5-F824-4D26-A224-6CC61D0AD75C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F538F05-A436-4F07-98F7-F5156A1F23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640391</xdr:colOff>
      <xdr:row>0</xdr:row>
      <xdr:rowOff>0</xdr:rowOff>
    </xdr:from>
    <xdr:to>
      <xdr:col>14</xdr:col>
      <xdr:colOff>118677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9B18ABC3-E00E-4459-869F-A3048C8354B1}"/>
            </a:ext>
          </a:extLst>
        </xdr:cNvPr>
        <xdr:cNvGrpSpPr/>
      </xdr:nvGrpSpPr>
      <xdr:grpSpPr>
        <a:xfrm>
          <a:off x="16794791" y="0"/>
          <a:ext cx="1611886" cy="1162050"/>
          <a:chOff x="711229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93386D9F-FF8C-4E62-A9D4-C8A705C34F54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85164EDB-78E5-4DA6-9CE3-1B6B3C53F748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CDB22C0-62DD-4FE7-8508-EF4EB92B735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758741</xdr:colOff>
      <xdr:row>0</xdr:row>
      <xdr:rowOff>0</xdr:rowOff>
    </xdr:from>
    <xdr:to>
      <xdr:col>16</xdr:col>
      <xdr:colOff>500477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483AC975-9837-4576-BE12-F7662E279646}"/>
            </a:ext>
          </a:extLst>
        </xdr:cNvPr>
        <xdr:cNvSpPr/>
      </xdr:nvSpPr>
      <xdr:spPr>
        <a:xfrm>
          <a:off x="20494541" y="0"/>
          <a:ext cx="1456236" cy="11620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709420</xdr:colOff>
      <xdr:row>2</xdr:row>
      <xdr:rowOff>384583</xdr:rowOff>
    </xdr:from>
    <xdr:to>
      <xdr:col>16</xdr:col>
      <xdr:colOff>587430</xdr:colOff>
      <xdr:row>2</xdr:row>
      <xdr:rowOff>762890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74B9A4CF-4083-4784-A064-6E8155DCB5E8}"/>
            </a:ext>
          </a:extLst>
        </xdr:cNvPr>
        <xdr:cNvSpPr txBox="1"/>
      </xdr:nvSpPr>
      <xdr:spPr>
        <a:xfrm rot="10800000" flipH="1" flipV="1">
          <a:off x="20445220" y="765583"/>
          <a:ext cx="1592510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15</xdr:col>
      <xdr:colOff>1197586</xdr:colOff>
      <xdr:row>0</xdr:row>
      <xdr:rowOff>136274</xdr:rowOff>
    </xdr:from>
    <xdr:to>
      <xdr:col>16</xdr:col>
      <xdr:colOff>61629</xdr:colOff>
      <xdr:row>2</xdr:row>
      <xdr:rowOff>354262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D94EEB5-644C-4877-911F-16B391A398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BEBA8EAE-BF5A-486C-A8C5-ECC9F3942E4B}">
              <a14:imgProps xmlns:a14="http://schemas.microsoft.com/office/drawing/2010/main">
                <a14:imgLayer r:embed="rId17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933386" y="136274"/>
          <a:ext cx="578543" cy="598988"/>
        </a:xfrm>
        <a:prstGeom prst="rect">
          <a:avLst/>
        </a:prstGeom>
      </xdr:spPr>
    </xdr:pic>
    <xdr:clientData/>
  </xdr:twoCellAnchor>
  <xdr:twoCellAnchor editAs="absolute">
    <xdr:from>
      <xdr:col>19</xdr:col>
      <xdr:colOff>389206</xdr:colOff>
      <xdr:row>0</xdr:row>
      <xdr:rowOff>0</xdr:rowOff>
    </xdr:from>
    <xdr:to>
      <xdr:col>21</xdr:col>
      <xdr:colOff>623637</xdr:colOff>
      <xdr:row>3</xdr:row>
      <xdr:rowOff>0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DB9BEABA-BA7B-45DF-89EA-B273C8D0B0C2}"/>
            </a:ext>
          </a:extLst>
        </xdr:cNvPr>
        <xdr:cNvSpPr/>
      </xdr:nvSpPr>
      <xdr:spPr>
        <a:xfrm>
          <a:off x="24140746" y="0"/>
          <a:ext cx="146125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19</xdr:col>
      <xdr:colOff>339973</xdr:colOff>
      <xdr:row>2</xdr:row>
      <xdr:rowOff>384583</xdr:rowOff>
    </xdr:from>
    <xdr:to>
      <xdr:col>21</xdr:col>
      <xdr:colOff>710434</xdr:colOff>
      <xdr:row>2</xdr:row>
      <xdr:rowOff>762890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10C6B9BE-C511-452E-BD11-D7E01CBB1DF8}"/>
            </a:ext>
          </a:extLst>
        </xdr:cNvPr>
        <xdr:cNvSpPr txBox="1"/>
      </xdr:nvSpPr>
      <xdr:spPr>
        <a:xfrm rot="10800000" flipH="1" flipV="1">
          <a:off x="24091513" y="750343"/>
          <a:ext cx="159728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20</xdr:col>
      <xdr:colOff>217666</xdr:colOff>
      <xdr:row>0</xdr:row>
      <xdr:rowOff>136274</xdr:rowOff>
    </xdr:from>
    <xdr:to>
      <xdr:col>21</xdr:col>
      <xdr:colOff>185574</xdr:colOff>
      <xdr:row>2</xdr:row>
      <xdr:rowOff>354260</xdr:rowOff>
    </xdr:to>
    <xdr:pic>
      <xdr:nvPicPr>
        <xdr:cNvPr id="37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94BD277-8379-4813-A8A0-A3633ED404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78806" y="136274"/>
          <a:ext cx="585128" cy="583746"/>
        </a:xfrm>
        <a:prstGeom prst="rect">
          <a:avLst/>
        </a:prstGeom>
        <a:noFill/>
      </xdr:spPr>
    </xdr:pic>
    <xdr:clientData/>
  </xdr:twoCellAnchor>
  <xdr:twoCellAnchor editAs="absolute">
    <xdr:from>
      <xdr:col>23</xdr:col>
      <xdr:colOff>958278</xdr:colOff>
      <xdr:row>0</xdr:row>
      <xdr:rowOff>0</xdr:rowOff>
    </xdr:from>
    <xdr:to>
      <xdr:col>23</xdr:col>
      <xdr:colOff>2556447</xdr:colOff>
      <xdr:row>3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BB95BB79-4D76-48D2-9637-01E4F99EFF68}"/>
            </a:ext>
          </a:extLst>
        </xdr:cNvPr>
        <xdr:cNvGrpSpPr/>
      </xdr:nvGrpSpPr>
      <xdr:grpSpPr>
        <a:xfrm>
          <a:off x="27704478" y="0"/>
          <a:ext cx="1598169" cy="1162050"/>
          <a:chOff x="11105473" y="0"/>
          <a:chExt cx="1118289" cy="781538"/>
        </a:xfrm>
      </xdr:grpSpPr>
      <xdr:sp macro="" textlink="">
        <xdr:nvSpPr>
          <xdr:cNvPr id="39" name="Retângulo 38">
            <a:extLst>
              <a:ext uri="{FF2B5EF4-FFF2-40B4-BE49-F238E27FC236}">
                <a16:creationId xmlns:a16="http://schemas.microsoft.com/office/drawing/2014/main" id="{E3FE50BE-F8E8-4333-B6D4-142F9DD6B14A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CaixaDeTexto 39">
            <a:extLst>
              <a:ext uri="{FF2B5EF4-FFF2-40B4-BE49-F238E27FC236}">
                <a16:creationId xmlns:a16="http://schemas.microsoft.com/office/drawing/2014/main" id="{F412F39D-470C-4646-831F-ACDBC12896A0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41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58D0578-C599-4C28-9C39-90D6BB9310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25</xdr:col>
      <xdr:colOff>480189</xdr:colOff>
      <xdr:row>0</xdr:row>
      <xdr:rowOff>0</xdr:rowOff>
    </xdr:from>
    <xdr:to>
      <xdr:col>28</xdr:col>
      <xdr:colOff>249558</xdr:colOff>
      <xdr:row>3</xdr:row>
      <xdr:rowOff>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674E7D38-3B66-4BE4-9A3B-4CDBAA03316B}"/>
            </a:ext>
          </a:extLst>
        </xdr:cNvPr>
        <xdr:cNvGrpSpPr/>
      </xdr:nvGrpSpPr>
      <xdr:grpSpPr>
        <a:xfrm>
          <a:off x="31341189" y="0"/>
          <a:ext cx="1598169" cy="1162050"/>
          <a:chOff x="12260227" y="0"/>
          <a:chExt cx="1118316" cy="770164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id="{E80F82B2-03C8-4C8B-8701-F630D8120E4C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id="{BFB5E0DF-691B-4811-9789-EBD8A0C1C08F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5" name="Imagem 44" descr="Ícone do banco de dados (símbolo png) preto">
            <a:extLst>
              <a:ext uri="{FF2B5EF4-FFF2-40B4-BE49-F238E27FC236}">
                <a16:creationId xmlns:a16="http://schemas.microsoft.com/office/drawing/2014/main" id="{BDAAF352-995D-4B07-953E-0FCDCF530F1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E384F89F-201F-4244-8842-E24BE63451C3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FFFE44D-CD4D-4417-8905-0FAA76A9C0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372B8EC-D030-462E-AEA2-C0CE9E590A86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86391551-B1BD-4451-8EA7-017436553759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CUSTO FIXO E VARIAVEL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1047750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F608D35-DC21-418D-A104-4422523EE29E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1745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VALORES PRODUTOS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9CFFE4D5-75D3-418E-B32D-42C09A967026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DRE</a:t>
          </a: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9" name="Retângulo Arredondado 11">
          <a:extLst>
            <a:ext uri="{FF2B5EF4-FFF2-40B4-BE49-F238E27FC236}">
              <a16:creationId xmlns:a16="http://schemas.microsoft.com/office/drawing/2014/main" id="{20208FD1-E0D4-4D59-93C2-0FDB8DF4DB95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812036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34CCCB25-E24B-48CB-8393-8F2A43D22141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00300" y="0"/>
          <a:ext cx="1459980" cy="1162050"/>
          <a:chOff x="1993654" y="0"/>
          <a:chExt cx="1022595" cy="781538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B988CFF9-92DC-4955-973F-D8671A701ECE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914A323-390A-48EF-9F17-410AAE82FEA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64D31C25-A2D5-45EB-B384-15D1D34892DF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548248C5-9BC4-4602-B93B-08668F8BC4F9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FF8AE54B-741B-4753-A4F9-37B69AB8C2CC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EF9464A-9946-419D-A819-4D1C0094E0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D0C680BA-D1B1-4979-A174-1050AFD8AA54}"/>
            </a:ext>
          </a:extLst>
        </xdr:cNvPr>
        <xdr:cNvGrpSpPr/>
      </xdr:nvGrpSpPr>
      <xdr:grpSpPr>
        <a:xfrm>
          <a:off x="9528443" y="0"/>
          <a:ext cx="1598167" cy="1162050"/>
          <a:chOff x="4450172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EC36C19F-8733-439D-AD5E-CD7E4A4E39E8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8584AD04-B494-4689-A3F2-1A1BAB0025DD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6CB33C8-D609-40C8-BD8F-1D7D15CF28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1335104</xdr:colOff>
      <xdr:row>0</xdr:row>
      <xdr:rowOff>0</xdr:rowOff>
    </xdr:from>
    <xdr:to>
      <xdr:col>9</xdr:col>
      <xdr:colOff>1364098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541484A3-217F-4F0C-B195-A9A721C97217}"/>
            </a:ext>
          </a:extLst>
        </xdr:cNvPr>
        <xdr:cNvGrpSpPr/>
      </xdr:nvGrpSpPr>
      <xdr:grpSpPr>
        <a:xfrm>
          <a:off x="13165154" y="0"/>
          <a:ext cx="1591094" cy="1162050"/>
          <a:chOff x="5781229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271C1012-BBE0-4A76-8E5E-B4083F0672B4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CF486811-377E-46C4-9831-F4465444B675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68B106F-4C3D-4FB9-86D4-15D6DE7FD5F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3402641</xdr:colOff>
      <xdr:row>0</xdr:row>
      <xdr:rowOff>0</xdr:rowOff>
    </xdr:from>
    <xdr:to>
      <xdr:col>9</xdr:col>
      <xdr:colOff>5014527</xdr:colOff>
      <xdr:row>3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E862A781-94B2-427A-B37E-3617F3485AC3}"/>
            </a:ext>
          </a:extLst>
        </xdr:cNvPr>
        <xdr:cNvGrpSpPr/>
      </xdr:nvGrpSpPr>
      <xdr:grpSpPr>
        <a:xfrm>
          <a:off x="16794791" y="0"/>
          <a:ext cx="1611886" cy="1162050"/>
          <a:chOff x="7112293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62B5F2E3-C4B0-4F88-A9D0-12B3B4D13A14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C4BD4BC4-2A09-44FF-ACFD-D9127E356630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3E4C5C2-B49C-420B-BE03-57D3AD9F60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1501691</xdr:colOff>
      <xdr:row>0</xdr:row>
      <xdr:rowOff>0</xdr:rowOff>
    </xdr:from>
    <xdr:to>
      <xdr:col>12</xdr:col>
      <xdr:colOff>271877</xdr:colOff>
      <xdr:row>3</xdr:row>
      <xdr:rowOff>0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65D5EE58-80A5-4A04-AF74-5203E2273FEB}"/>
            </a:ext>
          </a:extLst>
        </xdr:cNvPr>
        <xdr:cNvSpPr/>
      </xdr:nvSpPr>
      <xdr:spPr>
        <a:xfrm>
          <a:off x="20498351" y="0"/>
          <a:ext cx="1456236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1452370</xdr:colOff>
      <xdr:row>2</xdr:row>
      <xdr:rowOff>384583</xdr:rowOff>
    </xdr:from>
    <xdr:to>
      <xdr:col>12</xdr:col>
      <xdr:colOff>358830</xdr:colOff>
      <xdr:row>2</xdr:row>
      <xdr:rowOff>762890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0A98E6AC-04FD-455A-B794-0716AA30CB8D}"/>
            </a:ext>
          </a:extLst>
        </xdr:cNvPr>
        <xdr:cNvSpPr txBox="1"/>
      </xdr:nvSpPr>
      <xdr:spPr>
        <a:xfrm rot="10800000" flipH="1" flipV="1">
          <a:off x="20449030" y="750343"/>
          <a:ext cx="1600130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11</xdr:col>
      <xdr:colOff>397486</xdr:colOff>
      <xdr:row>0</xdr:row>
      <xdr:rowOff>136274</xdr:rowOff>
    </xdr:from>
    <xdr:to>
      <xdr:col>11</xdr:col>
      <xdr:colOff>976029</xdr:colOff>
      <xdr:row>2</xdr:row>
      <xdr:rowOff>354262</xdr:rowOff>
    </xdr:to>
    <xdr:pic>
      <xdr:nvPicPr>
        <xdr:cNvPr id="31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8779E6A-34A1-4C9B-8346-FC25621882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BEBA8EAE-BF5A-486C-A8C5-ECC9F3942E4B}">
              <a14:imgProps xmlns:a14="http://schemas.microsoft.com/office/drawing/2010/main">
                <a14:imgLayer r:embed="rId17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937196" y="136274"/>
          <a:ext cx="578543" cy="583748"/>
        </a:xfrm>
        <a:prstGeom prst="rect">
          <a:avLst/>
        </a:prstGeom>
      </xdr:spPr>
    </xdr:pic>
    <xdr:clientData/>
  </xdr:twoCellAnchor>
  <xdr:twoCellAnchor editAs="absolute">
    <xdr:from>
      <xdr:col>14</xdr:col>
      <xdr:colOff>313006</xdr:colOff>
      <xdr:row>0</xdr:row>
      <xdr:rowOff>0</xdr:rowOff>
    </xdr:from>
    <xdr:to>
      <xdr:col>15</xdr:col>
      <xdr:colOff>318837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E9374132-33FB-4F43-9103-B6A626F802EE}"/>
            </a:ext>
          </a:extLst>
        </xdr:cNvPr>
        <xdr:cNvSpPr/>
      </xdr:nvSpPr>
      <xdr:spPr>
        <a:xfrm>
          <a:off x="24136936" y="0"/>
          <a:ext cx="145363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263773</xdr:colOff>
      <xdr:row>2</xdr:row>
      <xdr:rowOff>384583</xdr:rowOff>
    </xdr:from>
    <xdr:to>
      <xdr:col>15</xdr:col>
      <xdr:colOff>405634</xdr:colOff>
      <xdr:row>2</xdr:row>
      <xdr:rowOff>762890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DA07DC8A-5607-4C49-ADCB-DFF9FEA12017}"/>
            </a:ext>
          </a:extLst>
        </xdr:cNvPr>
        <xdr:cNvSpPr txBox="1"/>
      </xdr:nvSpPr>
      <xdr:spPr>
        <a:xfrm rot="10800000" flipH="1" flipV="1">
          <a:off x="24087703" y="750343"/>
          <a:ext cx="158966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14</xdr:col>
      <xdr:colOff>751066</xdr:colOff>
      <xdr:row>0</xdr:row>
      <xdr:rowOff>136274</xdr:rowOff>
    </xdr:from>
    <xdr:to>
      <xdr:col>14</xdr:col>
      <xdr:colOff>1328574</xdr:colOff>
      <xdr:row>2</xdr:row>
      <xdr:rowOff>354260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BD740E1-48AE-4B24-8E6E-24AF5F4AC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74996" y="136274"/>
          <a:ext cx="577508" cy="583746"/>
        </a:xfrm>
        <a:prstGeom prst="rect">
          <a:avLst/>
        </a:prstGeom>
        <a:noFill/>
      </xdr:spPr>
    </xdr:pic>
    <xdr:clientData/>
  </xdr:twoCellAnchor>
  <xdr:twoCellAnchor editAs="absolute">
    <xdr:from>
      <xdr:col>16</xdr:col>
      <xdr:colOff>729678</xdr:colOff>
      <xdr:row>0</xdr:row>
      <xdr:rowOff>0</xdr:rowOff>
    </xdr:from>
    <xdr:to>
      <xdr:col>19</xdr:col>
      <xdr:colOff>41847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33B61557-F499-4D73-B0CC-DA21F1AC62D1}"/>
            </a:ext>
          </a:extLst>
        </xdr:cNvPr>
        <xdr:cNvGrpSpPr/>
      </xdr:nvGrpSpPr>
      <xdr:grpSpPr>
        <a:xfrm>
          <a:off x="27704478" y="0"/>
          <a:ext cx="1598169" cy="116205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7FF9A647-50C7-4457-A24A-770BDF21BF26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C92C8245-6449-4F7E-95CF-B74D738E30A3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FCCF80D-CAA9-4926-8FB9-C1E13C93A18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21</xdr:col>
      <xdr:colOff>861189</xdr:colOff>
      <xdr:row>0</xdr:row>
      <xdr:rowOff>0</xdr:rowOff>
    </xdr:from>
    <xdr:to>
      <xdr:col>23</xdr:col>
      <xdr:colOff>668658</xdr:colOff>
      <xdr:row>3</xdr:row>
      <xdr:rowOff>0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EAFF5D57-A6B0-467E-BE33-846B2A817891}"/>
            </a:ext>
          </a:extLst>
        </xdr:cNvPr>
        <xdr:cNvGrpSpPr/>
      </xdr:nvGrpSpPr>
      <xdr:grpSpPr>
        <a:xfrm>
          <a:off x="31341189" y="0"/>
          <a:ext cx="1598169" cy="1162050"/>
          <a:chOff x="12260227" y="0"/>
          <a:chExt cx="1118316" cy="770164"/>
        </a:xfrm>
      </xdr:grpSpPr>
      <xdr:sp macro="" textlink="">
        <xdr:nvSpPr>
          <xdr:cNvPr id="40" name="Retângulo 39">
            <a:extLst>
              <a:ext uri="{FF2B5EF4-FFF2-40B4-BE49-F238E27FC236}">
                <a16:creationId xmlns:a16="http://schemas.microsoft.com/office/drawing/2014/main" id="{9737AC46-D6FD-41E0-AF4C-1A9DAC474F4D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" name="CaixaDeTexto 40">
            <a:extLst>
              <a:ext uri="{FF2B5EF4-FFF2-40B4-BE49-F238E27FC236}">
                <a16:creationId xmlns:a16="http://schemas.microsoft.com/office/drawing/2014/main" id="{ED91A637-748B-4F15-91D6-5F7B9A572AAC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2" name="Imagem 41" descr="Ícone do banco de dados (símbolo png) preto">
            <a:extLst>
              <a:ext uri="{FF2B5EF4-FFF2-40B4-BE49-F238E27FC236}">
                <a16:creationId xmlns:a16="http://schemas.microsoft.com/office/drawing/2014/main" id="{013DE577-9588-4ED9-9F9C-CDCC32B7A67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C4D1889-6B7F-40FC-9BBC-D2B393C6BF8F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294D924-6FB5-46CE-A2AC-A008EA822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23C48F96-81E5-426C-A172-329E6D6FDE0D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A755EF72-EA21-4327-AAD3-67A809A0880A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CUSTO FIXO E VARIAVEL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8</xdr:col>
      <xdr:colOff>1447800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1B715594-02FE-4425-B946-77E26E6D6043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0983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VALORES PRODUTOS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1166A1E7-5648-417E-9FBF-841BFA79F91C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DRE</a:t>
          </a:r>
        </a:p>
      </xdr:txBody>
    </xdr:sp>
    <xdr:clientData/>
  </xdr:twoCellAnchor>
  <xdr:twoCellAnchor>
    <xdr:from>
      <xdr:col>10</xdr:col>
      <xdr:colOff>0</xdr:colOff>
      <xdr:row>31</xdr:row>
      <xdr:rowOff>65315</xdr:rowOff>
    </xdr:from>
    <xdr:to>
      <xdr:col>10</xdr:col>
      <xdr:colOff>0</xdr:colOff>
      <xdr:row>34</xdr:row>
      <xdr:rowOff>78037</xdr:rowOff>
    </xdr:to>
    <xdr:sp macro="" textlink="">
      <xdr:nvSpPr>
        <xdr:cNvPr id="9" name="Retângulo Arredondado 11">
          <a:extLst>
            <a:ext uri="{FF2B5EF4-FFF2-40B4-BE49-F238E27FC236}">
              <a16:creationId xmlns:a16="http://schemas.microsoft.com/office/drawing/2014/main" id="{25B3B3E5-4D35-4219-9B3E-E7B2B842B01C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313432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57F46F70-E375-41B5-BB7A-5203D29919D1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00300" y="0"/>
          <a:ext cx="1459980" cy="1162050"/>
          <a:chOff x="1993654" y="0"/>
          <a:chExt cx="1022595" cy="781538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AF4E42B7-A80B-4FD7-A335-CA45BF4F1706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E0185D8E-5F07-4D29-B0AE-DD989633DC7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04D6C07F-90B2-4DFE-936A-8AC8995DC284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3E106B8E-E58A-4A57-92D6-DC997C749840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A88EBB95-0D17-478F-8AF5-FD913AD7F488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8E0DB9E-0B3D-4C80-9B70-0F82F55F8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B3B40A0B-85C0-4256-B8CC-DA7F5544AC79}"/>
            </a:ext>
          </a:extLst>
        </xdr:cNvPr>
        <xdr:cNvGrpSpPr/>
      </xdr:nvGrpSpPr>
      <xdr:grpSpPr>
        <a:xfrm>
          <a:off x="9528443" y="0"/>
          <a:ext cx="1598167" cy="1162050"/>
          <a:chOff x="4450172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CA06381C-A5C6-401A-AA84-ADFFFF7EBBF5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54B70EC0-A0B7-485F-88F9-4BA646C91E9D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733C0C7A-7CA5-423F-8E10-1A1C56949E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173054</xdr:colOff>
      <xdr:row>0</xdr:row>
      <xdr:rowOff>0</xdr:rowOff>
    </xdr:from>
    <xdr:to>
      <xdr:col>9</xdr:col>
      <xdr:colOff>202048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A47596ED-173D-46BF-B2D3-4F48374A2A30}"/>
            </a:ext>
          </a:extLst>
        </xdr:cNvPr>
        <xdr:cNvGrpSpPr/>
      </xdr:nvGrpSpPr>
      <xdr:grpSpPr>
        <a:xfrm>
          <a:off x="13165154" y="0"/>
          <a:ext cx="1591094" cy="1162050"/>
          <a:chOff x="5781229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7ABF84A9-2276-49B6-8878-99B347A5BB5A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D18D8E8C-1616-4044-9C8D-336DCFB3FF7F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CF4613A-06EF-4E05-AF91-557644EC3E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2240591</xdr:colOff>
      <xdr:row>0</xdr:row>
      <xdr:rowOff>0</xdr:rowOff>
    </xdr:from>
    <xdr:to>
      <xdr:col>10</xdr:col>
      <xdr:colOff>461577</xdr:colOff>
      <xdr:row>3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C41291CF-8DA1-4237-B01D-335F86D8D9B5}"/>
            </a:ext>
          </a:extLst>
        </xdr:cNvPr>
        <xdr:cNvGrpSpPr/>
      </xdr:nvGrpSpPr>
      <xdr:grpSpPr>
        <a:xfrm>
          <a:off x="16794791" y="0"/>
          <a:ext cx="1611886" cy="1162050"/>
          <a:chOff x="7112293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DF283481-7767-4BDB-8EF1-8A9D12BC66EC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D7F5817F-89E3-4587-91FE-37BE887DE081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B85B961-DF66-4653-AC49-35E67DC00F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1006391</xdr:colOff>
      <xdr:row>0</xdr:row>
      <xdr:rowOff>0</xdr:rowOff>
    </xdr:from>
    <xdr:to>
      <xdr:col>11</xdr:col>
      <xdr:colOff>2462627</xdr:colOff>
      <xdr:row>3</xdr:row>
      <xdr:rowOff>0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16693DBD-CDE3-4BC7-828C-50E5A99B43CB}"/>
            </a:ext>
          </a:extLst>
        </xdr:cNvPr>
        <xdr:cNvSpPr/>
      </xdr:nvSpPr>
      <xdr:spPr>
        <a:xfrm>
          <a:off x="20505971" y="0"/>
          <a:ext cx="1460046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957070</xdr:colOff>
      <xdr:row>2</xdr:row>
      <xdr:rowOff>384583</xdr:rowOff>
    </xdr:from>
    <xdr:to>
      <xdr:col>12</xdr:col>
      <xdr:colOff>34980</xdr:colOff>
      <xdr:row>2</xdr:row>
      <xdr:rowOff>762890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C169AAEE-3230-4F73-AC67-BA5B038C9863}"/>
            </a:ext>
          </a:extLst>
        </xdr:cNvPr>
        <xdr:cNvSpPr txBox="1"/>
      </xdr:nvSpPr>
      <xdr:spPr>
        <a:xfrm rot="10800000" flipH="1" flipV="1">
          <a:off x="20456650" y="750343"/>
          <a:ext cx="1596320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11</xdr:col>
      <xdr:colOff>1437616</xdr:colOff>
      <xdr:row>0</xdr:row>
      <xdr:rowOff>136274</xdr:rowOff>
    </xdr:from>
    <xdr:to>
      <xdr:col>11</xdr:col>
      <xdr:colOff>2023779</xdr:colOff>
      <xdr:row>2</xdr:row>
      <xdr:rowOff>354262</xdr:rowOff>
    </xdr:to>
    <xdr:pic>
      <xdr:nvPicPr>
        <xdr:cNvPr id="31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6DC1418-C221-417B-820D-8F5F69888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BEBA8EAE-BF5A-486C-A8C5-ECC9F3942E4B}">
              <a14:imgProps xmlns:a14="http://schemas.microsoft.com/office/drawing/2010/main">
                <a14:imgLayer r:embed="rId17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941006" y="136274"/>
          <a:ext cx="578543" cy="583748"/>
        </a:xfrm>
        <a:prstGeom prst="rect">
          <a:avLst/>
        </a:prstGeom>
      </xdr:spPr>
    </xdr:pic>
    <xdr:clientData/>
  </xdr:twoCellAnchor>
  <xdr:twoCellAnchor editAs="absolute">
    <xdr:from>
      <xdr:col>13</xdr:col>
      <xdr:colOff>674956</xdr:colOff>
      <xdr:row>0</xdr:row>
      <xdr:rowOff>0</xdr:rowOff>
    </xdr:from>
    <xdr:to>
      <xdr:col>14</xdr:col>
      <xdr:colOff>414087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2B7A5DA3-FE36-44C0-908F-C120CE42129F}"/>
            </a:ext>
          </a:extLst>
        </xdr:cNvPr>
        <xdr:cNvSpPr/>
      </xdr:nvSpPr>
      <xdr:spPr>
        <a:xfrm>
          <a:off x="24140746" y="0"/>
          <a:ext cx="144601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625723</xdr:colOff>
      <xdr:row>2</xdr:row>
      <xdr:rowOff>384583</xdr:rowOff>
    </xdr:from>
    <xdr:to>
      <xdr:col>14</xdr:col>
      <xdr:colOff>500884</xdr:colOff>
      <xdr:row>2</xdr:row>
      <xdr:rowOff>762890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2245D329-2E81-47F0-9CDD-CB986B9940F3}"/>
            </a:ext>
          </a:extLst>
        </xdr:cNvPr>
        <xdr:cNvSpPr txBox="1"/>
      </xdr:nvSpPr>
      <xdr:spPr>
        <a:xfrm rot="10800000" flipH="1" flipV="1">
          <a:off x="24091513" y="750343"/>
          <a:ext cx="158204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13</xdr:col>
      <xdr:colOff>1113016</xdr:colOff>
      <xdr:row>0</xdr:row>
      <xdr:rowOff>136274</xdr:rowOff>
    </xdr:from>
    <xdr:to>
      <xdr:col>13</xdr:col>
      <xdr:colOff>1690524</xdr:colOff>
      <xdr:row>2</xdr:row>
      <xdr:rowOff>354260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2F1133F-6310-4B18-82BB-CD9EEC712E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78806" y="136274"/>
          <a:ext cx="577508" cy="583746"/>
        </a:xfrm>
        <a:prstGeom prst="rect">
          <a:avLst/>
        </a:prstGeom>
        <a:noFill/>
      </xdr:spPr>
    </xdr:pic>
    <xdr:clientData/>
  </xdr:twoCellAnchor>
  <xdr:twoCellAnchor editAs="absolute">
    <xdr:from>
      <xdr:col>17</xdr:col>
      <xdr:colOff>253428</xdr:colOff>
      <xdr:row>0</xdr:row>
      <xdr:rowOff>0</xdr:rowOff>
    </xdr:from>
    <xdr:to>
      <xdr:col>19</xdr:col>
      <xdr:colOff>632397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99439B75-78B4-4010-A988-663A8FD5037F}"/>
            </a:ext>
          </a:extLst>
        </xdr:cNvPr>
        <xdr:cNvGrpSpPr/>
      </xdr:nvGrpSpPr>
      <xdr:grpSpPr>
        <a:xfrm>
          <a:off x="27704478" y="0"/>
          <a:ext cx="1598169" cy="116205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BD26C1A7-6EB8-4769-A077-B8E21DB498F9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B17D1B80-FBF3-42C5-94F1-14FDD0EFD1CF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C361DA8-FCCA-452E-A17F-9061C6B0DCF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21</xdr:col>
      <xdr:colOff>880239</xdr:colOff>
      <xdr:row>0</xdr:row>
      <xdr:rowOff>0</xdr:rowOff>
    </xdr:from>
    <xdr:to>
      <xdr:col>21</xdr:col>
      <xdr:colOff>2478408</xdr:colOff>
      <xdr:row>3</xdr:row>
      <xdr:rowOff>0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352797A2-96FB-4C2B-A935-856C8EEE2A8C}"/>
            </a:ext>
          </a:extLst>
        </xdr:cNvPr>
        <xdr:cNvGrpSpPr/>
      </xdr:nvGrpSpPr>
      <xdr:grpSpPr>
        <a:xfrm>
          <a:off x="31341189" y="0"/>
          <a:ext cx="1598169" cy="1162050"/>
          <a:chOff x="12260227" y="0"/>
          <a:chExt cx="1118316" cy="770164"/>
        </a:xfrm>
      </xdr:grpSpPr>
      <xdr:sp macro="" textlink="">
        <xdr:nvSpPr>
          <xdr:cNvPr id="40" name="Retângulo 39">
            <a:extLst>
              <a:ext uri="{FF2B5EF4-FFF2-40B4-BE49-F238E27FC236}">
                <a16:creationId xmlns:a16="http://schemas.microsoft.com/office/drawing/2014/main" id="{FF002289-51EE-4CF4-AABC-1880189BC1C1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" name="CaixaDeTexto 40">
            <a:extLst>
              <a:ext uri="{FF2B5EF4-FFF2-40B4-BE49-F238E27FC236}">
                <a16:creationId xmlns:a16="http://schemas.microsoft.com/office/drawing/2014/main" id="{035AE527-2638-4328-BFEE-18E3BC8484AE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2" name="Imagem 41" descr="Ícone do banco de dados (símbolo png) preto">
            <a:extLst>
              <a:ext uri="{FF2B5EF4-FFF2-40B4-BE49-F238E27FC236}">
                <a16:creationId xmlns:a16="http://schemas.microsoft.com/office/drawing/2014/main" id="{35200E4C-D202-4785-877B-1DE54C79875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A22D6896-C1F8-4CA4-897C-C3121965F21F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CACCC91-87B4-47AC-B0C7-DB7937B493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E14014CC-3ABB-4F44-9AE9-51BF34C3F24A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095B8E7-0D0B-46BF-A35F-2647857251C9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BD PRODUTOS</a:t>
          </a:r>
        </a:p>
      </xdr:txBody>
    </xdr:sp>
    <xdr:clientData/>
  </xdr:twoCellAnchor>
  <xdr:twoCellAnchor editAs="absolute">
    <xdr:from>
      <xdr:col>6</xdr:col>
      <xdr:colOff>792600</xdr:colOff>
      <xdr:row>3</xdr:row>
      <xdr:rowOff>182100</xdr:rowOff>
    </xdr:from>
    <xdr:to>
      <xdr:col>8</xdr:col>
      <xdr:colOff>190500</xdr:colOff>
      <xdr:row>5</xdr:row>
      <xdr:rowOff>171450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7A95832-1235-4D53-92D1-D19BDF7F42F9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BD CADASTROS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5</xdr:col>
      <xdr:colOff>1836300</xdr:colOff>
      <xdr:row>5</xdr:row>
      <xdr:rowOff>171450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FE92EE9-B9D8-4264-838B-BECEE1F02204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BD CADASTROS</a:t>
          </a:r>
        </a:p>
      </xdr:txBody>
    </xdr:sp>
    <xdr:clientData/>
  </xdr:twoCellAnchor>
  <xdr:twoCellAnchor>
    <xdr:from>
      <xdr:col>10</xdr:col>
      <xdr:colOff>0</xdr:colOff>
      <xdr:row>31</xdr:row>
      <xdr:rowOff>65315</xdr:rowOff>
    </xdr:from>
    <xdr:to>
      <xdr:col>10</xdr:col>
      <xdr:colOff>0</xdr:colOff>
      <xdr:row>34</xdr:row>
      <xdr:rowOff>78037</xdr:rowOff>
    </xdr:to>
    <xdr:sp macro="" textlink="">
      <xdr:nvSpPr>
        <xdr:cNvPr id="9" name="Retângulo Arredondado 11">
          <a:extLst>
            <a:ext uri="{FF2B5EF4-FFF2-40B4-BE49-F238E27FC236}">
              <a16:creationId xmlns:a16="http://schemas.microsoft.com/office/drawing/2014/main" id="{C63393FA-DDD7-4288-94E3-9DA489DCEA7E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765554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02C5CF71-ABC0-40C2-ACA8-886593437DAB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00300" y="0"/>
          <a:ext cx="1459980" cy="1162050"/>
          <a:chOff x="1993654" y="0"/>
          <a:chExt cx="1022595" cy="781538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2BD07B83-611B-4406-85AB-75F68C538C9D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Imagem 9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FA01FB93-AC42-46FF-9914-006EF2EBE3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7413D06B-76E4-4C2A-AD60-9844EABAB2F4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E333A52C-010B-4211-A2DA-B4633C8D2035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507CC45A-EAD9-4A10-93EC-377E0DC54745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C92A525-064E-4B3E-BB43-F6D6F5061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5</xdr:col>
      <xdr:colOff>2137043</xdr:colOff>
      <xdr:row>0</xdr:row>
      <xdr:rowOff>0</xdr:rowOff>
    </xdr:from>
    <xdr:to>
      <xdr:col>6</xdr:col>
      <xdr:colOff>877710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9ECAF027-CE3A-4041-A311-7640BC42D9B5}"/>
            </a:ext>
          </a:extLst>
        </xdr:cNvPr>
        <xdr:cNvGrpSpPr/>
      </xdr:nvGrpSpPr>
      <xdr:grpSpPr>
        <a:xfrm>
          <a:off x="9528443" y="0"/>
          <a:ext cx="1598167" cy="1162050"/>
          <a:chOff x="4450172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0AD4FE20-3852-4F57-AED6-C1CA633B0649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AF141FBC-BD6C-4EEF-B4FA-75A7D62E4669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02680A8-FAF7-449B-925E-43F5752CC2E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1125554</xdr:colOff>
      <xdr:row>0</xdr:row>
      <xdr:rowOff>0</xdr:rowOff>
    </xdr:from>
    <xdr:to>
      <xdr:col>8</xdr:col>
      <xdr:colOff>506848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F2F1F2A1-C022-437D-90A7-CD881B5B6308}"/>
            </a:ext>
          </a:extLst>
        </xdr:cNvPr>
        <xdr:cNvGrpSpPr/>
      </xdr:nvGrpSpPr>
      <xdr:grpSpPr>
        <a:xfrm>
          <a:off x="13165154" y="0"/>
          <a:ext cx="1591094" cy="1162050"/>
          <a:chOff x="5781229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E2F2E785-0F8E-41B4-BE9B-9B486B4BFDEB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45696C5A-5FC4-49B1-95D3-02712765255E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2BBFED1-7478-4F77-BF99-DD1592DB07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983291</xdr:colOff>
      <xdr:row>0</xdr:row>
      <xdr:rowOff>0</xdr:rowOff>
    </xdr:from>
    <xdr:to>
      <xdr:col>10</xdr:col>
      <xdr:colOff>766377</xdr:colOff>
      <xdr:row>3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3C72147B-507E-4516-A069-9AB29FFA67AE}"/>
            </a:ext>
          </a:extLst>
        </xdr:cNvPr>
        <xdr:cNvGrpSpPr/>
      </xdr:nvGrpSpPr>
      <xdr:grpSpPr>
        <a:xfrm>
          <a:off x="16794791" y="0"/>
          <a:ext cx="1611886" cy="1162050"/>
          <a:chOff x="7112293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0515E3B8-5000-40EB-9E31-5218BBC63D16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42907940-6193-4A70-B156-AB127ABFDCCC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3428863C-7EF4-4E1D-96AD-F5603DBAE8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644441</xdr:colOff>
      <xdr:row>0</xdr:row>
      <xdr:rowOff>0</xdr:rowOff>
    </xdr:from>
    <xdr:to>
      <xdr:col>11</xdr:col>
      <xdr:colOff>2100677</xdr:colOff>
      <xdr:row>3</xdr:row>
      <xdr:rowOff>0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E44F146A-B31A-436A-9576-5618F99C6C90}"/>
            </a:ext>
          </a:extLst>
        </xdr:cNvPr>
        <xdr:cNvSpPr/>
      </xdr:nvSpPr>
      <xdr:spPr>
        <a:xfrm>
          <a:off x="20502161" y="0"/>
          <a:ext cx="145623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595120</xdr:colOff>
      <xdr:row>2</xdr:row>
      <xdr:rowOff>384583</xdr:rowOff>
    </xdr:from>
    <xdr:to>
      <xdr:col>11</xdr:col>
      <xdr:colOff>2187630</xdr:colOff>
      <xdr:row>2</xdr:row>
      <xdr:rowOff>762890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2B770D0B-1329-4874-8001-4BB3A4B1B816}"/>
            </a:ext>
          </a:extLst>
        </xdr:cNvPr>
        <xdr:cNvSpPr txBox="1"/>
      </xdr:nvSpPr>
      <xdr:spPr>
        <a:xfrm rot="10800000" flipH="1" flipV="1">
          <a:off x="20452840" y="750343"/>
          <a:ext cx="1592510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11</xdr:col>
      <xdr:colOff>1075666</xdr:colOff>
      <xdr:row>0</xdr:row>
      <xdr:rowOff>136274</xdr:rowOff>
    </xdr:from>
    <xdr:to>
      <xdr:col>11</xdr:col>
      <xdr:colOff>1661829</xdr:colOff>
      <xdr:row>2</xdr:row>
      <xdr:rowOff>354262</xdr:rowOff>
    </xdr:to>
    <xdr:pic>
      <xdr:nvPicPr>
        <xdr:cNvPr id="31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460404-EC98-49D0-BE0A-4C7F5E2F77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BEBA8EAE-BF5A-486C-A8C5-ECC9F3942E4B}">
              <a14:imgProps xmlns:a14="http://schemas.microsoft.com/office/drawing/2010/main">
                <a14:imgLayer r:embed="rId2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933386" y="136274"/>
          <a:ext cx="586163" cy="583748"/>
        </a:xfrm>
        <a:prstGeom prst="rect">
          <a:avLst/>
        </a:prstGeom>
      </xdr:spPr>
    </xdr:pic>
    <xdr:clientData/>
  </xdr:twoCellAnchor>
  <xdr:twoCellAnchor editAs="absolute">
    <xdr:from>
      <xdr:col>13</xdr:col>
      <xdr:colOff>313006</xdr:colOff>
      <xdr:row>0</xdr:row>
      <xdr:rowOff>0</xdr:rowOff>
    </xdr:from>
    <xdr:to>
      <xdr:col>14</xdr:col>
      <xdr:colOff>52137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FC6C9ED7-1213-4360-A48A-FB41C883BA74}"/>
            </a:ext>
          </a:extLst>
        </xdr:cNvPr>
        <xdr:cNvSpPr/>
      </xdr:nvSpPr>
      <xdr:spPr>
        <a:xfrm>
          <a:off x="24117886" y="0"/>
          <a:ext cx="146125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263773</xdr:colOff>
      <xdr:row>2</xdr:row>
      <xdr:rowOff>384583</xdr:rowOff>
    </xdr:from>
    <xdr:to>
      <xdr:col>14</xdr:col>
      <xdr:colOff>138934</xdr:colOff>
      <xdr:row>2</xdr:row>
      <xdr:rowOff>762890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25E62309-5768-457E-B308-A8EDE1AA6F35}"/>
            </a:ext>
          </a:extLst>
        </xdr:cNvPr>
        <xdr:cNvSpPr txBox="1"/>
      </xdr:nvSpPr>
      <xdr:spPr>
        <a:xfrm rot="10800000" flipH="1" flipV="1">
          <a:off x="24068653" y="750343"/>
          <a:ext cx="159728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13</xdr:col>
      <xdr:colOff>751066</xdr:colOff>
      <xdr:row>0</xdr:row>
      <xdr:rowOff>136274</xdr:rowOff>
    </xdr:from>
    <xdr:to>
      <xdr:col>13</xdr:col>
      <xdr:colOff>1328574</xdr:colOff>
      <xdr:row>2</xdr:row>
      <xdr:rowOff>354260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5A96F19-CF5E-44AB-B068-296C1E8D9E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55946" y="136274"/>
          <a:ext cx="577508" cy="583746"/>
        </a:xfrm>
        <a:prstGeom prst="rect">
          <a:avLst/>
        </a:prstGeom>
        <a:noFill/>
      </xdr:spPr>
    </xdr:pic>
    <xdr:clientData/>
  </xdr:twoCellAnchor>
  <xdr:twoCellAnchor editAs="absolute">
    <xdr:from>
      <xdr:col>16</xdr:col>
      <xdr:colOff>501078</xdr:colOff>
      <xdr:row>0</xdr:row>
      <xdr:rowOff>0</xdr:rowOff>
    </xdr:from>
    <xdr:to>
      <xdr:col>19</xdr:col>
      <xdr:colOff>270447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7C56A230-F0F7-4201-A449-71A3E6816F01}"/>
            </a:ext>
          </a:extLst>
        </xdr:cNvPr>
        <xdr:cNvGrpSpPr/>
      </xdr:nvGrpSpPr>
      <xdr:grpSpPr>
        <a:xfrm>
          <a:off x="27704478" y="0"/>
          <a:ext cx="1598169" cy="116205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9390369C-8FAE-42B9-803A-628A1AB3F5C9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1EA95A5A-2A28-42ED-91C5-5579003958BA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2989076-EAD3-46D2-A634-1AFFC3002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21</xdr:col>
      <xdr:colOff>567784</xdr:colOff>
      <xdr:row>0</xdr:row>
      <xdr:rowOff>0</xdr:rowOff>
    </xdr:from>
    <xdr:to>
      <xdr:col>21</xdr:col>
      <xdr:colOff>2029195</xdr:colOff>
      <xdr:row>3</xdr:row>
      <xdr:rowOff>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3724DD14-0A71-4254-AE32-09F00B5E15A4}"/>
            </a:ext>
          </a:extLst>
        </xdr:cNvPr>
        <xdr:cNvSpPr/>
      </xdr:nvSpPr>
      <xdr:spPr>
        <a:xfrm>
          <a:off x="31390684" y="0"/>
          <a:ext cx="146141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21</xdr:col>
      <xdr:colOff>518289</xdr:colOff>
      <xdr:row>2</xdr:row>
      <xdr:rowOff>384584</xdr:rowOff>
    </xdr:from>
    <xdr:to>
      <xdr:col>21</xdr:col>
      <xdr:colOff>2116458</xdr:colOff>
      <xdr:row>2</xdr:row>
      <xdr:rowOff>762891</xdr:rowOff>
    </xdr:to>
    <xdr:sp macro="" textlink="">
      <xdr:nvSpPr>
        <xdr:cNvPr id="40" name="CaixaDeTexto 39">
          <a:extLst>
            <a:ext uri="{FF2B5EF4-FFF2-40B4-BE49-F238E27FC236}">
              <a16:creationId xmlns:a16="http://schemas.microsoft.com/office/drawing/2014/main" id="{18F7B293-9725-4843-81B9-837D4A10FC7E}"/>
            </a:ext>
          </a:extLst>
        </xdr:cNvPr>
        <xdr:cNvSpPr txBox="1"/>
      </xdr:nvSpPr>
      <xdr:spPr>
        <a:xfrm rot="10800000" flipH="1" flipV="1">
          <a:off x="31341189" y="750344"/>
          <a:ext cx="1598169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B.D</a:t>
          </a:r>
        </a:p>
      </xdr:txBody>
    </xdr:sp>
    <xdr:clientData/>
  </xdr:twoCellAnchor>
  <xdr:twoCellAnchor editAs="absolute">
    <xdr:from>
      <xdr:col>21</xdr:col>
      <xdr:colOff>979974</xdr:colOff>
      <xdr:row>0</xdr:row>
      <xdr:rowOff>105753</xdr:rowOff>
    </xdr:from>
    <xdr:to>
      <xdr:col>21</xdr:col>
      <xdr:colOff>1601217</xdr:colOff>
      <xdr:row>2</xdr:row>
      <xdr:rowOff>360046</xdr:rowOff>
    </xdr:to>
    <xdr:pic>
      <xdr:nvPicPr>
        <xdr:cNvPr id="41" name="Imagem 40" descr="Ícone do banco de dados (símbolo png) preto">
          <a:extLst>
            <a:ext uri="{FF2B5EF4-FFF2-40B4-BE49-F238E27FC236}">
              <a16:creationId xmlns:a16="http://schemas.microsoft.com/office/drawing/2014/main" id="{9CB9C244-F667-44FF-B71F-3050A24257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802874" y="105753"/>
          <a:ext cx="621243" cy="6200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6</xdr:col>
      <xdr:colOff>133350</xdr:colOff>
      <xdr:row>10</xdr:row>
      <xdr:rowOff>266700</xdr:rowOff>
    </xdr:from>
    <xdr:to>
      <xdr:col>14</xdr:col>
      <xdr:colOff>304800</xdr:colOff>
      <xdr:row>49</xdr:row>
      <xdr:rowOff>103672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6C1AD8FB-BCE7-4507-AD5A-E7C586B6050F}"/>
            </a:ext>
            <a:ext uri="{147F2762-F138-4A5C-976F-8EAC2B608ADB}">
              <a16:predDERef xmlns:a16="http://schemas.microsoft.com/office/drawing/2014/main" pred="{45AAF0B4-637A-42E1-B7D2-A6E46851A7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>
          <a:alphaModFix amt="23000"/>
          <a:extLst>
            <a:ext uri="{BEBA8EAE-BF5A-486C-A8C5-ECC9F3942E4B}">
              <a14:imgProps xmlns:a14="http://schemas.microsoft.com/office/drawing/2010/main">
                <a14:imgLayer r:embed="rId28">
                  <a14:imgEffect>
                    <a14:brightnessContrast contrast="1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8158" b="8325"/>
        <a:stretch/>
      </xdr:blipFill>
      <xdr:spPr>
        <a:xfrm>
          <a:off x="10382250" y="3676650"/>
          <a:ext cx="15449550" cy="13953022"/>
        </a:xfrm>
        <a:prstGeom prst="rect">
          <a:avLst/>
        </a:prstGeom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73C7BB3F-2D4B-4A54-B98C-83885CDC50B5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FB21C82-4F2B-47C0-9052-33C5B32EAD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D3F7C3C8-490E-462C-A138-982214F78ABE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F597CF1-EDBD-4F1E-A524-821AF14FC38D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BD PRODUTOS</a:t>
          </a:r>
        </a:p>
      </xdr:txBody>
    </xdr:sp>
    <xdr:clientData/>
  </xdr:twoCellAnchor>
  <xdr:twoCellAnchor editAs="absolute">
    <xdr:from>
      <xdr:col>6</xdr:col>
      <xdr:colOff>792600</xdr:colOff>
      <xdr:row>3</xdr:row>
      <xdr:rowOff>182100</xdr:rowOff>
    </xdr:from>
    <xdr:to>
      <xdr:col>8</xdr:col>
      <xdr:colOff>190500</xdr:colOff>
      <xdr:row>5</xdr:row>
      <xdr:rowOff>171450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B47A410-3D0A-4CE5-8DB7-33C5A97A04B5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BD CADASTROS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5</xdr:col>
      <xdr:colOff>1836300</xdr:colOff>
      <xdr:row>5</xdr:row>
      <xdr:rowOff>171450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E86A52C-80DF-4D8E-8C7F-98826CC76C2E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BD CADASTROS</a:t>
          </a:r>
        </a:p>
      </xdr:txBody>
    </xdr:sp>
    <xdr:clientData/>
  </xdr:twoCellAnchor>
  <xdr:twoCellAnchor>
    <xdr:from>
      <xdr:col>10</xdr:col>
      <xdr:colOff>0</xdr:colOff>
      <xdr:row>31</xdr:row>
      <xdr:rowOff>65315</xdr:rowOff>
    </xdr:from>
    <xdr:to>
      <xdr:col>10</xdr:col>
      <xdr:colOff>0</xdr:colOff>
      <xdr:row>34</xdr:row>
      <xdr:rowOff>78037</xdr:rowOff>
    </xdr:to>
    <xdr:sp macro="" textlink="">
      <xdr:nvSpPr>
        <xdr:cNvPr id="9" name="Retângulo Arredondado 11">
          <a:extLst>
            <a:ext uri="{FF2B5EF4-FFF2-40B4-BE49-F238E27FC236}">
              <a16:creationId xmlns:a16="http://schemas.microsoft.com/office/drawing/2014/main" id="{58F679CA-9AD9-453D-87A8-711512B53C47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796034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14BECF93-7C09-4009-B3BA-85E85622C190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00300" y="0"/>
          <a:ext cx="1459980" cy="1162050"/>
          <a:chOff x="1993654" y="0"/>
          <a:chExt cx="1022595" cy="781538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505DB92E-B768-4E99-B22F-167E22C30407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Imagem 9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B83B7C6-11A7-4AD7-A1F4-6665695993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D9BC12EC-E751-4049-8DDC-DECE1163A486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FFE27B25-81D8-4899-B652-3766BBA1AC41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6CCFEB8D-9625-432D-97A8-96C34FEE60E5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1A6AD49-A42A-4D41-8649-F8B93E7F8A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5</xdr:col>
      <xdr:colOff>2137043</xdr:colOff>
      <xdr:row>0</xdr:row>
      <xdr:rowOff>0</xdr:rowOff>
    </xdr:from>
    <xdr:to>
      <xdr:col>6</xdr:col>
      <xdr:colOff>877710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90C03674-BFB1-4ED2-9F6A-FC5FDF54E5DA}"/>
            </a:ext>
          </a:extLst>
        </xdr:cNvPr>
        <xdr:cNvGrpSpPr/>
      </xdr:nvGrpSpPr>
      <xdr:grpSpPr>
        <a:xfrm>
          <a:off x="9528443" y="0"/>
          <a:ext cx="1598167" cy="1162050"/>
          <a:chOff x="4450172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2AAF0DE0-F166-42F8-830F-A6FA3EDBF6F9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EA65F465-DEF0-4C00-8110-F47A417120E5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349CD91B-E65B-4713-995A-C0CC324831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1125554</xdr:colOff>
      <xdr:row>0</xdr:row>
      <xdr:rowOff>0</xdr:rowOff>
    </xdr:from>
    <xdr:to>
      <xdr:col>8</xdr:col>
      <xdr:colOff>506848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5670EFC5-AE1D-4469-9437-7230ABCD170D}"/>
            </a:ext>
          </a:extLst>
        </xdr:cNvPr>
        <xdr:cNvGrpSpPr/>
      </xdr:nvGrpSpPr>
      <xdr:grpSpPr>
        <a:xfrm>
          <a:off x="13165154" y="0"/>
          <a:ext cx="1591094" cy="1162050"/>
          <a:chOff x="5781229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21963D6E-AA69-48CF-B0A1-48CC9E1461C6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1885FA6E-972D-4DB0-96CD-1A421AE8CF47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9278226-39B5-42B6-B476-D7AED02452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983291</xdr:colOff>
      <xdr:row>0</xdr:row>
      <xdr:rowOff>0</xdr:rowOff>
    </xdr:from>
    <xdr:to>
      <xdr:col>10</xdr:col>
      <xdr:colOff>766377</xdr:colOff>
      <xdr:row>3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C074053C-88AD-4E17-83DC-3AF42B8C08DC}"/>
            </a:ext>
          </a:extLst>
        </xdr:cNvPr>
        <xdr:cNvGrpSpPr/>
      </xdr:nvGrpSpPr>
      <xdr:grpSpPr>
        <a:xfrm>
          <a:off x="16794791" y="0"/>
          <a:ext cx="1611886" cy="1162050"/>
          <a:chOff x="7112293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9C3B86A8-7BA6-4880-936D-047499D7605C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A4F48CD0-31E5-4C68-8A9B-A457172AFA0A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8DC9249-0B43-478E-9CF2-3E09282AE5D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644441</xdr:colOff>
      <xdr:row>0</xdr:row>
      <xdr:rowOff>0</xdr:rowOff>
    </xdr:from>
    <xdr:to>
      <xdr:col>11</xdr:col>
      <xdr:colOff>2100677</xdr:colOff>
      <xdr:row>3</xdr:row>
      <xdr:rowOff>0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6CE737BA-60FD-46A6-822F-D8891FBF95D8}"/>
            </a:ext>
          </a:extLst>
        </xdr:cNvPr>
        <xdr:cNvSpPr/>
      </xdr:nvSpPr>
      <xdr:spPr>
        <a:xfrm>
          <a:off x="20505971" y="0"/>
          <a:ext cx="145623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595120</xdr:colOff>
      <xdr:row>2</xdr:row>
      <xdr:rowOff>384583</xdr:rowOff>
    </xdr:from>
    <xdr:to>
      <xdr:col>11</xdr:col>
      <xdr:colOff>2187630</xdr:colOff>
      <xdr:row>2</xdr:row>
      <xdr:rowOff>762890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A131F3F9-79C7-4D62-A06D-8E55DCE085C8}"/>
            </a:ext>
          </a:extLst>
        </xdr:cNvPr>
        <xdr:cNvSpPr txBox="1"/>
      </xdr:nvSpPr>
      <xdr:spPr>
        <a:xfrm rot="10800000" flipH="1" flipV="1">
          <a:off x="20456650" y="750343"/>
          <a:ext cx="1584890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11</xdr:col>
      <xdr:colOff>1075666</xdr:colOff>
      <xdr:row>0</xdr:row>
      <xdr:rowOff>136274</xdr:rowOff>
    </xdr:from>
    <xdr:to>
      <xdr:col>11</xdr:col>
      <xdr:colOff>1661829</xdr:colOff>
      <xdr:row>2</xdr:row>
      <xdr:rowOff>354262</xdr:rowOff>
    </xdr:to>
    <xdr:pic>
      <xdr:nvPicPr>
        <xdr:cNvPr id="31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C2A38EA-B108-477E-A01F-8BF05B1013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BEBA8EAE-BF5A-486C-A8C5-ECC9F3942E4B}">
              <a14:imgProps xmlns:a14="http://schemas.microsoft.com/office/drawing/2010/main">
                <a14:imgLayer r:embed="rId2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937196" y="136274"/>
          <a:ext cx="586163" cy="583748"/>
        </a:xfrm>
        <a:prstGeom prst="rect">
          <a:avLst/>
        </a:prstGeom>
      </xdr:spPr>
    </xdr:pic>
    <xdr:clientData/>
  </xdr:twoCellAnchor>
  <xdr:twoCellAnchor editAs="absolute">
    <xdr:from>
      <xdr:col>13</xdr:col>
      <xdr:colOff>313006</xdr:colOff>
      <xdr:row>0</xdr:row>
      <xdr:rowOff>0</xdr:rowOff>
    </xdr:from>
    <xdr:to>
      <xdr:col>14</xdr:col>
      <xdr:colOff>52137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1A3AD7A0-3D1D-4E47-A352-EFADA3483B0C}"/>
            </a:ext>
          </a:extLst>
        </xdr:cNvPr>
        <xdr:cNvSpPr/>
      </xdr:nvSpPr>
      <xdr:spPr>
        <a:xfrm>
          <a:off x="24121696" y="0"/>
          <a:ext cx="146125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263773</xdr:colOff>
      <xdr:row>2</xdr:row>
      <xdr:rowOff>384583</xdr:rowOff>
    </xdr:from>
    <xdr:to>
      <xdr:col>14</xdr:col>
      <xdr:colOff>138934</xdr:colOff>
      <xdr:row>2</xdr:row>
      <xdr:rowOff>762890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85567988-4ED8-4DBD-B172-211DDF5E39C8}"/>
            </a:ext>
          </a:extLst>
        </xdr:cNvPr>
        <xdr:cNvSpPr txBox="1"/>
      </xdr:nvSpPr>
      <xdr:spPr>
        <a:xfrm rot="10800000" flipH="1" flipV="1">
          <a:off x="24072463" y="750343"/>
          <a:ext cx="159728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13</xdr:col>
      <xdr:colOff>751066</xdr:colOff>
      <xdr:row>0</xdr:row>
      <xdr:rowOff>136274</xdr:rowOff>
    </xdr:from>
    <xdr:to>
      <xdr:col>13</xdr:col>
      <xdr:colOff>1328574</xdr:colOff>
      <xdr:row>2</xdr:row>
      <xdr:rowOff>354260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DF48ABA-335D-4110-B69B-34749E8ED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59756" y="136274"/>
          <a:ext cx="577508" cy="583746"/>
        </a:xfrm>
        <a:prstGeom prst="rect">
          <a:avLst/>
        </a:prstGeom>
        <a:noFill/>
      </xdr:spPr>
    </xdr:pic>
    <xdr:clientData/>
  </xdr:twoCellAnchor>
  <xdr:twoCellAnchor editAs="absolute">
    <xdr:from>
      <xdr:col>16</xdr:col>
      <xdr:colOff>501078</xdr:colOff>
      <xdr:row>0</xdr:row>
      <xdr:rowOff>0</xdr:rowOff>
    </xdr:from>
    <xdr:to>
      <xdr:col>19</xdr:col>
      <xdr:colOff>270447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E86B25C2-4BEA-45BF-A0F6-FFEA4F41C446}"/>
            </a:ext>
          </a:extLst>
        </xdr:cNvPr>
        <xdr:cNvGrpSpPr/>
      </xdr:nvGrpSpPr>
      <xdr:grpSpPr>
        <a:xfrm>
          <a:off x="27704478" y="0"/>
          <a:ext cx="1598169" cy="116205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1D295160-6B32-4922-A3B0-3A0EA3E12DB0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EFB990BC-471C-4951-8A3D-E56C90456DDB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7A370933-96C0-46F5-9134-D4B01208615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21</xdr:col>
      <xdr:colOff>567784</xdr:colOff>
      <xdr:row>0</xdr:row>
      <xdr:rowOff>0</xdr:rowOff>
    </xdr:from>
    <xdr:to>
      <xdr:col>21</xdr:col>
      <xdr:colOff>2029195</xdr:colOff>
      <xdr:row>3</xdr:row>
      <xdr:rowOff>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34BF99EF-16C0-4BE5-A32F-D30B4246FEEB}"/>
            </a:ext>
          </a:extLst>
        </xdr:cNvPr>
        <xdr:cNvSpPr/>
      </xdr:nvSpPr>
      <xdr:spPr>
        <a:xfrm>
          <a:off x="31390684" y="0"/>
          <a:ext cx="1461411" cy="11620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21</xdr:col>
      <xdr:colOff>518289</xdr:colOff>
      <xdr:row>2</xdr:row>
      <xdr:rowOff>384584</xdr:rowOff>
    </xdr:from>
    <xdr:to>
      <xdr:col>21</xdr:col>
      <xdr:colOff>2116458</xdr:colOff>
      <xdr:row>2</xdr:row>
      <xdr:rowOff>762891</xdr:rowOff>
    </xdr:to>
    <xdr:sp macro="" textlink="">
      <xdr:nvSpPr>
        <xdr:cNvPr id="41" name="CaixaDeTexto 40">
          <a:extLst>
            <a:ext uri="{FF2B5EF4-FFF2-40B4-BE49-F238E27FC236}">
              <a16:creationId xmlns:a16="http://schemas.microsoft.com/office/drawing/2014/main" id="{FB2D9C36-EAC8-4495-ADB6-B52AC3CFDF03}"/>
            </a:ext>
          </a:extLst>
        </xdr:cNvPr>
        <xdr:cNvSpPr txBox="1"/>
      </xdr:nvSpPr>
      <xdr:spPr>
        <a:xfrm rot="10800000" flipH="1" flipV="1">
          <a:off x="31341189" y="765584"/>
          <a:ext cx="1598169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B.D</a:t>
          </a:r>
        </a:p>
      </xdr:txBody>
    </xdr:sp>
    <xdr:clientData/>
  </xdr:twoCellAnchor>
  <xdr:twoCellAnchor editAs="absolute">
    <xdr:from>
      <xdr:col>21</xdr:col>
      <xdr:colOff>979974</xdr:colOff>
      <xdr:row>0</xdr:row>
      <xdr:rowOff>105753</xdr:rowOff>
    </xdr:from>
    <xdr:to>
      <xdr:col>21</xdr:col>
      <xdr:colOff>1601217</xdr:colOff>
      <xdr:row>2</xdr:row>
      <xdr:rowOff>360046</xdr:rowOff>
    </xdr:to>
    <xdr:pic>
      <xdr:nvPicPr>
        <xdr:cNvPr id="42" name="Imagem 41" descr="Ícone do banco de dados (símbolo png) preto">
          <a:extLst>
            <a:ext uri="{FF2B5EF4-FFF2-40B4-BE49-F238E27FC236}">
              <a16:creationId xmlns:a16="http://schemas.microsoft.com/office/drawing/2014/main" id="{F4C38DBF-F69A-40F2-AB95-DEBCEB7EC1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802874" y="105753"/>
          <a:ext cx="621243" cy="6352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381330</xdr:colOff>
      <xdr:row>2</xdr:row>
      <xdr:rowOff>133894</xdr:rowOff>
    </xdr:from>
    <xdr:to>
      <xdr:col>3</xdr:col>
      <xdr:colOff>1497665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2D80EF9B-E434-46F1-B75D-9C4CCCA019E1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3</xdr:col>
      <xdr:colOff>718155</xdr:colOff>
      <xdr:row>0</xdr:row>
      <xdr:rowOff>91651</xdr:rowOff>
    </xdr:from>
    <xdr:to>
      <xdr:col>3</xdr:col>
      <xdr:colOff>1135391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A3E09A3-3239-4000-B321-27A719AE88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2</xdr:col>
      <xdr:colOff>681990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27E7ADAD-1763-4F65-A771-F79D394B2AAC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2</xdr:col>
      <xdr:colOff>2079432</xdr:colOff>
      <xdr:row>5</xdr:row>
      <xdr:rowOff>152399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B6D0EC2-81B4-4AF9-A75B-F8168C734303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BD PRODUTOS</a:t>
          </a:r>
        </a:p>
      </xdr:txBody>
    </xdr:sp>
    <xdr:clientData/>
  </xdr:twoCellAnchor>
  <xdr:twoCellAnchor editAs="absolute">
    <xdr:from>
      <xdr:col>5</xdr:col>
      <xdr:colOff>1676520</xdr:colOff>
      <xdr:row>3</xdr:row>
      <xdr:rowOff>182100</xdr:rowOff>
    </xdr:from>
    <xdr:to>
      <xdr:col>7</xdr:col>
      <xdr:colOff>1104900</xdr:colOff>
      <xdr:row>5</xdr:row>
      <xdr:rowOff>171450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EDD665C-CCA9-42C7-928D-1BBC2F4F7DA8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BD CADASTROS</a:t>
          </a:r>
        </a:p>
      </xdr:txBody>
    </xdr:sp>
    <xdr:clientData/>
  </xdr:twoCellAnchor>
  <xdr:twoCellAnchor editAs="absolute">
    <xdr:from>
      <xdr:col>3</xdr:col>
      <xdr:colOff>1775460</xdr:colOff>
      <xdr:row>3</xdr:row>
      <xdr:rowOff>182100</xdr:rowOff>
    </xdr:from>
    <xdr:to>
      <xdr:col>4</xdr:col>
      <xdr:colOff>3116460</xdr:colOff>
      <xdr:row>5</xdr:row>
      <xdr:rowOff>171450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C7E303-AD3F-4A83-816E-BE178C801850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BD CADASTROS</a:t>
          </a:r>
        </a:p>
      </xdr:txBody>
    </xdr:sp>
    <xdr:clientData/>
  </xdr:twoCellAnchor>
  <xdr:twoCellAnchor>
    <xdr:from>
      <xdr:col>10</xdr:col>
      <xdr:colOff>0</xdr:colOff>
      <xdr:row>31</xdr:row>
      <xdr:rowOff>65315</xdr:rowOff>
    </xdr:from>
    <xdr:to>
      <xdr:col>10</xdr:col>
      <xdr:colOff>0</xdr:colOff>
      <xdr:row>34</xdr:row>
      <xdr:rowOff>78037</xdr:rowOff>
    </xdr:to>
    <xdr:sp macro="" textlink="">
      <xdr:nvSpPr>
        <xdr:cNvPr id="9" name="Retângulo Arredondado 11">
          <a:extLst>
            <a:ext uri="{FF2B5EF4-FFF2-40B4-BE49-F238E27FC236}">
              <a16:creationId xmlns:a16="http://schemas.microsoft.com/office/drawing/2014/main" id="{13F696E4-3464-496A-858E-E044DACD69F8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765554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2</xdr:col>
      <xdr:colOff>815340</xdr:colOff>
      <xdr:row>0</xdr:row>
      <xdr:rowOff>0</xdr:rowOff>
    </xdr:from>
    <xdr:to>
      <xdr:col>2</xdr:col>
      <xdr:colOff>2275320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082AD5F8-F59F-4212-AF1A-8962A208BDEE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00300" y="0"/>
          <a:ext cx="1459980" cy="1158240"/>
          <a:chOff x="1993654" y="0"/>
          <a:chExt cx="1022595" cy="781538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26AD9B86-4D5D-421E-A725-9A34E240E184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Imagem 9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2BEA084-5FA0-406D-9095-6439839025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D273422D-606C-431C-AA21-B7F9C1A8931A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3</xdr:col>
      <xdr:colOff>1911634</xdr:colOff>
      <xdr:row>0</xdr:row>
      <xdr:rowOff>0</xdr:rowOff>
    </xdr:from>
    <xdr:to>
      <xdr:col>4</xdr:col>
      <xdr:colOff>1309160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2257DD2C-B53F-4BCB-83BB-572DF60B531E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1844983</xdr:colOff>
      <xdr:row>2</xdr:row>
      <xdr:rowOff>384583</xdr:rowOff>
    </xdr:from>
    <xdr:to>
      <xdr:col>4</xdr:col>
      <xdr:colOff>1378660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71F12AA-76C3-4439-BC57-B9D95A8CC50F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268945</xdr:colOff>
      <xdr:row>0</xdr:row>
      <xdr:rowOff>126203</xdr:rowOff>
    </xdr:from>
    <xdr:to>
      <xdr:col>4</xdr:col>
      <xdr:colOff>863969</xdr:colOff>
      <xdr:row>2</xdr:row>
      <xdr:rowOff>364332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A8D3F6A-1048-4BEC-98F7-C014B01FF4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5</xdr:col>
      <xdr:colOff>155843</xdr:colOff>
      <xdr:row>0</xdr:row>
      <xdr:rowOff>0</xdr:rowOff>
    </xdr:from>
    <xdr:to>
      <xdr:col>5</xdr:col>
      <xdr:colOff>1761630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F7CF2986-CB54-47CA-AD2F-D4E75EC6A048}"/>
            </a:ext>
          </a:extLst>
        </xdr:cNvPr>
        <xdr:cNvGrpSpPr/>
      </xdr:nvGrpSpPr>
      <xdr:grpSpPr>
        <a:xfrm>
          <a:off x="9543683" y="0"/>
          <a:ext cx="1605787" cy="1158240"/>
          <a:chOff x="4450172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6F764039-0A6B-42C7-8162-CAF5E021BAA7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811DEB74-C27A-4764-A5AB-779D5F083BE4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6E96DF1-FC06-4F71-8F39-0B5F25918B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1613234</xdr:colOff>
      <xdr:row>0</xdr:row>
      <xdr:rowOff>0</xdr:rowOff>
    </xdr:from>
    <xdr:to>
      <xdr:col>7</xdr:col>
      <xdr:colOff>1421248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98F5C8EC-65D9-4615-87E5-45104BB2FF52}"/>
            </a:ext>
          </a:extLst>
        </xdr:cNvPr>
        <xdr:cNvGrpSpPr/>
      </xdr:nvGrpSpPr>
      <xdr:grpSpPr>
        <a:xfrm>
          <a:off x="13195634" y="0"/>
          <a:ext cx="1606334" cy="1158240"/>
          <a:chOff x="5781229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80658977-D034-46EF-BB96-04E42085B095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0ACB6CB8-4AD5-4238-B4CC-876D97FE1C30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1E4F459-4DF3-458F-8CAF-015D4A54F9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129851</xdr:colOff>
      <xdr:row>0</xdr:row>
      <xdr:rowOff>0</xdr:rowOff>
    </xdr:from>
    <xdr:to>
      <xdr:col>9</xdr:col>
      <xdr:colOff>4377</xdr:colOff>
      <xdr:row>3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7CE1A0E9-7C95-4EE0-A597-C68BEE870521}"/>
            </a:ext>
          </a:extLst>
        </xdr:cNvPr>
        <xdr:cNvGrpSpPr/>
      </xdr:nvGrpSpPr>
      <xdr:grpSpPr>
        <a:xfrm>
          <a:off x="16863371" y="0"/>
          <a:ext cx="1611886" cy="1158240"/>
          <a:chOff x="7112293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56EAE028-6B35-4B0F-A931-4209EBE336C1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DD5D9943-0608-4481-91EA-273CEA8BCE94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60C86D6-8E3F-4EA6-A449-C7721DCA9C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629201</xdr:colOff>
      <xdr:row>0</xdr:row>
      <xdr:rowOff>0</xdr:rowOff>
    </xdr:from>
    <xdr:to>
      <xdr:col>10</xdr:col>
      <xdr:colOff>2093057</xdr:colOff>
      <xdr:row>3</xdr:row>
      <xdr:rowOff>0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C2858333-36EF-4DEE-97E8-85937A0C8D17}"/>
            </a:ext>
          </a:extLst>
        </xdr:cNvPr>
        <xdr:cNvSpPr/>
      </xdr:nvSpPr>
      <xdr:spPr>
        <a:xfrm>
          <a:off x="20502161" y="0"/>
          <a:ext cx="145623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579880</xdr:colOff>
      <xdr:row>2</xdr:row>
      <xdr:rowOff>384583</xdr:rowOff>
    </xdr:from>
    <xdr:to>
      <xdr:col>10</xdr:col>
      <xdr:colOff>2180010</xdr:colOff>
      <xdr:row>2</xdr:row>
      <xdr:rowOff>762890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C7EA48A4-E94E-47FF-8EC5-DD95ABE74178}"/>
            </a:ext>
          </a:extLst>
        </xdr:cNvPr>
        <xdr:cNvSpPr txBox="1"/>
      </xdr:nvSpPr>
      <xdr:spPr>
        <a:xfrm rot="10800000" flipH="1" flipV="1">
          <a:off x="20452840" y="750343"/>
          <a:ext cx="1592510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10</xdr:col>
      <xdr:colOff>1060426</xdr:colOff>
      <xdr:row>0</xdr:row>
      <xdr:rowOff>136274</xdr:rowOff>
    </xdr:from>
    <xdr:to>
      <xdr:col>10</xdr:col>
      <xdr:colOff>1654209</xdr:colOff>
      <xdr:row>2</xdr:row>
      <xdr:rowOff>354262</xdr:rowOff>
    </xdr:to>
    <xdr:pic>
      <xdr:nvPicPr>
        <xdr:cNvPr id="31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5DE84D6-7F3A-4135-B7D1-91409E226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BEBA8EAE-BF5A-486C-A8C5-ECC9F3942E4B}">
              <a14:imgProps xmlns:a14="http://schemas.microsoft.com/office/drawing/2010/main">
                <a14:imgLayer r:embed="rId2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933386" y="136274"/>
          <a:ext cx="586163" cy="583748"/>
        </a:xfrm>
        <a:prstGeom prst="rect">
          <a:avLst/>
        </a:prstGeom>
      </xdr:spPr>
    </xdr:pic>
    <xdr:clientData/>
  </xdr:twoCellAnchor>
  <xdr:twoCellAnchor editAs="absolute">
    <xdr:from>
      <xdr:col>11</xdr:col>
      <xdr:colOff>716866</xdr:colOff>
      <xdr:row>0</xdr:row>
      <xdr:rowOff>0</xdr:rowOff>
    </xdr:from>
    <xdr:to>
      <xdr:col>11</xdr:col>
      <xdr:colOff>2170497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8B8B60A5-D72D-4FC9-84CA-F534CA7B7939}"/>
            </a:ext>
          </a:extLst>
        </xdr:cNvPr>
        <xdr:cNvSpPr/>
      </xdr:nvSpPr>
      <xdr:spPr>
        <a:xfrm>
          <a:off x="24117886" y="0"/>
          <a:ext cx="146125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667633</xdr:colOff>
      <xdr:row>2</xdr:row>
      <xdr:rowOff>384583</xdr:rowOff>
    </xdr:from>
    <xdr:to>
      <xdr:col>11</xdr:col>
      <xdr:colOff>2257294</xdr:colOff>
      <xdr:row>2</xdr:row>
      <xdr:rowOff>762890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AF5145C6-D0B0-4DA9-9829-21B33E6922EB}"/>
            </a:ext>
          </a:extLst>
        </xdr:cNvPr>
        <xdr:cNvSpPr txBox="1"/>
      </xdr:nvSpPr>
      <xdr:spPr>
        <a:xfrm rot="10800000" flipH="1" flipV="1">
          <a:off x="24068653" y="750343"/>
          <a:ext cx="159728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11</xdr:col>
      <xdr:colOff>1154926</xdr:colOff>
      <xdr:row>0</xdr:row>
      <xdr:rowOff>136274</xdr:rowOff>
    </xdr:from>
    <xdr:to>
      <xdr:col>11</xdr:col>
      <xdr:colOff>1732434</xdr:colOff>
      <xdr:row>2</xdr:row>
      <xdr:rowOff>354260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411347-3E54-4FE4-B613-BBE2BD4980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55946" y="136274"/>
          <a:ext cx="577508" cy="583746"/>
        </a:xfrm>
        <a:prstGeom prst="rect">
          <a:avLst/>
        </a:prstGeom>
        <a:noFill/>
      </xdr:spPr>
    </xdr:pic>
    <xdr:clientData/>
  </xdr:twoCellAnchor>
  <xdr:twoCellAnchor editAs="absolute">
    <xdr:from>
      <xdr:col>12</xdr:col>
      <xdr:colOff>1933638</xdr:colOff>
      <xdr:row>0</xdr:row>
      <xdr:rowOff>0</xdr:rowOff>
    </xdr:from>
    <xdr:to>
      <xdr:col>13</xdr:col>
      <xdr:colOff>148527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F45FA45A-019E-4141-B6FD-B5447E2BDA41}"/>
            </a:ext>
          </a:extLst>
        </xdr:cNvPr>
        <xdr:cNvGrpSpPr/>
      </xdr:nvGrpSpPr>
      <xdr:grpSpPr>
        <a:xfrm>
          <a:off x="27780678" y="0"/>
          <a:ext cx="1598169" cy="115824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16C12769-97A3-46AC-9B4F-E56DC5757AD5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810E09BE-A121-466C-9E27-11D2F93B6862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1FB10B8-8195-4302-85BE-9B56E17CFF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316324</xdr:colOff>
      <xdr:row>0</xdr:row>
      <xdr:rowOff>0</xdr:rowOff>
    </xdr:from>
    <xdr:to>
      <xdr:col>15</xdr:col>
      <xdr:colOff>619495</xdr:colOff>
      <xdr:row>3</xdr:row>
      <xdr:rowOff>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88935F22-5B2D-4D7E-88B0-4E6BD9BFB61F}"/>
            </a:ext>
          </a:extLst>
        </xdr:cNvPr>
        <xdr:cNvSpPr/>
      </xdr:nvSpPr>
      <xdr:spPr>
        <a:xfrm>
          <a:off x="31390684" y="0"/>
          <a:ext cx="146141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266829</xdr:colOff>
      <xdr:row>2</xdr:row>
      <xdr:rowOff>384584</xdr:rowOff>
    </xdr:from>
    <xdr:to>
      <xdr:col>15</xdr:col>
      <xdr:colOff>706758</xdr:colOff>
      <xdr:row>2</xdr:row>
      <xdr:rowOff>762891</xdr:rowOff>
    </xdr:to>
    <xdr:sp macro="" textlink="">
      <xdr:nvSpPr>
        <xdr:cNvPr id="40" name="CaixaDeTexto 39">
          <a:extLst>
            <a:ext uri="{FF2B5EF4-FFF2-40B4-BE49-F238E27FC236}">
              <a16:creationId xmlns:a16="http://schemas.microsoft.com/office/drawing/2014/main" id="{38BCE261-56E4-47B8-8D41-0329D4BBD2D6}"/>
            </a:ext>
          </a:extLst>
        </xdr:cNvPr>
        <xdr:cNvSpPr txBox="1"/>
      </xdr:nvSpPr>
      <xdr:spPr>
        <a:xfrm rot="10800000" flipH="1" flipV="1">
          <a:off x="31341189" y="750344"/>
          <a:ext cx="1598169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B.D</a:t>
          </a:r>
        </a:p>
      </xdr:txBody>
    </xdr:sp>
    <xdr:clientData/>
  </xdr:twoCellAnchor>
  <xdr:twoCellAnchor editAs="absolute">
    <xdr:from>
      <xdr:col>14</xdr:col>
      <xdr:colOff>728514</xdr:colOff>
      <xdr:row>0</xdr:row>
      <xdr:rowOff>105753</xdr:rowOff>
    </xdr:from>
    <xdr:to>
      <xdr:col>15</xdr:col>
      <xdr:colOff>191517</xdr:colOff>
      <xdr:row>2</xdr:row>
      <xdr:rowOff>360046</xdr:rowOff>
    </xdr:to>
    <xdr:pic>
      <xdr:nvPicPr>
        <xdr:cNvPr id="41" name="Imagem 40" descr="Ícone do banco de dados (símbolo png) preto">
          <a:extLst>
            <a:ext uri="{FF2B5EF4-FFF2-40B4-BE49-F238E27FC236}">
              <a16:creationId xmlns:a16="http://schemas.microsoft.com/office/drawing/2014/main" id="{9F480987-EA78-4AA5-BB8E-49D33BAC03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802874" y="105753"/>
          <a:ext cx="621243" cy="6200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381330</xdr:colOff>
      <xdr:row>2</xdr:row>
      <xdr:rowOff>133894</xdr:rowOff>
    </xdr:from>
    <xdr:to>
      <xdr:col>3</xdr:col>
      <xdr:colOff>1497665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56BD331-1EFA-418B-BD4F-44D273599E94}"/>
            </a:ext>
          </a:extLst>
        </xdr:cNvPr>
        <xdr:cNvSpPr txBox="1"/>
      </xdr:nvSpPr>
      <xdr:spPr>
        <a:xfrm rot="10800000" flipH="1" flipV="1">
          <a:off x="445041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3</xdr:col>
      <xdr:colOff>718155</xdr:colOff>
      <xdr:row>0</xdr:row>
      <xdr:rowOff>91651</xdr:rowOff>
    </xdr:from>
    <xdr:to>
      <xdr:col>3</xdr:col>
      <xdr:colOff>1135391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66DD357-A4E0-4C77-A4D6-C27A66053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8723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19050</xdr:rowOff>
    </xdr:from>
    <xdr:to>
      <xdr:col>2</xdr:col>
      <xdr:colOff>681990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FBAB212F-0980-42A0-930A-C70A68D608C7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7457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2</xdr:col>
      <xdr:colOff>2079432</xdr:colOff>
      <xdr:row>5</xdr:row>
      <xdr:rowOff>152399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371B989-9B66-42AE-BEEA-F29723EE3AFA}"/>
            </a:ext>
          </a:extLst>
        </xdr:cNvPr>
        <xdr:cNvSpPr/>
      </xdr:nvSpPr>
      <xdr:spPr>
        <a:xfrm>
          <a:off x="266700" y="1306632"/>
          <a:ext cx="340531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BD PRODUTOS</a:t>
          </a:r>
        </a:p>
      </xdr:txBody>
    </xdr:sp>
    <xdr:clientData/>
  </xdr:twoCellAnchor>
  <xdr:twoCellAnchor editAs="absolute">
    <xdr:from>
      <xdr:col>6</xdr:col>
      <xdr:colOff>381120</xdr:colOff>
      <xdr:row>3</xdr:row>
      <xdr:rowOff>182100</xdr:rowOff>
    </xdr:from>
    <xdr:to>
      <xdr:col>7</xdr:col>
      <xdr:colOff>1485900</xdr:colOff>
      <xdr:row>5</xdr:row>
      <xdr:rowOff>171450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E4085F1-78E9-49C2-A9F4-FFA379EEEA77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94840" y="1325100"/>
          <a:ext cx="341364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BD MONETÁRIO</a:t>
          </a:r>
        </a:p>
      </xdr:txBody>
    </xdr:sp>
    <xdr:clientData/>
  </xdr:twoCellAnchor>
  <xdr:twoCellAnchor editAs="absolute">
    <xdr:from>
      <xdr:col>3</xdr:col>
      <xdr:colOff>1775460</xdr:colOff>
      <xdr:row>3</xdr:row>
      <xdr:rowOff>182100</xdr:rowOff>
    </xdr:from>
    <xdr:to>
      <xdr:col>5</xdr:col>
      <xdr:colOff>1668660</xdr:colOff>
      <xdr:row>5</xdr:row>
      <xdr:rowOff>171450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E3F100E9-AF45-4E06-BD7A-AFD11E68D38A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44540" y="1325100"/>
          <a:ext cx="342126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BD CADASTROS</a:t>
          </a:r>
        </a:p>
      </xdr:txBody>
    </xdr:sp>
    <xdr:clientData/>
  </xdr:twoCellAnchor>
  <xdr:twoCellAnchor editAs="absolute">
    <xdr:from>
      <xdr:col>2</xdr:col>
      <xdr:colOff>815340</xdr:colOff>
      <xdr:row>0</xdr:row>
      <xdr:rowOff>0</xdr:rowOff>
    </xdr:from>
    <xdr:to>
      <xdr:col>2</xdr:col>
      <xdr:colOff>2275320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7C6A949E-7B38-47DE-A91F-CEA9BA0BD173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15540" y="0"/>
          <a:ext cx="1459980" cy="1162050"/>
          <a:chOff x="1993654" y="0"/>
          <a:chExt cx="1022595" cy="781538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E40B51D0-868E-4507-9CAE-E93AFEDAF80A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Imagem 9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1DF1B78-AD72-4265-A920-2F0A94CB9E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93A867CF-915D-4ABA-AEFC-D008DF8E4EA6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3</xdr:col>
      <xdr:colOff>1911634</xdr:colOff>
      <xdr:row>0</xdr:row>
      <xdr:rowOff>0</xdr:rowOff>
    </xdr:from>
    <xdr:to>
      <xdr:col>4</xdr:col>
      <xdr:colOff>1309160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9F1B2D2D-E072-4EF8-B617-B9755CB2D855}"/>
            </a:ext>
          </a:extLst>
        </xdr:cNvPr>
        <xdr:cNvSpPr/>
      </xdr:nvSpPr>
      <xdr:spPr>
        <a:xfrm>
          <a:off x="5980714" y="0"/>
          <a:ext cx="147778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1844983</xdr:colOff>
      <xdr:row>2</xdr:row>
      <xdr:rowOff>384583</xdr:rowOff>
    </xdr:from>
    <xdr:to>
      <xdr:col>4</xdr:col>
      <xdr:colOff>1378660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903E6059-7D25-48D9-ADF7-5D59416ED970}"/>
            </a:ext>
          </a:extLst>
        </xdr:cNvPr>
        <xdr:cNvSpPr txBox="1"/>
      </xdr:nvSpPr>
      <xdr:spPr>
        <a:xfrm rot="10800000" flipH="1" flipV="1">
          <a:off x="5914063" y="750343"/>
          <a:ext cx="161393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268945</xdr:colOff>
      <xdr:row>0</xdr:row>
      <xdr:rowOff>126203</xdr:rowOff>
    </xdr:from>
    <xdr:to>
      <xdr:col>4</xdr:col>
      <xdr:colOff>863969</xdr:colOff>
      <xdr:row>2</xdr:row>
      <xdr:rowOff>364332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FD93C86-5905-4F34-94B2-6FF8C0B5CE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828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5</xdr:col>
      <xdr:colOff>1984643</xdr:colOff>
      <xdr:row>0</xdr:row>
      <xdr:rowOff>0</xdr:rowOff>
    </xdr:from>
    <xdr:to>
      <xdr:col>6</xdr:col>
      <xdr:colOff>466230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10A69682-5A17-4DDC-B1ED-08B2A1CD7D16}"/>
            </a:ext>
          </a:extLst>
        </xdr:cNvPr>
        <xdr:cNvGrpSpPr/>
      </xdr:nvGrpSpPr>
      <xdr:grpSpPr>
        <a:xfrm>
          <a:off x="9585593" y="0"/>
          <a:ext cx="1605787" cy="1162050"/>
          <a:chOff x="4450172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7798FB27-BA09-4C7E-A61C-61E727443062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0F0F65DE-BAF9-4D89-8FCD-5C72A87196CE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D665BE3-08E4-4B9F-A53B-255FF7F6EC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203534</xdr:colOff>
      <xdr:row>0</xdr:row>
      <xdr:rowOff>0</xdr:rowOff>
    </xdr:from>
    <xdr:to>
      <xdr:col>7</xdr:col>
      <xdr:colOff>1802248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C0E3149A-A117-44A4-8B9D-32F2058096A2}"/>
            </a:ext>
          </a:extLst>
        </xdr:cNvPr>
        <xdr:cNvGrpSpPr/>
      </xdr:nvGrpSpPr>
      <xdr:grpSpPr>
        <a:xfrm>
          <a:off x="13252784" y="0"/>
          <a:ext cx="1598714" cy="1162050"/>
          <a:chOff x="5781229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38BF4DBF-43CC-40F4-8114-84D643FA82ED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662FB686-8368-4296-8582-58C7384DFF92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6905419-9B87-441C-A586-4EDD0551F9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396551</xdr:colOff>
      <xdr:row>0</xdr:row>
      <xdr:rowOff>0</xdr:rowOff>
    </xdr:from>
    <xdr:to>
      <xdr:col>8</xdr:col>
      <xdr:colOff>2023677</xdr:colOff>
      <xdr:row>3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905F250D-E8D1-48E4-B39A-BD6D22555260}"/>
            </a:ext>
          </a:extLst>
        </xdr:cNvPr>
        <xdr:cNvGrpSpPr/>
      </xdr:nvGrpSpPr>
      <xdr:grpSpPr>
        <a:xfrm>
          <a:off x="16912901" y="0"/>
          <a:ext cx="1627126" cy="1162050"/>
          <a:chOff x="7112293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4A89563D-40EA-4046-9370-6D2376DD9545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E0EFB8C0-366B-4BCD-B46A-A93A6B1FCBE8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2025CA1-8391-4F49-9D7B-01848EFEA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953051</xdr:colOff>
      <xdr:row>0</xdr:row>
      <xdr:rowOff>0</xdr:rowOff>
    </xdr:from>
    <xdr:to>
      <xdr:col>9</xdr:col>
      <xdr:colOff>2416907</xdr:colOff>
      <xdr:row>3</xdr:row>
      <xdr:rowOff>0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46DCFAAA-A048-44A3-A0BB-885C39266872}"/>
            </a:ext>
          </a:extLst>
        </xdr:cNvPr>
        <xdr:cNvSpPr/>
      </xdr:nvSpPr>
      <xdr:spPr>
        <a:xfrm>
          <a:off x="20608841" y="0"/>
          <a:ext cx="146385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9</xdr:col>
      <xdr:colOff>903730</xdr:colOff>
      <xdr:row>2</xdr:row>
      <xdr:rowOff>384583</xdr:rowOff>
    </xdr:from>
    <xdr:to>
      <xdr:col>10</xdr:col>
      <xdr:colOff>65460</xdr:colOff>
      <xdr:row>2</xdr:row>
      <xdr:rowOff>762890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3F1A7044-AF45-4A29-B768-D2DF6DB772DF}"/>
            </a:ext>
          </a:extLst>
        </xdr:cNvPr>
        <xdr:cNvSpPr txBox="1"/>
      </xdr:nvSpPr>
      <xdr:spPr>
        <a:xfrm rot="10800000" flipH="1" flipV="1">
          <a:off x="20559520" y="750343"/>
          <a:ext cx="1600130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9</xdr:col>
      <xdr:colOff>1384276</xdr:colOff>
      <xdr:row>0</xdr:row>
      <xdr:rowOff>136274</xdr:rowOff>
    </xdr:from>
    <xdr:to>
      <xdr:col>9</xdr:col>
      <xdr:colOff>1978059</xdr:colOff>
      <xdr:row>2</xdr:row>
      <xdr:rowOff>354262</xdr:rowOff>
    </xdr:to>
    <xdr:pic>
      <xdr:nvPicPr>
        <xdr:cNvPr id="31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54C9E2-D2C7-415B-A345-91DF4EB75F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BEBA8EAE-BF5A-486C-A8C5-ECC9F3942E4B}">
              <a14:imgProps xmlns:a14="http://schemas.microsoft.com/office/drawing/2010/main">
                <a14:imgLayer r:embed="rId2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1040066" y="136274"/>
          <a:ext cx="593783" cy="583748"/>
        </a:xfrm>
        <a:prstGeom prst="rect">
          <a:avLst/>
        </a:prstGeom>
      </xdr:spPr>
    </xdr:pic>
    <xdr:clientData/>
  </xdr:twoCellAnchor>
  <xdr:twoCellAnchor editAs="absolute">
    <xdr:from>
      <xdr:col>10</xdr:col>
      <xdr:colOff>2145616</xdr:colOff>
      <xdr:row>0</xdr:row>
      <xdr:rowOff>0</xdr:rowOff>
    </xdr:from>
    <xdr:to>
      <xdr:col>11</xdr:col>
      <xdr:colOff>1122747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7F671BAF-7955-426B-93FC-449BAF8DC299}"/>
            </a:ext>
          </a:extLst>
        </xdr:cNvPr>
        <xdr:cNvSpPr/>
      </xdr:nvSpPr>
      <xdr:spPr>
        <a:xfrm>
          <a:off x="24239806" y="0"/>
          <a:ext cx="145363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2096383</xdr:colOff>
      <xdr:row>2</xdr:row>
      <xdr:rowOff>384583</xdr:rowOff>
    </xdr:from>
    <xdr:to>
      <xdr:col>11</xdr:col>
      <xdr:colOff>1209544</xdr:colOff>
      <xdr:row>2</xdr:row>
      <xdr:rowOff>762890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8BCDF315-B52A-4AAB-9BDF-87C2B3CDC366}"/>
            </a:ext>
          </a:extLst>
        </xdr:cNvPr>
        <xdr:cNvSpPr txBox="1"/>
      </xdr:nvSpPr>
      <xdr:spPr>
        <a:xfrm rot="10800000" flipH="1" flipV="1">
          <a:off x="24190573" y="750343"/>
          <a:ext cx="158966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11</xdr:col>
      <xdr:colOff>107176</xdr:colOff>
      <xdr:row>0</xdr:row>
      <xdr:rowOff>136274</xdr:rowOff>
    </xdr:from>
    <xdr:to>
      <xdr:col>11</xdr:col>
      <xdr:colOff>684684</xdr:colOff>
      <xdr:row>2</xdr:row>
      <xdr:rowOff>354260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77DF8CC-BBB3-49E2-9E61-EE882AF4BE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677866" y="136274"/>
          <a:ext cx="577508" cy="583746"/>
        </a:xfrm>
        <a:prstGeom prst="rect">
          <a:avLst/>
        </a:prstGeom>
        <a:noFill/>
      </xdr:spPr>
    </xdr:pic>
    <xdr:clientData/>
  </xdr:twoCellAnchor>
  <xdr:twoCellAnchor editAs="absolute">
    <xdr:from>
      <xdr:col>12</xdr:col>
      <xdr:colOff>790638</xdr:colOff>
      <xdr:row>0</xdr:row>
      <xdr:rowOff>0</xdr:rowOff>
    </xdr:from>
    <xdr:to>
      <xdr:col>12</xdr:col>
      <xdr:colOff>2396427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C47F532D-3EC0-4665-8C7E-B881AAB0D3AD}"/>
            </a:ext>
          </a:extLst>
        </xdr:cNvPr>
        <xdr:cNvGrpSpPr/>
      </xdr:nvGrpSpPr>
      <xdr:grpSpPr>
        <a:xfrm>
          <a:off x="27860688" y="0"/>
          <a:ext cx="1605789" cy="116205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802AC463-C9F6-4B20-AF7F-B766127FF67D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0A2C2CA8-176A-4A2F-953E-D19651E4793D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3CD60653-C8DC-4B3C-AC96-F659AF7DD83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1097374</xdr:colOff>
      <xdr:row>0</xdr:row>
      <xdr:rowOff>0</xdr:rowOff>
    </xdr:from>
    <xdr:to>
      <xdr:col>14</xdr:col>
      <xdr:colOff>638545</xdr:colOff>
      <xdr:row>3</xdr:row>
      <xdr:rowOff>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B4A4665D-8BAC-434D-86A4-2D76A4E6200C}"/>
            </a:ext>
          </a:extLst>
        </xdr:cNvPr>
        <xdr:cNvSpPr/>
      </xdr:nvSpPr>
      <xdr:spPr>
        <a:xfrm>
          <a:off x="31543084" y="0"/>
          <a:ext cx="146903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1047879</xdr:colOff>
      <xdr:row>2</xdr:row>
      <xdr:rowOff>384584</xdr:rowOff>
    </xdr:from>
    <xdr:to>
      <xdr:col>14</xdr:col>
      <xdr:colOff>725808</xdr:colOff>
      <xdr:row>2</xdr:row>
      <xdr:rowOff>762891</xdr:rowOff>
    </xdr:to>
    <xdr:sp macro="" textlink="">
      <xdr:nvSpPr>
        <xdr:cNvPr id="40" name="CaixaDeTexto 39">
          <a:extLst>
            <a:ext uri="{FF2B5EF4-FFF2-40B4-BE49-F238E27FC236}">
              <a16:creationId xmlns:a16="http://schemas.microsoft.com/office/drawing/2014/main" id="{9D9D9724-E8AE-4383-85B1-D68E39C235AA}"/>
            </a:ext>
          </a:extLst>
        </xdr:cNvPr>
        <xdr:cNvSpPr txBox="1"/>
      </xdr:nvSpPr>
      <xdr:spPr>
        <a:xfrm rot="10800000" flipH="1" flipV="1">
          <a:off x="31493589" y="750344"/>
          <a:ext cx="1605789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B.D</a:t>
          </a:r>
        </a:p>
      </xdr:txBody>
    </xdr:sp>
    <xdr:clientData/>
  </xdr:twoCellAnchor>
  <xdr:twoCellAnchor editAs="absolute">
    <xdr:from>
      <xdr:col>13</xdr:col>
      <xdr:colOff>1509564</xdr:colOff>
      <xdr:row>0</xdr:row>
      <xdr:rowOff>105753</xdr:rowOff>
    </xdr:from>
    <xdr:to>
      <xdr:col>14</xdr:col>
      <xdr:colOff>210567</xdr:colOff>
      <xdr:row>2</xdr:row>
      <xdr:rowOff>360046</xdr:rowOff>
    </xdr:to>
    <xdr:pic>
      <xdr:nvPicPr>
        <xdr:cNvPr id="41" name="Imagem 40" descr="Ícone do banco de dados (símbolo png) preto">
          <a:extLst>
            <a:ext uri="{FF2B5EF4-FFF2-40B4-BE49-F238E27FC236}">
              <a16:creationId xmlns:a16="http://schemas.microsoft.com/office/drawing/2014/main" id="{69D10C77-8975-4A93-B429-0914DE89A3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955274" y="105753"/>
          <a:ext cx="628863" cy="6200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OVO_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RP_13_11%20(BD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orae/Downloads/ERP_12_11%20(1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orae/Downloads/13_11(VBA)%20MacrosCompras4.0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orae/Downloads/TA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Setor_Modelo"/>
      <sheetName val="Produção"/>
      <sheetName val="NOVO"/>
      <sheetName val="N_PROD"/>
      <sheetName val="N_LOGISTICA"/>
      <sheetName val="Produção_Requisições"/>
      <sheetName val="Produção_Equipes"/>
      <sheetName val="Prod_Lanç"/>
      <sheetName val="Produção_BD"/>
      <sheetName val="Estoque"/>
      <sheetName val="Estoque_Prod"/>
      <sheetName val="Estoque_Pedidos"/>
      <sheetName val="Lógistica"/>
      <sheetName val="Lógistica_Cadastro_Clientes"/>
      <sheetName val="Lógistica_Cadastro_Tabela"/>
      <sheetName val="Lógistica_Veiculos_Parceiros"/>
      <sheetName val="Lógistica_Cronograma_Entregas"/>
      <sheetName val="Lógistica_Frete_Custos"/>
      <sheetName val="Lógistica_Relatorio_Entregas"/>
      <sheetName val="Lógistica_Estoque_Transporte"/>
      <sheetName val="Recursos Humanos"/>
      <sheetName val="Finanças"/>
      <sheetName val="Finanças_Custos"/>
      <sheetName val="Venda"/>
      <sheetName val="Compra"/>
      <sheetName val="Compra_CadFor"/>
      <sheetName val="Compra_Solict"/>
      <sheetName val="Compra_ControleProd"/>
      <sheetName val="Vendas_Cadastro_Clientes1"/>
      <sheetName val="Vendas_Cadastro_Clientes2"/>
      <sheetName val="Vendas_Controle_Vendas1"/>
      <sheetName val="Vendas_Controle_Vendas2"/>
      <sheetName val="Vendas_MetasVendas1"/>
      <sheetName val="Vendas_MetasVendas2"/>
      <sheetName val="NOVO_2"/>
    </sheetNames>
    <definedNames>
      <definedName name="REQ_MP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VO"/>
      <sheetName val="N_PRODHOME"/>
      <sheetName val="N_PRODREQ"/>
      <sheetName val="N_ EQUIPES"/>
      <sheetName val="N_PRODLANC"/>
      <sheetName val="N_PRODGRAF "/>
      <sheetName val="N_LOGCLIENTES"/>
      <sheetName val="N_LOGVEIC"/>
      <sheetName val="N_LOGCRON"/>
      <sheetName val="N_LOGFRETE"/>
      <sheetName val="N_LOGRELAT"/>
      <sheetName val="N_LOGRASTR"/>
      <sheetName val="N_ESTQSAÍDAS"/>
      <sheetName val="N_ESTQENTRAD"/>
      <sheetName val="N_RHCONTRATAÇÃO"/>
      <sheetName val="N_CADASTRAR"/>
      <sheetName val="N_RHFOLHA"/>
      <sheetName val="N_RHREF "/>
      <sheetName val="N_VCLIENTES"/>
      <sheetName val="N_VCONTROLE"/>
      <sheetName val="N_VMETAS"/>
      <sheetName val="V_REL_VEN"/>
      <sheetName val="V_REL_MET"/>
      <sheetName val="N_CCADASTROF"/>
      <sheetName val="N_PROCFOR"/>
      <sheetName val="N_CMP"/>
      <sheetName val="N_CSOLICITAR"/>
      <sheetName val="N_CREALIZARP"/>
      <sheetName val="N_CUSTOFIXOEVARIAVEL"/>
      <sheetName val="N_DRE"/>
      <sheetName val="N_VALORESPRODUTOS"/>
      <sheetName val="BD_CADAS"/>
      <sheetName val="BD_CADAS (2)"/>
      <sheetName val="BANCO DE DAD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>
        <row r="7">
          <cell r="C7" t="str">
            <v>QUEIJO MEIA CURA</v>
          </cell>
          <cell r="D7">
            <v>100</v>
          </cell>
        </row>
        <row r="8">
          <cell r="C8" t="str">
            <v>QUEIJO MINAS</v>
          </cell>
          <cell r="D8">
            <v>200</v>
          </cell>
        </row>
        <row r="9">
          <cell r="C9" t="str">
            <v>QUEIJO COALHO</v>
          </cell>
          <cell r="D9">
            <v>300</v>
          </cell>
        </row>
        <row r="10">
          <cell r="C10" t="str">
            <v>QUEIJO MUSSARELA</v>
          </cell>
          <cell r="D10">
            <v>400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VO"/>
      <sheetName val="N_PRODHOME"/>
      <sheetName val="N_PRODREQ"/>
      <sheetName val="N_ EQUIPES"/>
      <sheetName val="N_PRODLANC"/>
      <sheetName val="N_PRODGRAF "/>
      <sheetName val="N_LOGCLIENTES"/>
      <sheetName val="N_LOGVEIC"/>
      <sheetName val="N_LOGCRON"/>
      <sheetName val="N_LOGFRETE"/>
      <sheetName val="N_LOGRELAT"/>
      <sheetName val="N_LOGRASTR"/>
      <sheetName val="N_ESTQSAÍDAS"/>
      <sheetName val="N_ESTQENTRAD"/>
      <sheetName val="N_RHCONTRATAÇÃO"/>
      <sheetName val="N_CADASTRAR"/>
      <sheetName val="N_RHFOLHA"/>
      <sheetName val="N_RHREF "/>
      <sheetName val="N_VCLIENTES"/>
      <sheetName val="N_VCONTROLE"/>
      <sheetName val="N_VMETAS"/>
      <sheetName val="N_CCADASTROF"/>
      <sheetName val="N_PROCFOR"/>
      <sheetName val="N_CMP"/>
      <sheetName val="N_CSOLICITAR"/>
      <sheetName val="N_CREALIZARP"/>
      <sheetName val="N_CUSTOFIXOEVARIAVEL"/>
      <sheetName val="N_DRE"/>
      <sheetName val="N_VALORESPRODUTOS"/>
      <sheetName val="BANCO DE DAD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>
        <row r="1">
          <cell r="J1"/>
        </row>
        <row r="2">
          <cell r="J2"/>
        </row>
        <row r="7">
          <cell r="J7"/>
        </row>
        <row r="8">
          <cell r="J8"/>
        </row>
        <row r="9">
          <cell r="J9">
            <v>2259.1999999999998</v>
          </cell>
        </row>
      </sheetData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VO"/>
      <sheetName val="N_PRODHOME"/>
      <sheetName val="N_PRODREQ"/>
      <sheetName val="N_ EQUIPES"/>
      <sheetName val="N_PRODLANC"/>
      <sheetName val="N_PRODGRAF "/>
      <sheetName val="N_LOGCLIENTES"/>
      <sheetName val="N_LOGVEIC"/>
      <sheetName val="N_LOGCRON"/>
      <sheetName val="N_LOGFRETE"/>
      <sheetName val="N_LOGRELAT"/>
      <sheetName val="N_LOGRAST"/>
      <sheetName val="N_LOGCAD"/>
      <sheetName val="N_ESTQSAÍDAS"/>
      <sheetName val="N_ESTQENTRAD"/>
      <sheetName val="N_RHCONTRATAÇÃO"/>
      <sheetName val="N_CADASTRAR"/>
      <sheetName val="N_RHFOLHA"/>
      <sheetName val="N_RHREF "/>
      <sheetName val="N_VCLIENTES"/>
      <sheetName val="N_VCINTRL"/>
      <sheetName val="N_VMETAS"/>
      <sheetName val="N_VRELCOM"/>
      <sheetName val="N_VRELMET"/>
      <sheetName val="N_CCADASTROF"/>
      <sheetName val="N_PROCFOR"/>
      <sheetName val="N_CSOLICITAR"/>
      <sheetName val="N_CMP"/>
      <sheetName val="SOLICITAÇÕES"/>
      <sheetName val="N_CREALIZARP"/>
      <sheetName val="N_FINANÇAS"/>
      <sheetName val="N_FINANÇAS (2)"/>
      <sheetName val="N_FINANÇAS (3)"/>
      <sheetName val="BANCO DE DADOS"/>
      <sheetName val="BANCO DE DADOS (2)"/>
      <sheetName val="BANCO DE DADOS (3)"/>
      <sheetName val="BD_CADAS (2)"/>
    </sheetNames>
    <definedNames>
      <definedName name="CadastroFornCerto"/>
      <definedName name="COALHO"/>
      <definedName name="EnviarSolicitações"/>
      <definedName name="FERMENTO"/>
      <definedName name="LEITE"/>
      <definedName name="MaiorPmenorPreço"/>
      <definedName name="MenoPMaiorPreço"/>
      <definedName name="RealizarPedido"/>
      <definedName name="SAL"/>
      <definedName name="TODOSFORN"/>
      <definedName name="VINAGR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VO"/>
      <sheetName val="N_PRODHOME"/>
      <sheetName val="N_PRODREQ"/>
      <sheetName val="N_ EQUIPES"/>
      <sheetName val="N_PRODLANC"/>
      <sheetName val="N_PRODGRAF "/>
      <sheetName val="N_LOGCLIENTES"/>
      <sheetName val="N_LOGVEIC"/>
      <sheetName val="N_LOGCRON"/>
      <sheetName val="N_LOGFRETE"/>
      <sheetName val="N_LOGRELAT"/>
      <sheetName val="N_LOGRAST"/>
      <sheetName val="N_LOGCAD"/>
      <sheetName val="N_ESTQSAÍDAS"/>
      <sheetName val="N_ESTQENTRAD"/>
      <sheetName val="N_RHCONTRATAÇÃO"/>
      <sheetName val="N_CADASTRAR"/>
      <sheetName val="N_RHFOLHA"/>
      <sheetName val="N_RHREF "/>
      <sheetName val="N_VCLIENTES"/>
      <sheetName val="N_VCINTRL"/>
      <sheetName val="N_VMETAS"/>
      <sheetName val="N_VRELCOM"/>
      <sheetName val="N_VRELMET"/>
      <sheetName val="N_CCADASTROF"/>
      <sheetName val="N_PROCFOR"/>
      <sheetName val="N_CMP"/>
      <sheetName val="N_CSOLICITAR"/>
      <sheetName val="N_CREALIZARP"/>
      <sheetName val="N_FINANÇAS"/>
      <sheetName val="BANCO DE DADOS"/>
      <sheetName val="BD_CADAS"/>
      <sheetName val="BD_CADAS (2)"/>
    </sheetNames>
    <definedNames>
      <definedName name="cadastro_clientes"/>
      <definedName name="Controle_Vendas"/>
      <definedName name="met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C8" t="str">
            <v>12950745/0111-01</v>
          </cell>
          <cell r="D8" t="str">
            <v>Ana</v>
          </cell>
          <cell r="E8" t="str">
            <v>Rua dos Sertoes</v>
          </cell>
        </row>
        <row r="9">
          <cell r="C9" t="str">
            <v>09.091.029/0001-07</v>
          </cell>
          <cell r="D9" t="str">
            <v>joaquim</v>
          </cell>
          <cell r="E9" t="str">
            <v>rua da mbaixadas</v>
          </cell>
        </row>
        <row r="10">
          <cell r="C10" t="str">
            <v>93.946.695/0001-80</v>
          </cell>
          <cell r="D10" t="str">
            <v>Casa de queijo de Monte Verde</v>
          </cell>
          <cell r="E10" t="str">
            <v>Rua das Flores, 123</v>
          </cell>
        </row>
        <row r="11">
          <cell r="C11" t="str">
            <v>21.675.749/0001-09</v>
          </cell>
          <cell r="D11" t="str">
            <v>Queijaria de Minas</v>
          </cell>
          <cell r="E11" t="str">
            <v>Avenida Brasil, 4567</v>
          </cell>
        </row>
        <row r="12">
          <cell r="C12" t="str">
            <v>65.357.706/0001-50</v>
          </cell>
          <cell r="D12" t="str">
            <v>Aqui Queijo</v>
          </cell>
          <cell r="E12" t="str">
            <v>Rua do Sol, 89</v>
          </cell>
        </row>
        <row r="13">
          <cell r="C13" t="str">
            <v>09.091.029/0001-09</v>
          </cell>
          <cell r="D13" t="str">
            <v>Uai Queijo</v>
          </cell>
          <cell r="E13" t="str">
            <v>Travessa da Paz, 12</v>
          </cell>
        </row>
        <row r="14">
          <cell r="C14" t="str">
            <v>09.190.296/0001-25</v>
          </cell>
          <cell r="D14" t="str">
            <v>Cruzilha Queijos</v>
          </cell>
          <cell r="E14" t="str">
            <v>Rua da Esperança, 34</v>
          </cell>
        </row>
        <row r="15">
          <cell r="C15" t="str">
            <v>41.676.392/0001-90</v>
          </cell>
          <cell r="D15" t="str">
            <v>Montana</v>
          </cell>
          <cell r="E15" t="str">
            <v>Avenida das Américas, 567</v>
          </cell>
        </row>
        <row r="16">
          <cell r="C16" t="str">
            <v>31.537.669/0001-40</v>
          </cell>
          <cell r="D16" t="str">
            <v>Chale do Ito</v>
          </cell>
          <cell r="E16" t="str">
            <v>Rua São Jorge, 78</v>
          </cell>
        </row>
        <row r="17">
          <cell r="C17" t="str">
            <v>29.140.170/0001-53</v>
          </cell>
          <cell r="D17" t="str">
            <v>Restaurante So Queijo</v>
          </cell>
          <cell r="E17" t="str">
            <v>Praça da Liberdade, 9</v>
          </cell>
        </row>
        <row r="18">
          <cell r="C18" t="str">
            <v>22.322.380/0001-13</v>
          </cell>
          <cell r="D18" t="str">
            <v>Arcobaleno Frios e Queijos</v>
          </cell>
          <cell r="E18" t="str">
            <v>Rua dos Reis, 101</v>
          </cell>
        </row>
        <row r="19">
          <cell r="C19" t="str">
            <v>05.790.326/0001-83</v>
          </cell>
          <cell r="D19" t="str">
            <v>Restaurante Libertango</v>
          </cell>
          <cell r="E19" t="str">
            <v>Avenida dos Girassóis, 234</v>
          </cell>
        </row>
        <row r="20">
          <cell r="C20" t="str">
            <v>17.389.690/0001-15</v>
          </cell>
          <cell r="D20" t="str">
            <v>Monte Verde Laticinios</v>
          </cell>
          <cell r="E20" t="str">
            <v>Rua das Acácias, 45</v>
          </cell>
        </row>
        <row r="21">
          <cell r="C21" t="str">
            <v>03.044.803/0001-36</v>
          </cell>
          <cell r="D21" t="str">
            <v>Armazem do Queijo</v>
          </cell>
          <cell r="E21" t="str">
            <v>Estrada do Ouro, 678</v>
          </cell>
        </row>
        <row r="22">
          <cell r="C22" t="str">
            <v>49.619.326/0001-90</v>
          </cell>
          <cell r="D22" t="str">
            <v xml:space="preserve">Rancho do Caipira </v>
          </cell>
          <cell r="E22" t="str">
            <v>Rua da Alegria, 23</v>
          </cell>
        </row>
        <row r="23">
          <cell r="C23" t="str">
            <v>76.018.260/0001-56</v>
          </cell>
          <cell r="D23" t="str">
            <v>Queijo e Doces Monte Verde</v>
          </cell>
          <cell r="E23" t="str">
            <v>Avenida da Saúde, 345</v>
          </cell>
        </row>
        <row r="24">
          <cell r="C24" t="str">
            <v>66.501.356/0001-17</v>
          </cell>
          <cell r="D24" t="str">
            <v>Cantinho do Doce</v>
          </cell>
          <cell r="E24" t="str">
            <v>Rua do Comércio, 11</v>
          </cell>
        </row>
        <row r="25">
          <cell r="C25" t="str">
            <v>18.996.600/0001-17</v>
          </cell>
          <cell r="D25" t="str">
            <v>A Pioneira</v>
          </cell>
          <cell r="E25" t="str">
            <v>Rua do Limoeiro, 87</v>
          </cell>
        </row>
        <row r="26">
          <cell r="C26" t="str">
            <v>21.153.490/0001-36</v>
          </cell>
          <cell r="D26" t="str">
            <v>Supermercado du Tato</v>
          </cell>
          <cell r="E26" t="str">
            <v>Avenida da Independência, 456</v>
          </cell>
        </row>
        <row r="27">
          <cell r="C27" t="str">
            <v>24.851.065/0001-09</v>
          </cell>
          <cell r="D27" t="str">
            <v>Queijos Santa Fe</v>
          </cell>
          <cell r="E27" t="str">
            <v>Rua das Palmeiras, 62</v>
          </cell>
        </row>
        <row r="28">
          <cell r="C28" t="str">
            <v>03.531.020/0001-87</v>
          </cell>
          <cell r="D28" t="str">
            <v>Supermercado Avenida</v>
          </cell>
          <cell r="E28" t="str">
            <v>Rua do Conhecimento, 90</v>
          </cell>
        </row>
        <row r="29">
          <cell r="C29" t="str">
            <v>73.027.684/0001-99</v>
          </cell>
          <cell r="D29" t="str">
            <v>Supermercado Bosque</v>
          </cell>
          <cell r="E29" t="str">
            <v>Travessa do Coração, 33</v>
          </cell>
        </row>
        <row r="30">
          <cell r="C30" t="str">
            <v>10.070.973/0001-50</v>
          </cell>
          <cell r="D30" t="str">
            <v>Supermercado Kurihara</v>
          </cell>
          <cell r="E30" t="str">
            <v>Rua do Trabalho, 47</v>
          </cell>
        </row>
      </sheetData>
      <sheetData sheetId="32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a:spPr>
      <a:bodyPr vertOverflow="clip" horzOverflow="clip" rtlCol="0" anchor="ctr"/>
      <a:lstStyle>
        <a:defPPr algn="ctr">
          <a:defRPr sz="1100" b="1"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hyperlink" Target="mailto:beatriz@email.com" TargetMode="External"/><Relationship Id="rId3" Type="http://schemas.openxmlformats.org/officeDocument/2006/relationships/hyperlink" Target="mailto:andr&#233;a.melo29@email.com" TargetMode="External"/><Relationship Id="rId7" Type="http://schemas.openxmlformats.org/officeDocument/2006/relationships/hyperlink" Target="mailto:carlos@email.com" TargetMode="External"/><Relationship Id="rId2" Type="http://schemas.openxmlformats.org/officeDocument/2006/relationships/hyperlink" Target="mailto:julia.martins56@email.com" TargetMode="External"/><Relationship Id="rId1" Type="http://schemas.openxmlformats.org/officeDocument/2006/relationships/hyperlink" Target="mailto:andr&#233;a.melo29@email.com" TargetMode="External"/><Relationship Id="rId6" Type="http://schemas.openxmlformats.org/officeDocument/2006/relationships/hyperlink" Target="mailto:ana@email.com" TargetMode="External"/><Relationship Id="rId5" Type="http://schemas.openxmlformats.org/officeDocument/2006/relationships/hyperlink" Target="mailto:jaoa@email.com" TargetMode="External"/><Relationship Id="rId10" Type="http://schemas.openxmlformats.org/officeDocument/2006/relationships/drawing" Target="../drawings/drawing42.xml"/><Relationship Id="rId4" Type="http://schemas.openxmlformats.org/officeDocument/2006/relationships/hyperlink" Target="mailto:claudia.rodrigues67@email.com" TargetMode="External"/><Relationship Id="rId9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0311B-1A00-407A-B3C8-C8A1D0AB8E96}">
  <sheetPr codeName="Planilha1">
    <tabColor rgb="FFFF0000"/>
  </sheetPr>
  <dimension ref="A1:AW77"/>
  <sheetViews>
    <sheetView showGridLines="0" showRowColHeaders="0" zoomScale="40" zoomScaleNormal="40" workbookViewId="0">
      <selection activeCell="F23" sqref="F23"/>
    </sheetView>
  </sheetViews>
  <sheetFormatPr defaultColWidth="8.88671875" defaultRowHeight="14.4" zeroHeight="1" x14ac:dyDescent="0.3"/>
  <cols>
    <col min="1" max="25" width="8.88671875" customWidth="1"/>
    <col min="26" max="43" width="8.88671875" style="100" customWidth="1"/>
    <col min="44" max="48" width="8.88671875" customWidth="1"/>
    <col min="49" max="49" width="105.77734375" customWidth="1"/>
    <col min="50" max="16383" width="0" hidden="1" customWidth="1"/>
    <col min="16384" max="16384" width="84.77734375" customWidth="1"/>
  </cols>
  <sheetData>
    <row r="1" spans="1:49" ht="61.5" customHeight="1" x14ac:dyDescent="0.3">
      <c r="A1" s="24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  <c r="AS1" s="24"/>
      <c r="AT1" s="24"/>
      <c r="AU1" s="24"/>
      <c r="AV1" s="24"/>
      <c r="AW1" s="24"/>
    </row>
    <row r="2" spans="1:49" ht="46.2" customHeight="1" x14ac:dyDescent="0.5">
      <c r="A2" s="247" t="s">
        <v>0</v>
      </c>
      <c r="B2" s="247"/>
      <c r="C2" s="247"/>
      <c r="D2" s="247"/>
      <c r="E2" s="247"/>
      <c r="F2" s="247"/>
      <c r="G2" s="247"/>
      <c r="H2" s="247"/>
      <c r="I2" s="247"/>
      <c r="J2" s="247"/>
      <c r="K2" s="247"/>
      <c r="L2" s="247"/>
      <c r="M2" s="247"/>
      <c r="N2" s="247"/>
      <c r="O2" s="247"/>
      <c r="P2" s="247"/>
      <c r="Q2" s="247"/>
      <c r="R2" s="247"/>
      <c r="S2" s="247"/>
      <c r="T2" s="247"/>
      <c r="U2" s="247"/>
      <c r="V2" s="247"/>
      <c r="W2" s="247"/>
      <c r="X2" s="247"/>
      <c r="Y2" s="247"/>
      <c r="Z2" s="247"/>
      <c r="AA2" s="247"/>
      <c r="AB2" s="247"/>
      <c r="AC2" s="247"/>
      <c r="AD2" s="247"/>
      <c r="AE2" s="247"/>
      <c r="AF2" s="247"/>
      <c r="AG2" s="247"/>
      <c r="AH2" s="247"/>
      <c r="AI2" s="247"/>
      <c r="AJ2" s="247"/>
      <c r="AK2" s="247"/>
      <c r="AL2" s="247"/>
      <c r="AM2" s="247"/>
      <c r="AN2" s="247"/>
      <c r="AO2" s="247"/>
      <c r="AP2" s="247"/>
      <c r="AQ2" s="247"/>
      <c r="AR2" s="247"/>
      <c r="AS2" s="247"/>
      <c r="AT2" s="247"/>
      <c r="AU2" s="247"/>
      <c r="AV2" s="247"/>
      <c r="AW2" s="247"/>
    </row>
    <row r="3" spans="1:49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</row>
    <row r="4" spans="1:49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</row>
    <row r="5" spans="1:49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</row>
    <row r="6" spans="1:49" x14ac:dyDescent="0.3">
      <c r="A6" s="23"/>
      <c r="B6" s="23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</row>
    <row r="7" spans="1:49" x14ac:dyDescent="0.3">
      <c r="A7" s="23"/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U7" s="23"/>
      <c r="AV7" s="23"/>
      <c r="AW7" s="23"/>
    </row>
    <row r="8" spans="1:49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V8" s="23"/>
      <c r="AW8" s="23"/>
    </row>
    <row r="9" spans="1:49" x14ac:dyDescent="0.3">
      <c r="A9" s="23"/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</row>
    <row r="10" spans="1:49" x14ac:dyDescent="0.3">
      <c r="A10" s="23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23"/>
      <c r="AW10" s="23"/>
    </row>
    <row r="11" spans="1:49" x14ac:dyDescent="0.3">
      <c r="A11" s="23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  <c r="AU11" s="23"/>
      <c r="AV11" s="23"/>
      <c r="AW11" s="23"/>
    </row>
    <row r="12" spans="1:49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</row>
    <row r="13" spans="1:49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  <c r="AU13" s="23"/>
      <c r="AV13" s="23"/>
      <c r="AW13" s="23"/>
    </row>
    <row r="14" spans="1:49" x14ac:dyDescent="0.3">
      <c r="A14" s="23"/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</row>
    <row r="15" spans="1:49" x14ac:dyDescent="0.3">
      <c r="A15" s="23"/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</row>
    <row r="16" spans="1:49" x14ac:dyDescent="0.3">
      <c r="A16" s="23"/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</row>
    <row r="17" spans="1:49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</row>
    <row r="18" spans="1:49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</row>
    <row r="19" spans="1:49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</row>
    <row r="20" spans="1:49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</row>
    <row r="21" spans="1:49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</row>
    <row r="22" spans="1:49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</row>
    <row r="23" spans="1:49" x14ac:dyDescent="0.3">
      <c r="A23" s="23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</row>
    <row r="24" spans="1:49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</row>
    <row r="25" spans="1:49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</row>
    <row r="26" spans="1:49" x14ac:dyDescent="0.3">
      <c r="A26" s="23"/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</row>
    <row r="27" spans="1:49" x14ac:dyDescent="0.3">
      <c r="A27" s="23"/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</row>
    <row r="28" spans="1:49" x14ac:dyDescent="0.3">
      <c r="A28" s="23"/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</row>
    <row r="29" spans="1:49" x14ac:dyDescent="0.3">
      <c r="A29" s="23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</row>
    <row r="30" spans="1:49" x14ac:dyDescent="0.3">
      <c r="A30" s="23"/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</row>
    <row r="31" spans="1:49" x14ac:dyDescent="0.3">
      <c r="A31" s="23"/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</row>
    <row r="32" spans="1:49" x14ac:dyDescent="0.3">
      <c r="A32" s="2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</row>
    <row r="33" spans="1:49" x14ac:dyDescent="0.3">
      <c r="A33" s="2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</row>
    <row r="34" spans="1:49" x14ac:dyDescent="0.3">
      <c r="A34" s="2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</row>
    <row r="35" spans="1:49" x14ac:dyDescent="0.3">
      <c r="A35" s="23"/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</row>
    <row r="36" spans="1:49" x14ac:dyDescent="0.3">
      <c r="A36" s="23"/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</row>
    <row r="37" spans="1:49" x14ac:dyDescent="0.3">
      <c r="A37" s="23"/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</row>
    <row r="38" spans="1:49" x14ac:dyDescent="0.3">
      <c r="A38" s="23"/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</row>
    <row r="39" spans="1:49" x14ac:dyDescent="0.3">
      <c r="A39" s="23"/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</row>
    <row r="40" spans="1:49" x14ac:dyDescent="0.3">
      <c r="A40" s="23"/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</row>
    <row r="41" spans="1:49" x14ac:dyDescent="0.3">
      <c r="A41" s="23"/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</row>
    <row r="42" spans="1:49" x14ac:dyDescent="0.3">
      <c r="A42" s="23"/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</row>
    <row r="43" spans="1:49" x14ac:dyDescent="0.3">
      <c r="A43" s="23"/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</row>
    <row r="44" spans="1:49" x14ac:dyDescent="0.3">
      <c r="A44" s="23"/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</row>
    <row r="45" spans="1:49" x14ac:dyDescent="0.3">
      <c r="A45" s="23"/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</row>
    <row r="46" spans="1:49" x14ac:dyDescent="0.3">
      <c r="A46" s="23"/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</row>
    <row r="47" spans="1:49" x14ac:dyDescent="0.3">
      <c r="A47" s="23"/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</row>
    <row r="48" spans="1:49" x14ac:dyDescent="0.3">
      <c r="A48" s="23"/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</row>
    <row r="49" spans="1:49" x14ac:dyDescent="0.3">
      <c r="A49" s="23"/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</row>
    <row r="50" spans="1:49" s="100" customFormat="1" x14ac:dyDescent="0.3">
      <c r="A50" s="23"/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</row>
    <row r="51" spans="1:49" s="100" customFormat="1" x14ac:dyDescent="0.3">
      <c r="A51" s="23"/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</row>
    <row r="52" spans="1:49" s="100" customFormat="1" x14ac:dyDescent="0.3">
      <c r="A52" s="23"/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  <c r="AU52" s="23"/>
      <c r="AV52" s="23"/>
      <c r="AW52" s="23"/>
    </row>
    <row r="53" spans="1:49" s="100" customFormat="1" x14ac:dyDescent="0.3">
      <c r="A53" s="23"/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</row>
    <row r="54" spans="1:49" s="100" customFormat="1" x14ac:dyDescent="0.3">
      <c r="A54" s="23"/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</row>
    <row r="55" spans="1:49" s="100" customFormat="1" x14ac:dyDescent="0.3">
      <c r="A55" s="23"/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</row>
    <row r="56" spans="1:49" s="100" customFormat="1" x14ac:dyDescent="0.3">
      <c r="A56" s="23"/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  <c r="AU56" s="23"/>
      <c r="AV56" s="23"/>
      <c r="AW56" s="23"/>
    </row>
    <row r="57" spans="1:49" s="100" customFormat="1" x14ac:dyDescent="0.3">
      <c r="A57" s="23"/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</row>
    <row r="58" spans="1:49" s="100" customFormat="1" x14ac:dyDescent="0.3">
      <c r="A58" s="23"/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  <c r="AU58" s="23"/>
      <c r="AV58" s="23"/>
      <c r="AW58" s="23"/>
    </row>
    <row r="59" spans="1:49" s="100" customFormat="1" x14ac:dyDescent="0.3">
      <c r="A59" s="23"/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  <c r="AU59" s="23"/>
      <c r="AV59" s="23"/>
      <c r="AW59" s="23"/>
    </row>
    <row r="60" spans="1:49" s="100" customFormat="1" x14ac:dyDescent="0.3">
      <c r="A60" s="23"/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</row>
    <row r="61" spans="1:49" s="100" customFormat="1" x14ac:dyDescent="0.3">
      <c r="A61" s="23"/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  <c r="AU61" s="23"/>
      <c r="AV61" s="23"/>
      <c r="AW61" s="23"/>
    </row>
    <row r="62" spans="1:49" s="100" customFormat="1" x14ac:dyDescent="0.3">
      <c r="A62" s="23"/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</row>
    <row r="63" spans="1:49" s="100" customFormat="1" x14ac:dyDescent="0.3">
      <c r="A63" s="23"/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  <c r="AU63" s="23"/>
      <c r="AV63" s="23"/>
      <c r="AW63" s="23"/>
    </row>
    <row r="64" spans="1:49" s="100" customFormat="1" x14ac:dyDescent="0.3">
      <c r="A64" s="23"/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  <c r="AU64" s="23"/>
      <c r="AV64" s="23"/>
      <c r="AW64" s="23"/>
    </row>
    <row r="65" spans="1:49" s="100" customFormat="1" x14ac:dyDescent="0.3">
      <c r="A65" s="23"/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  <c r="AU65" s="23"/>
      <c r="AV65" s="23"/>
      <c r="AW65" s="23"/>
    </row>
    <row r="66" spans="1:49" s="100" customFormat="1" x14ac:dyDescent="0.3">
      <c r="A66" s="23"/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  <c r="AU66" s="23"/>
      <c r="AV66" s="23"/>
      <c r="AW66" s="23"/>
    </row>
    <row r="67" spans="1:49" s="100" customFormat="1" x14ac:dyDescent="0.3">
      <c r="A67" s="23"/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  <c r="AU67" s="23"/>
      <c r="AV67" s="23"/>
      <c r="AW67" s="23"/>
    </row>
    <row r="68" spans="1:49" s="100" customFormat="1" x14ac:dyDescent="0.3">
      <c r="A68" s="23"/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  <c r="AU68" s="23"/>
      <c r="AV68" s="23"/>
      <c r="AW68" s="23"/>
    </row>
    <row r="69" spans="1:49" s="100" customFormat="1" x14ac:dyDescent="0.3">
      <c r="A69" s="23"/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  <c r="AU69" s="23"/>
      <c r="AV69" s="23"/>
      <c r="AW69" s="23"/>
    </row>
    <row r="70" spans="1:49" s="100" customFormat="1" x14ac:dyDescent="0.3">
      <c r="A70" s="23"/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  <c r="AU70" s="23"/>
      <c r="AV70" s="23"/>
      <c r="AW70" s="23"/>
    </row>
    <row r="71" spans="1:49" s="100" customFormat="1" x14ac:dyDescent="0.3">
      <c r="A71" s="23"/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  <c r="AU71" s="23"/>
      <c r="AV71" s="23"/>
      <c r="AW71" s="23"/>
    </row>
    <row r="72" spans="1:49" s="100" customFormat="1" x14ac:dyDescent="0.3">
      <c r="A72" s="23"/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  <c r="AU72" s="23"/>
      <c r="AV72" s="23"/>
      <c r="AW72" s="23"/>
    </row>
    <row r="73" spans="1:49" s="100" customFormat="1" x14ac:dyDescent="0.3">
      <c r="A73" s="23"/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  <c r="AU73" s="23"/>
      <c r="AV73" s="23"/>
      <c r="AW73" s="23"/>
    </row>
    <row r="74" spans="1:49" s="100" customFormat="1" x14ac:dyDescent="0.3">
      <c r="A74" s="23"/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  <c r="AU74" s="23"/>
      <c r="AV74" s="23"/>
      <c r="AW74" s="23"/>
    </row>
    <row r="75" spans="1:49" x14ac:dyDescent="0.3">
      <c r="A75" s="23"/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  <c r="AU75" s="23"/>
      <c r="AV75" s="23"/>
      <c r="AW75" s="23"/>
    </row>
    <row r="76" spans="1:49" x14ac:dyDescent="0.3">
      <c r="A76" s="23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  <c r="AU76" s="23"/>
      <c r="AV76" s="23"/>
      <c r="AW76" s="23"/>
    </row>
    <row r="77" spans="1:49" ht="270" customHeight="1" x14ac:dyDescent="0.3">
      <c r="A77" s="23"/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  <c r="AU77" s="23"/>
      <c r="AV77" s="23"/>
      <c r="AW77" s="23"/>
    </row>
  </sheetData>
  <mergeCells count="1">
    <mergeCell ref="A2:AW2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34AA4-B794-44DE-8DF4-9B58A2FE734B}">
  <sheetPr codeName="Planilha7">
    <tabColor rgb="FFFF0000"/>
  </sheetPr>
  <dimension ref="A1:BJ80"/>
  <sheetViews>
    <sheetView showGridLines="0" showRowColHeaders="0" zoomScale="40" zoomScaleNormal="40" workbookViewId="0">
      <selection activeCell="J40" sqref="J40"/>
    </sheetView>
  </sheetViews>
  <sheetFormatPr defaultRowHeight="14.4" x14ac:dyDescent="0.3"/>
  <cols>
    <col min="1" max="2" width="8.88671875" style="100"/>
    <col min="3" max="3" width="8.88671875" style="100" customWidth="1"/>
    <col min="4" max="4" width="8.88671875" style="100"/>
    <col min="5" max="5" width="28.88671875" style="100" customWidth="1"/>
    <col min="6" max="6" width="12.33203125" style="100" customWidth="1"/>
    <col min="7" max="7" width="15.6640625" style="100" bestFit="1" customWidth="1"/>
    <col min="8" max="8" width="16.6640625" style="100" bestFit="1" customWidth="1"/>
    <col min="9" max="9" width="10.33203125" style="100" customWidth="1"/>
    <col min="10" max="10" width="19.5546875" style="100" bestFit="1" customWidth="1"/>
    <col min="11" max="11" width="13.44140625" style="100" bestFit="1" customWidth="1"/>
    <col min="12" max="12" width="12.33203125" style="100" bestFit="1" customWidth="1"/>
    <col min="13" max="13" width="9.5546875" style="100" bestFit="1" customWidth="1"/>
    <col min="14" max="14" width="16.6640625" style="100" bestFit="1" customWidth="1"/>
    <col min="15" max="16" width="8.88671875" style="100"/>
    <col min="17" max="17" width="34" style="100" customWidth="1"/>
    <col min="18" max="18" width="15.6640625" style="100" customWidth="1"/>
    <col min="19" max="19" width="21.21875" style="100" customWidth="1"/>
    <col min="20" max="20" width="19.33203125" style="100" bestFit="1" customWidth="1"/>
    <col min="21" max="21" width="14.5546875" style="100" bestFit="1" customWidth="1"/>
    <col min="22" max="22" width="26.77734375" style="100" bestFit="1" customWidth="1"/>
    <col min="23" max="16384" width="8.88671875" style="100"/>
  </cols>
  <sheetData>
    <row r="1" spans="1:62" s="101" customFormat="1" x14ac:dyDescent="0.3"/>
    <row r="2" spans="1:62" s="101" customFormat="1" x14ac:dyDescent="0.3"/>
    <row r="3" spans="1:62" ht="61.5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  <c r="AZ3" s="101"/>
      <c r="BA3" s="101"/>
      <c r="BB3" s="101"/>
    </row>
    <row r="4" spans="1:62" ht="46.2" customHeight="1" x14ac:dyDescent="0.3">
      <c r="A4" s="248"/>
      <c r="B4" s="248"/>
      <c r="C4" s="248"/>
      <c r="D4" s="248"/>
      <c r="E4" s="248"/>
      <c r="F4" s="248"/>
      <c r="G4" s="248"/>
      <c r="H4" s="248"/>
      <c r="I4" s="248"/>
      <c r="J4" s="248"/>
      <c r="K4" s="248"/>
      <c r="L4" s="248"/>
      <c r="M4" s="248"/>
      <c r="N4" s="248"/>
      <c r="O4" s="248"/>
      <c r="P4" s="248"/>
      <c r="Q4" s="248"/>
      <c r="R4" s="248"/>
      <c r="S4" s="248"/>
      <c r="T4" s="248"/>
      <c r="U4" s="248"/>
      <c r="V4" s="248"/>
      <c r="W4" s="248"/>
      <c r="X4" s="248"/>
      <c r="Y4" s="248"/>
      <c r="Z4" s="248"/>
      <c r="AA4" s="248"/>
      <c r="AB4" s="248"/>
      <c r="AC4" s="248"/>
      <c r="AD4" s="248"/>
      <c r="AE4" s="248"/>
      <c r="AF4" s="248"/>
      <c r="AG4" s="248"/>
      <c r="AH4" s="248"/>
      <c r="AI4" s="248"/>
      <c r="AJ4" s="248"/>
      <c r="AK4" s="248"/>
      <c r="AL4" s="248"/>
      <c r="AM4" s="248"/>
      <c r="AN4" s="248"/>
      <c r="AO4" s="248"/>
      <c r="AP4" s="248"/>
      <c r="AQ4" s="248"/>
      <c r="AR4" s="248"/>
      <c r="AS4" s="248"/>
      <c r="AT4" s="248"/>
      <c r="AU4" s="248"/>
      <c r="AV4" s="248"/>
      <c r="AW4" s="248"/>
      <c r="AX4" s="248"/>
      <c r="AY4" s="248"/>
      <c r="AZ4" s="248"/>
      <c r="BA4" s="248"/>
      <c r="BB4" s="248"/>
      <c r="BC4" s="248"/>
      <c r="BD4" s="248"/>
      <c r="BE4" s="248"/>
      <c r="BF4" s="248"/>
      <c r="BG4" s="248"/>
      <c r="BH4" s="248"/>
      <c r="BI4" s="248"/>
      <c r="BJ4" s="248"/>
    </row>
    <row r="5" spans="1:62" x14ac:dyDescent="0.3">
      <c r="A5" s="248"/>
      <c r="B5" s="248"/>
      <c r="C5" s="248"/>
      <c r="D5" s="248"/>
      <c r="E5" s="248"/>
      <c r="F5" s="248"/>
      <c r="G5" s="248"/>
      <c r="H5" s="248"/>
      <c r="I5" s="248"/>
      <c r="J5" s="248"/>
      <c r="K5" s="248"/>
      <c r="L5" s="248"/>
      <c r="M5" s="248"/>
      <c r="N5" s="248"/>
      <c r="O5" s="248"/>
      <c r="P5" s="248"/>
      <c r="Q5" s="248"/>
      <c r="R5" s="248"/>
      <c r="S5" s="248"/>
      <c r="T5" s="248"/>
      <c r="U5" s="248"/>
      <c r="V5" s="248"/>
      <c r="W5" s="248"/>
      <c r="X5" s="248"/>
      <c r="Y5" s="248"/>
      <c r="Z5" s="248"/>
      <c r="AA5" s="248"/>
      <c r="AB5" s="248"/>
      <c r="AC5" s="248"/>
      <c r="AD5" s="248"/>
      <c r="AE5" s="248"/>
      <c r="AF5" s="248"/>
      <c r="AG5" s="248"/>
      <c r="AH5" s="248"/>
      <c r="AI5" s="248"/>
      <c r="AJ5" s="248"/>
      <c r="AK5" s="248"/>
      <c r="AL5" s="248"/>
      <c r="AM5" s="248"/>
      <c r="AN5" s="248"/>
      <c r="AO5" s="248"/>
      <c r="AP5" s="248"/>
      <c r="AQ5" s="248"/>
      <c r="AR5" s="248"/>
      <c r="AS5" s="248"/>
      <c r="AT5" s="248"/>
      <c r="AU5" s="248"/>
      <c r="AV5" s="248"/>
      <c r="AW5" s="248"/>
      <c r="AX5" s="248"/>
      <c r="AY5" s="248"/>
      <c r="AZ5" s="248"/>
      <c r="BA5" s="248"/>
      <c r="BB5" s="248"/>
      <c r="BC5" s="248"/>
      <c r="BD5" s="248"/>
      <c r="BE5" s="248"/>
      <c r="BF5" s="248"/>
      <c r="BG5" s="248"/>
      <c r="BH5" s="248"/>
      <c r="BI5" s="248"/>
      <c r="BJ5" s="248"/>
    </row>
    <row r="6" spans="1:62" x14ac:dyDescent="0.3">
      <c r="A6" s="248"/>
      <c r="B6" s="248"/>
      <c r="C6" s="248"/>
      <c r="D6" s="248"/>
      <c r="E6" s="248"/>
      <c r="F6" s="248"/>
      <c r="G6" s="248"/>
      <c r="H6" s="248"/>
      <c r="I6" s="248"/>
      <c r="J6" s="248"/>
      <c r="K6" s="248"/>
      <c r="L6" s="248"/>
      <c r="M6" s="248"/>
      <c r="N6" s="248"/>
      <c r="O6" s="248"/>
      <c r="P6" s="248"/>
      <c r="Q6" s="248"/>
      <c r="R6" s="248"/>
      <c r="S6" s="248"/>
      <c r="T6" s="248"/>
      <c r="U6" s="248"/>
      <c r="V6" s="248"/>
      <c r="W6" s="248"/>
      <c r="X6" s="248"/>
      <c r="Y6" s="248"/>
      <c r="Z6" s="248"/>
      <c r="AA6" s="248"/>
      <c r="AB6" s="248"/>
      <c r="AC6" s="248"/>
      <c r="AD6" s="248"/>
      <c r="AE6" s="248"/>
      <c r="AF6" s="248"/>
      <c r="AG6" s="248"/>
      <c r="AH6" s="248"/>
      <c r="AI6" s="248"/>
      <c r="AJ6" s="248"/>
      <c r="AK6" s="248"/>
      <c r="AL6" s="248"/>
      <c r="AM6" s="248"/>
      <c r="AN6" s="248"/>
      <c r="AO6" s="248"/>
      <c r="AP6" s="248"/>
      <c r="AQ6" s="248"/>
      <c r="AR6" s="248"/>
      <c r="AS6" s="248"/>
      <c r="AT6" s="248"/>
      <c r="AU6" s="248"/>
      <c r="AV6" s="248"/>
      <c r="AW6" s="248"/>
      <c r="AX6" s="248"/>
      <c r="AY6" s="248"/>
      <c r="AZ6" s="248"/>
      <c r="BA6" s="248"/>
      <c r="BB6" s="248"/>
      <c r="BC6" s="248"/>
      <c r="BD6" s="248"/>
      <c r="BE6" s="248"/>
      <c r="BF6" s="248"/>
      <c r="BG6" s="248"/>
      <c r="BH6" s="248"/>
      <c r="BI6" s="248"/>
      <c r="BJ6" s="248"/>
    </row>
    <row r="7" spans="1:62" x14ac:dyDescent="0.3">
      <c r="A7" s="248"/>
      <c r="B7" s="248"/>
      <c r="C7" s="248"/>
      <c r="D7" s="248"/>
      <c r="E7" s="248"/>
      <c r="F7" s="248"/>
      <c r="G7" s="248"/>
      <c r="H7" s="248"/>
      <c r="I7" s="248"/>
      <c r="J7" s="248"/>
      <c r="K7" s="248"/>
      <c r="L7" s="248"/>
      <c r="M7" s="248"/>
      <c r="N7" s="248"/>
      <c r="O7" s="248"/>
      <c r="P7" s="248"/>
      <c r="Q7" s="248"/>
      <c r="R7" s="248"/>
      <c r="S7" s="248"/>
      <c r="T7" s="248"/>
      <c r="U7" s="248"/>
      <c r="V7" s="248"/>
      <c r="W7" s="248"/>
      <c r="X7" s="248"/>
      <c r="Y7" s="248"/>
      <c r="Z7" s="248"/>
      <c r="AA7" s="248"/>
      <c r="AB7" s="248"/>
      <c r="AC7" s="248"/>
      <c r="AD7" s="248"/>
      <c r="AE7" s="248"/>
      <c r="AF7" s="248"/>
      <c r="AG7" s="248"/>
      <c r="AH7" s="248"/>
      <c r="AI7" s="248"/>
      <c r="AJ7" s="248"/>
      <c r="AK7" s="248"/>
      <c r="AL7" s="248"/>
      <c r="AM7" s="248"/>
      <c r="AN7" s="248"/>
      <c r="AO7" s="248"/>
      <c r="AP7" s="248"/>
      <c r="AQ7" s="248"/>
      <c r="AR7" s="248"/>
      <c r="AS7" s="248"/>
      <c r="AT7" s="248"/>
      <c r="AU7" s="248"/>
      <c r="AV7" s="248"/>
      <c r="AW7" s="248"/>
      <c r="AX7" s="248"/>
      <c r="AY7" s="248"/>
      <c r="AZ7" s="248"/>
      <c r="BA7" s="248"/>
      <c r="BB7" s="248"/>
      <c r="BC7" s="248"/>
      <c r="BD7" s="248"/>
      <c r="BE7" s="248"/>
      <c r="BF7" s="248"/>
      <c r="BG7" s="248"/>
      <c r="BH7" s="248"/>
      <c r="BI7" s="248"/>
      <c r="BJ7" s="248"/>
    </row>
    <row r="8" spans="1:62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</row>
    <row r="9" spans="1:62" ht="14.4" customHeight="1" x14ac:dyDescent="0.3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</row>
    <row r="10" spans="1:62" ht="14.4" customHeight="1" x14ac:dyDescent="0.3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</row>
    <row r="11" spans="1:62" ht="25.2" customHeight="1" x14ac:dyDescent="0.3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</row>
    <row r="12" spans="1:62" ht="25.2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</row>
    <row r="13" spans="1:62" ht="75" customHeight="1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</row>
    <row r="14" spans="1:62" ht="60" customHeight="1" x14ac:dyDescent="0.3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</row>
    <row r="15" spans="1:62" ht="60" customHeight="1" x14ac:dyDescent="0.3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</row>
    <row r="16" spans="1:62" ht="60" customHeight="1" x14ac:dyDescent="0.3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25"/>
      <c r="AJ16" s="25"/>
      <c r="AK16" s="25"/>
      <c r="AL16" s="25"/>
      <c r="AM16" s="25"/>
      <c r="AN16" s="25"/>
      <c r="AO16" s="25"/>
      <c r="AP16" s="25"/>
      <c r="AQ16" s="25"/>
      <c r="AR16" s="25"/>
    </row>
    <row r="17" spans="1:44" ht="60" customHeight="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</row>
    <row r="18" spans="1:44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</row>
    <row r="19" spans="1:44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</row>
    <row r="20" spans="1:44" ht="14.4" customHeight="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</row>
    <row r="21" spans="1:44" ht="14.4" customHeight="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</row>
    <row r="22" spans="1:44" ht="25.5" customHeight="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</row>
    <row r="23" spans="1:44" ht="25.5" customHeight="1" x14ac:dyDescent="0.3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</row>
    <row r="24" spans="1:44" ht="37.5" customHeight="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</row>
    <row r="25" spans="1:44" ht="37.5" customHeight="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  <c r="AH25" s="25"/>
      <c r="AI25" s="25"/>
      <c r="AJ25" s="25"/>
      <c r="AK25" s="25"/>
      <c r="AL25" s="25"/>
      <c r="AM25" s="25"/>
      <c r="AN25" s="25"/>
      <c r="AO25" s="25"/>
      <c r="AP25" s="25"/>
      <c r="AQ25" s="25"/>
      <c r="AR25" s="25"/>
    </row>
    <row r="26" spans="1:44" ht="15" customHeight="1" x14ac:dyDescent="0.3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</row>
    <row r="27" spans="1:44" x14ac:dyDescent="0.3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  <c r="AQ27" s="25"/>
      <c r="AR27" s="25"/>
    </row>
    <row r="28" spans="1:44" x14ac:dyDescent="0.3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</row>
    <row r="29" spans="1:44" x14ac:dyDescent="0.3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</row>
    <row r="30" spans="1:44" x14ac:dyDescent="0.3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</row>
    <row r="31" spans="1:44" x14ac:dyDescent="0.3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</row>
    <row r="32" spans="1:44" x14ac:dyDescent="0.3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</row>
    <row r="33" spans="1:44" x14ac:dyDescent="0.3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</row>
    <row r="34" spans="1:44" x14ac:dyDescent="0.3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</row>
    <row r="35" spans="1:44" x14ac:dyDescent="0.3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</row>
    <row r="36" spans="1:44" x14ac:dyDescent="0.3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</row>
    <row r="37" spans="1:44" x14ac:dyDescent="0.3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</row>
    <row r="38" spans="1:44" x14ac:dyDescent="0.3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</row>
    <row r="39" spans="1:44" x14ac:dyDescent="0.3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</row>
    <row r="40" spans="1:44" x14ac:dyDescent="0.3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</row>
    <row r="41" spans="1:44" x14ac:dyDescent="0.3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</row>
    <row r="42" spans="1:44" x14ac:dyDescent="0.3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</row>
    <row r="43" spans="1:44" x14ac:dyDescent="0.3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</row>
    <row r="44" spans="1:44" x14ac:dyDescent="0.3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</row>
    <row r="45" spans="1:44" x14ac:dyDescent="0.3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</row>
    <row r="46" spans="1:44" x14ac:dyDescent="0.3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</row>
    <row r="47" spans="1:44" x14ac:dyDescent="0.3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</row>
    <row r="48" spans="1:44" x14ac:dyDescent="0.3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</row>
    <row r="49" spans="1:44" x14ac:dyDescent="0.3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</row>
    <row r="50" spans="1:44" x14ac:dyDescent="0.3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</row>
    <row r="51" spans="1:44" x14ac:dyDescent="0.3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</row>
    <row r="52" spans="1:44" x14ac:dyDescent="0.3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</row>
    <row r="53" spans="1:44" x14ac:dyDescent="0.3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</row>
    <row r="54" spans="1:44" x14ac:dyDescent="0.3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</row>
    <row r="55" spans="1:44" x14ac:dyDescent="0.3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</row>
    <row r="56" spans="1:44" x14ac:dyDescent="0.3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</row>
    <row r="57" spans="1:44" x14ac:dyDescent="0.3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</row>
    <row r="58" spans="1:44" x14ac:dyDescent="0.3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</row>
    <row r="59" spans="1:44" x14ac:dyDescent="0.3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</row>
    <row r="60" spans="1:44" x14ac:dyDescent="0.3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</row>
    <row r="61" spans="1:44" x14ac:dyDescent="0.3">
      <c r="A61" s="25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</row>
    <row r="62" spans="1:44" x14ac:dyDescent="0.3">
      <c r="A62" s="25"/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</row>
    <row r="63" spans="1:44" x14ac:dyDescent="0.3">
      <c r="A63" s="25"/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</row>
    <row r="64" spans="1:44" x14ac:dyDescent="0.3">
      <c r="A64" s="25"/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</row>
    <row r="65" spans="1:44" x14ac:dyDescent="0.3">
      <c r="A65" s="25"/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</row>
    <row r="66" spans="1:44" x14ac:dyDescent="0.3">
      <c r="A66" s="25"/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</row>
    <row r="67" spans="1:44" x14ac:dyDescent="0.3">
      <c r="A67" s="25"/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</row>
    <row r="68" spans="1:44" x14ac:dyDescent="0.3">
      <c r="A68" s="25"/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</row>
    <row r="69" spans="1:44" x14ac:dyDescent="0.3">
      <c r="A69" s="25"/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</row>
    <row r="70" spans="1:44" x14ac:dyDescent="0.3">
      <c r="A70" s="25"/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5"/>
      <c r="X70" s="25"/>
      <c r="Y70" s="25"/>
      <c r="Z70" s="25"/>
      <c r="AA70" s="25"/>
      <c r="AB70" s="25"/>
      <c r="AC70" s="25"/>
      <c r="AD70" s="25"/>
      <c r="AE70" s="25"/>
      <c r="AF70" s="25"/>
      <c r="AG70" s="25"/>
      <c r="AH70" s="25"/>
      <c r="AI70" s="25"/>
      <c r="AJ70" s="25"/>
      <c r="AK70" s="25"/>
      <c r="AL70" s="25"/>
      <c r="AM70" s="25"/>
      <c r="AN70" s="25"/>
      <c r="AO70" s="25"/>
      <c r="AP70" s="25"/>
      <c r="AQ70" s="25"/>
      <c r="AR70" s="25"/>
    </row>
    <row r="71" spans="1:44" x14ac:dyDescent="0.3">
      <c r="A71" s="25"/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</row>
    <row r="72" spans="1:44" x14ac:dyDescent="0.3">
      <c r="A72" s="25"/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  <c r="T72" s="25"/>
      <c r="U72" s="25"/>
      <c r="V72" s="25"/>
      <c r="W72" s="25"/>
      <c r="X72" s="25"/>
      <c r="Y72" s="25"/>
      <c r="Z72" s="25"/>
      <c r="AA72" s="25"/>
      <c r="AB72" s="25"/>
      <c r="AC72" s="25"/>
      <c r="AD72" s="25"/>
      <c r="AE72" s="25"/>
      <c r="AF72" s="25"/>
      <c r="AG72" s="25"/>
      <c r="AH72" s="25"/>
      <c r="AI72" s="25"/>
      <c r="AJ72" s="25"/>
      <c r="AK72" s="25"/>
      <c r="AL72" s="25"/>
      <c r="AM72" s="25"/>
      <c r="AN72" s="25"/>
      <c r="AO72" s="25"/>
      <c r="AP72" s="25"/>
      <c r="AQ72" s="25"/>
      <c r="AR72" s="25"/>
    </row>
    <row r="73" spans="1:44" x14ac:dyDescent="0.3">
      <c r="A73" s="25"/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  <c r="Z73" s="25"/>
      <c r="AA73" s="25"/>
      <c r="AB73" s="25"/>
      <c r="AC73" s="25"/>
      <c r="AD73" s="25"/>
      <c r="AE73" s="25"/>
      <c r="AF73" s="25"/>
      <c r="AG73" s="25"/>
      <c r="AH73" s="25"/>
      <c r="AI73" s="25"/>
      <c r="AJ73" s="25"/>
      <c r="AK73" s="25"/>
      <c r="AL73" s="25"/>
      <c r="AM73" s="25"/>
      <c r="AN73" s="25"/>
      <c r="AO73" s="25"/>
      <c r="AP73" s="25"/>
      <c r="AQ73" s="25"/>
      <c r="AR73" s="25"/>
    </row>
    <row r="74" spans="1:44" x14ac:dyDescent="0.3">
      <c r="A74" s="25"/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</row>
    <row r="75" spans="1:44" x14ac:dyDescent="0.3">
      <c r="A75" s="25"/>
      <c r="B75" s="25"/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25"/>
      <c r="V75" s="25"/>
      <c r="W75" s="25"/>
      <c r="X75" s="25"/>
      <c r="Y75" s="25"/>
      <c r="Z75" s="25"/>
      <c r="AA75" s="25"/>
      <c r="AB75" s="25"/>
      <c r="AC75" s="25"/>
      <c r="AD75" s="25"/>
      <c r="AE75" s="25"/>
      <c r="AF75" s="25"/>
      <c r="AG75" s="25"/>
      <c r="AH75" s="25"/>
      <c r="AI75" s="25"/>
      <c r="AJ75" s="25"/>
      <c r="AK75" s="25"/>
      <c r="AL75" s="25"/>
      <c r="AM75" s="25"/>
      <c r="AN75" s="25"/>
      <c r="AO75" s="25"/>
      <c r="AP75" s="25"/>
      <c r="AQ75" s="25"/>
      <c r="AR75" s="25"/>
    </row>
    <row r="76" spans="1:44" x14ac:dyDescent="0.3">
      <c r="A76" s="25"/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5"/>
      <c r="X76" s="25"/>
      <c r="Y76" s="25"/>
      <c r="Z76" s="25"/>
      <c r="AA76" s="25"/>
      <c r="AB76" s="25"/>
      <c r="AC76" s="25"/>
      <c r="AD76" s="25"/>
      <c r="AE76" s="25"/>
      <c r="AF76" s="25"/>
      <c r="AG76" s="25"/>
      <c r="AH76" s="25"/>
      <c r="AI76" s="25"/>
      <c r="AJ76" s="25"/>
      <c r="AK76" s="25"/>
      <c r="AL76" s="25"/>
      <c r="AM76" s="25"/>
      <c r="AN76" s="25"/>
      <c r="AO76" s="25"/>
      <c r="AP76" s="25"/>
      <c r="AQ76" s="25"/>
      <c r="AR76" s="25"/>
    </row>
    <row r="77" spans="1:44" x14ac:dyDescent="0.3">
      <c r="A77" s="25"/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</row>
    <row r="78" spans="1:44" x14ac:dyDescent="0.3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  <c r="Z78" s="25"/>
      <c r="AA78" s="25"/>
      <c r="AB78" s="25"/>
      <c r="AC78" s="25"/>
      <c r="AD78" s="25"/>
      <c r="AE78" s="25"/>
      <c r="AF78" s="25"/>
      <c r="AG78" s="25"/>
      <c r="AH78" s="25"/>
      <c r="AI78" s="25"/>
      <c r="AJ78" s="25"/>
      <c r="AK78" s="25"/>
      <c r="AL78" s="25"/>
      <c r="AM78" s="25"/>
      <c r="AN78" s="25"/>
      <c r="AO78" s="25"/>
      <c r="AP78" s="25"/>
      <c r="AQ78" s="25"/>
      <c r="AR78" s="25"/>
    </row>
    <row r="79" spans="1:44" x14ac:dyDescent="0.3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25"/>
      <c r="X79" s="25"/>
      <c r="Y79" s="25"/>
      <c r="Z79" s="25"/>
      <c r="AA79" s="25"/>
      <c r="AB79" s="25"/>
      <c r="AC79" s="25"/>
      <c r="AD79" s="25"/>
      <c r="AE79" s="25"/>
      <c r="AF79" s="25"/>
      <c r="AG79" s="25"/>
      <c r="AH79" s="25"/>
      <c r="AI79" s="25"/>
      <c r="AJ79" s="25"/>
      <c r="AK79" s="25"/>
      <c r="AL79" s="25"/>
      <c r="AM79" s="25"/>
      <c r="AN79" s="25"/>
      <c r="AO79" s="25"/>
      <c r="AP79" s="25"/>
      <c r="AQ79" s="25"/>
      <c r="AR79" s="25"/>
    </row>
    <row r="80" spans="1:44" x14ac:dyDescent="0.3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  <c r="V80" s="25"/>
      <c r="W80" s="25"/>
      <c r="X80" s="25"/>
      <c r="Y80" s="25"/>
      <c r="Z80" s="25"/>
      <c r="AA80" s="25"/>
      <c r="AB80" s="25"/>
      <c r="AC80" s="25"/>
      <c r="AD80" s="25"/>
      <c r="AE80" s="25"/>
      <c r="AF80" s="25"/>
      <c r="AG80" s="25"/>
      <c r="AH80" s="25"/>
      <c r="AI80" s="25"/>
      <c r="AJ80" s="25"/>
      <c r="AK80" s="25"/>
      <c r="AL80" s="25"/>
      <c r="AM80" s="25"/>
      <c r="AN80" s="25"/>
      <c r="AO80" s="25"/>
      <c r="AP80" s="25"/>
      <c r="AQ80" s="25"/>
      <c r="AR80" s="25"/>
    </row>
  </sheetData>
  <mergeCells count="8">
    <mergeCell ref="A7:AE7"/>
    <mergeCell ref="AF7:BJ7"/>
    <mergeCell ref="A4:AE4"/>
    <mergeCell ref="AF4:BJ4"/>
    <mergeCell ref="A5:AE5"/>
    <mergeCell ref="AF5:BJ5"/>
    <mergeCell ref="A6:AE6"/>
    <mergeCell ref="AF6:BJ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AF07E-15E2-4B10-A913-CE6AC747DCFB}">
  <sheetPr codeName="Planilha3">
    <tabColor rgb="FFFF0000"/>
  </sheetPr>
  <dimension ref="A1:BJ40"/>
  <sheetViews>
    <sheetView topLeftCell="A10" zoomScale="40" zoomScaleNormal="40" workbookViewId="0">
      <selection activeCell="V41" sqref="V41"/>
    </sheetView>
  </sheetViews>
  <sheetFormatPr defaultRowHeight="14.4" x14ac:dyDescent="0.3"/>
  <cols>
    <col min="3" max="3" width="8.88671875" customWidth="1"/>
    <col min="5" max="5" width="28.88671875" customWidth="1"/>
    <col min="6" max="6" width="12.33203125" customWidth="1"/>
    <col min="7" max="7" width="15.6640625" bestFit="1" customWidth="1"/>
    <col min="8" max="8" width="16.6640625" bestFit="1" customWidth="1"/>
    <col min="9" max="9" width="10.33203125" customWidth="1"/>
    <col min="10" max="10" width="19.5546875" bestFit="1" customWidth="1"/>
    <col min="11" max="11" width="13.44140625" bestFit="1" customWidth="1"/>
    <col min="12" max="12" width="12.33203125" bestFit="1" customWidth="1"/>
    <col min="13" max="13" width="9.5546875" bestFit="1" customWidth="1"/>
    <col min="14" max="14" width="16.6640625" bestFit="1" customWidth="1"/>
    <col min="17" max="17" width="34" customWidth="1"/>
    <col min="18" max="18" width="15.6640625" customWidth="1"/>
    <col min="19" max="19" width="21.21875" customWidth="1"/>
    <col min="20" max="20" width="19.33203125" bestFit="1" customWidth="1"/>
    <col min="21" max="21" width="14.5546875" bestFit="1" customWidth="1"/>
    <col min="22" max="22" width="26.77734375" bestFit="1" customWidth="1"/>
    <col min="52" max="53" width="8.88671875" style="100"/>
  </cols>
  <sheetData>
    <row r="1" spans="1:62" s="101" customFormat="1" x14ac:dyDescent="0.3"/>
    <row r="2" spans="1:62" s="101" customFormat="1" x14ac:dyDescent="0.3"/>
    <row r="3" spans="1:62" ht="61.5" customHeight="1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  <c r="AZ3" s="101"/>
      <c r="BA3" s="101"/>
      <c r="BB3" s="101"/>
    </row>
    <row r="4" spans="1:62" ht="46.2" customHeight="1" x14ac:dyDescent="0.3">
      <c r="A4" s="248"/>
      <c r="B4" s="248"/>
      <c r="C4" s="248"/>
      <c r="D4" s="248"/>
      <c r="E4" s="248"/>
      <c r="F4" s="248"/>
      <c r="G4" s="248"/>
      <c r="H4" s="248"/>
      <c r="I4" s="248"/>
      <c r="J4" s="248"/>
      <c r="K4" s="248"/>
      <c r="L4" s="248"/>
      <c r="M4" s="248"/>
      <c r="N4" s="248"/>
      <c r="O4" s="248"/>
      <c r="P4" s="248"/>
      <c r="Q4" s="248"/>
      <c r="R4" s="248"/>
      <c r="S4" s="248"/>
      <c r="T4" s="248"/>
      <c r="U4" s="248"/>
      <c r="V4" s="248"/>
      <c r="W4" s="248"/>
      <c r="X4" s="248"/>
      <c r="Y4" s="248"/>
      <c r="Z4" s="248"/>
      <c r="AA4" s="248"/>
      <c r="AB4" s="248"/>
      <c r="AC4" s="248"/>
      <c r="AD4" s="248"/>
      <c r="AE4" s="248"/>
      <c r="AF4" s="248"/>
      <c r="AG4" s="248"/>
      <c r="AH4" s="248"/>
      <c r="AI4" s="248"/>
      <c r="AJ4" s="248"/>
      <c r="AK4" s="248"/>
      <c r="AL4" s="248"/>
      <c r="AM4" s="248"/>
      <c r="AN4" s="248"/>
      <c r="AO4" s="248"/>
      <c r="AP4" s="248"/>
      <c r="AQ4" s="248"/>
      <c r="AR4" s="248"/>
      <c r="AS4" s="248"/>
      <c r="AT4" s="248"/>
      <c r="AU4" s="248"/>
      <c r="AV4" s="248"/>
      <c r="AW4" s="248"/>
      <c r="AX4" s="248"/>
      <c r="AY4" s="248"/>
      <c r="AZ4" s="248"/>
      <c r="BA4" s="248"/>
      <c r="BB4" s="248"/>
      <c r="BC4" s="248"/>
      <c r="BD4" s="248"/>
      <c r="BE4" s="248"/>
      <c r="BF4" s="248"/>
      <c r="BG4" s="248"/>
      <c r="BH4" s="248"/>
      <c r="BI4" s="248"/>
      <c r="BJ4" s="248"/>
    </row>
    <row r="5" spans="1:62" x14ac:dyDescent="0.3">
      <c r="A5" s="248"/>
      <c r="B5" s="248"/>
      <c r="C5" s="248"/>
      <c r="D5" s="248"/>
      <c r="E5" s="248"/>
      <c r="F5" s="248"/>
      <c r="G5" s="248"/>
      <c r="H5" s="248"/>
      <c r="I5" s="248"/>
      <c r="J5" s="248"/>
      <c r="K5" s="248"/>
      <c r="L5" s="248"/>
      <c r="M5" s="248"/>
      <c r="N5" s="248"/>
      <c r="O5" s="248"/>
      <c r="P5" s="248"/>
      <c r="Q5" s="248"/>
      <c r="R5" s="248"/>
      <c r="S5" s="248"/>
      <c r="T5" s="248"/>
      <c r="U5" s="248"/>
      <c r="V5" s="248"/>
      <c r="W5" s="248"/>
      <c r="X5" s="248"/>
      <c r="Y5" s="248"/>
      <c r="Z5" s="248"/>
      <c r="AA5" s="248"/>
      <c r="AB5" s="248"/>
      <c r="AC5" s="248"/>
      <c r="AD5" s="248"/>
      <c r="AE5" s="248"/>
      <c r="AF5" s="248"/>
      <c r="AG5" s="248"/>
      <c r="AH5" s="248"/>
      <c r="AI5" s="248"/>
      <c r="AJ5" s="248"/>
      <c r="AK5" s="248"/>
      <c r="AL5" s="248"/>
      <c r="AM5" s="248"/>
      <c r="AN5" s="248"/>
      <c r="AO5" s="248"/>
      <c r="AP5" s="248"/>
      <c r="AQ5" s="248"/>
      <c r="AR5" s="248"/>
      <c r="AS5" s="248"/>
      <c r="AT5" s="248"/>
      <c r="AU5" s="248"/>
      <c r="AV5" s="248"/>
      <c r="AW5" s="248"/>
      <c r="AX5" s="248"/>
      <c r="AY5" s="248"/>
      <c r="AZ5" s="248"/>
      <c r="BA5" s="248"/>
      <c r="BB5" s="248"/>
      <c r="BC5" s="248"/>
      <c r="BD5" s="248"/>
      <c r="BE5" s="248"/>
      <c r="BF5" s="248"/>
      <c r="BG5" s="248"/>
      <c r="BH5" s="248"/>
      <c r="BI5" s="248"/>
      <c r="BJ5" s="248"/>
    </row>
    <row r="6" spans="1:62" x14ac:dyDescent="0.3">
      <c r="A6" s="248"/>
      <c r="B6" s="248"/>
      <c r="C6" s="248"/>
      <c r="D6" s="248"/>
      <c r="E6" s="248"/>
      <c r="F6" s="248"/>
      <c r="G6" s="248"/>
      <c r="H6" s="248"/>
      <c r="I6" s="248"/>
      <c r="J6" s="248"/>
      <c r="K6" s="248"/>
      <c r="L6" s="248"/>
      <c r="M6" s="248"/>
      <c r="N6" s="248"/>
      <c r="O6" s="248"/>
      <c r="P6" s="248"/>
      <c r="Q6" s="248"/>
      <c r="R6" s="248"/>
      <c r="S6" s="248"/>
      <c r="T6" s="248"/>
      <c r="U6" s="248"/>
      <c r="V6" s="248"/>
      <c r="W6" s="248"/>
      <c r="X6" s="248"/>
      <c r="Y6" s="248"/>
      <c r="Z6" s="248"/>
      <c r="AA6" s="248"/>
      <c r="AB6" s="248"/>
      <c r="AC6" s="248"/>
      <c r="AD6" s="248"/>
      <c r="AE6" s="248"/>
      <c r="AF6" s="248"/>
      <c r="AG6" s="248"/>
      <c r="AH6" s="248"/>
      <c r="AI6" s="248"/>
      <c r="AJ6" s="248"/>
      <c r="AK6" s="248"/>
      <c r="AL6" s="248"/>
      <c r="AM6" s="248"/>
      <c r="AN6" s="248"/>
      <c r="AO6" s="248"/>
      <c r="AP6" s="248"/>
      <c r="AQ6" s="248"/>
      <c r="AR6" s="248"/>
      <c r="AS6" s="248"/>
      <c r="AT6" s="248"/>
      <c r="AU6" s="248"/>
      <c r="AV6" s="248"/>
      <c r="AW6" s="248"/>
      <c r="AX6" s="248"/>
      <c r="AY6" s="248"/>
      <c r="AZ6" s="248"/>
      <c r="BA6" s="248"/>
      <c r="BB6" s="248"/>
      <c r="BC6" s="248"/>
      <c r="BD6" s="248"/>
      <c r="BE6" s="248"/>
      <c r="BF6" s="248"/>
      <c r="BG6" s="248"/>
      <c r="BH6" s="248"/>
      <c r="BI6" s="248"/>
      <c r="BJ6" s="248"/>
    </row>
    <row r="7" spans="1:62" x14ac:dyDescent="0.3">
      <c r="A7" s="248"/>
      <c r="B7" s="248"/>
      <c r="C7" s="248"/>
      <c r="D7" s="248"/>
      <c r="E7" s="248"/>
      <c r="F7" s="248"/>
      <c r="G7" s="248"/>
      <c r="H7" s="248"/>
      <c r="I7" s="248"/>
      <c r="J7" s="248"/>
      <c r="K7" s="248"/>
      <c r="L7" s="248"/>
      <c r="M7" s="248"/>
      <c r="N7" s="248"/>
      <c r="O7" s="248"/>
      <c r="P7" s="248"/>
      <c r="Q7" s="248"/>
      <c r="R7" s="248"/>
      <c r="S7" s="248"/>
      <c r="T7" s="248"/>
      <c r="U7" s="248"/>
      <c r="V7" s="248"/>
      <c r="W7" s="248"/>
      <c r="X7" s="248"/>
      <c r="Y7" s="248"/>
      <c r="Z7" s="248"/>
      <c r="AA7" s="248"/>
      <c r="AB7" s="248"/>
      <c r="AC7" s="248"/>
      <c r="AD7" s="248"/>
      <c r="AE7" s="248"/>
      <c r="AF7" s="248"/>
      <c r="AG7" s="248"/>
      <c r="AH7" s="248"/>
      <c r="AI7" s="248"/>
      <c r="AJ7" s="248"/>
      <c r="AK7" s="248"/>
      <c r="AL7" s="248"/>
      <c r="AM7" s="248"/>
      <c r="AN7" s="248"/>
      <c r="AO7" s="248"/>
      <c r="AP7" s="248"/>
      <c r="AQ7" s="248"/>
      <c r="AR7" s="248"/>
      <c r="AS7" s="248"/>
      <c r="AT7" s="248"/>
      <c r="AU7" s="248"/>
      <c r="AV7" s="248"/>
      <c r="AW7" s="248"/>
      <c r="AX7" s="248"/>
      <c r="AY7" s="248"/>
      <c r="AZ7" s="248"/>
      <c r="BA7" s="248"/>
      <c r="BB7" s="248"/>
      <c r="BC7" s="248"/>
      <c r="BD7" s="248"/>
      <c r="BE7" s="248"/>
      <c r="BF7" s="248"/>
      <c r="BG7" s="248"/>
      <c r="BH7" s="248"/>
      <c r="BI7" s="248"/>
      <c r="BJ7" s="248"/>
    </row>
    <row r="9" spans="1:62" ht="14.4" customHeight="1" x14ac:dyDescent="0.3"/>
    <row r="10" spans="1:62" ht="14.4" customHeight="1" thickBot="1" x14ac:dyDescent="0.35"/>
    <row r="11" spans="1:62" ht="25.2" customHeight="1" x14ac:dyDescent="0.3">
      <c r="Q11" s="259" t="s">
        <v>1</v>
      </c>
      <c r="R11" s="260"/>
      <c r="S11" s="260"/>
      <c r="T11" s="260"/>
      <c r="U11" s="260"/>
      <c r="V11" s="261"/>
    </row>
    <row r="12" spans="1:62" ht="25.2" customHeight="1" x14ac:dyDescent="0.3">
      <c r="Q12" s="262"/>
      <c r="R12" s="263"/>
      <c r="S12" s="263"/>
      <c r="T12" s="263"/>
      <c r="U12" s="263"/>
      <c r="V12" s="264"/>
    </row>
    <row r="13" spans="1:62" ht="75" customHeight="1" x14ac:dyDescent="0.3">
      <c r="Q13" s="103" t="s">
        <v>2</v>
      </c>
      <c r="R13" s="104" t="s">
        <v>3</v>
      </c>
      <c r="S13" s="104" t="s">
        <v>4</v>
      </c>
      <c r="T13" s="104" t="s">
        <v>5</v>
      </c>
      <c r="U13" s="105" t="s">
        <v>6</v>
      </c>
      <c r="V13" s="106" t="s">
        <v>7</v>
      </c>
    </row>
    <row r="14" spans="1:62" ht="60" customHeight="1" x14ac:dyDescent="0.3">
      <c r="Q14" s="116" t="s">
        <v>8</v>
      </c>
      <c r="R14" s="107">
        <v>2</v>
      </c>
      <c r="S14" s="108">
        <v>1</v>
      </c>
      <c r="T14" s="108">
        <v>0</v>
      </c>
      <c r="U14" s="108">
        <v>1</v>
      </c>
      <c r="V14" s="109">
        <v>2</v>
      </c>
    </row>
    <row r="15" spans="1:62" ht="60" customHeight="1" x14ac:dyDescent="0.3">
      <c r="Q15" s="116" t="s">
        <v>9</v>
      </c>
      <c r="R15" s="110">
        <v>2</v>
      </c>
      <c r="S15" s="111">
        <v>1</v>
      </c>
      <c r="T15" s="111">
        <v>0</v>
      </c>
      <c r="U15" s="111">
        <v>2</v>
      </c>
      <c r="V15" s="112">
        <v>1</v>
      </c>
    </row>
    <row r="16" spans="1:62" ht="60" customHeight="1" x14ac:dyDescent="0.3">
      <c r="Q16" s="116" t="s">
        <v>10</v>
      </c>
      <c r="R16" s="110">
        <v>1</v>
      </c>
      <c r="S16" s="111">
        <v>1</v>
      </c>
      <c r="T16" s="111">
        <v>5</v>
      </c>
      <c r="U16" s="111">
        <v>3</v>
      </c>
      <c r="V16" s="112">
        <v>2</v>
      </c>
    </row>
    <row r="17" spans="17:22" ht="60" customHeight="1" thickBot="1" x14ac:dyDescent="0.35">
      <c r="Q17" s="117" t="s">
        <v>11</v>
      </c>
      <c r="R17" s="113">
        <v>4</v>
      </c>
      <c r="S17" s="114">
        <v>1</v>
      </c>
      <c r="T17" s="114">
        <v>0</v>
      </c>
      <c r="U17" s="114">
        <v>4</v>
      </c>
      <c r="V17" s="115">
        <v>1</v>
      </c>
    </row>
    <row r="18" spans="17:22" x14ac:dyDescent="0.3">
      <c r="Q18" s="100"/>
      <c r="R18" s="100"/>
      <c r="S18" s="100"/>
      <c r="T18" s="100"/>
      <c r="U18" s="100"/>
      <c r="V18" s="100"/>
    </row>
    <row r="19" spans="17:22" x14ac:dyDescent="0.3">
      <c r="Q19" s="100"/>
      <c r="R19" s="100"/>
      <c r="S19" s="100"/>
      <c r="T19" s="100"/>
      <c r="U19" s="100"/>
      <c r="V19" s="100"/>
    </row>
    <row r="20" spans="17:22" ht="14.4" customHeight="1" x14ac:dyDescent="0.3">
      <c r="Q20" s="100"/>
      <c r="R20" s="100"/>
      <c r="S20" s="100"/>
      <c r="T20" s="100"/>
      <c r="U20" s="100"/>
      <c r="V20" s="100"/>
    </row>
    <row r="21" spans="17:22" ht="14.4" customHeight="1" thickBot="1" x14ac:dyDescent="0.35">
      <c r="Q21" s="100"/>
      <c r="R21" s="100"/>
      <c r="S21" s="100"/>
      <c r="T21" s="100"/>
      <c r="U21" s="100"/>
      <c r="V21" s="100"/>
    </row>
    <row r="22" spans="17:22" ht="25.5" customHeight="1" x14ac:dyDescent="0.3">
      <c r="Q22" s="100"/>
      <c r="R22" s="265" t="s">
        <v>10</v>
      </c>
      <c r="S22" s="266"/>
      <c r="T22" s="266"/>
      <c r="U22" s="267"/>
      <c r="V22" s="100"/>
    </row>
    <row r="23" spans="17:22" ht="25.5" customHeight="1" x14ac:dyDescent="0.3">
      <c r="Q23" s="100"/>
      <c r="R23" s="268"/>
      <c r="S23" s="269"/>
      <c r="T23" s="269"/>
      <c r="U23" s="270"/>
      <c r="V23" s="100"/>
    </row>
    <row r="24" spans="17:22" ht="37.5" customHeight="1" x14ac:dyDescent="0.3">
      <c r="Q24" s="100"/>
      <c r="R24" s="251" t="s">
        <v>12</v>
      </c>
      <c r="S24" s="252"/>
      <c r="T24" s="255">
        <v>1</v>
      </c>
      <c r="U24" s="257"/>
      <c r="V24" s="100"/>
    </row>
    <row r="25" spans="17:22" ht="37.5" customHeight="1" x14ac:dyDescent="0.3">
      <c r="Q25" s="100"/>
      <c r="R25" s="253"/>
      <c r="S25" s="254"/>
      <c r="T25" s="256"/>
      <c r="U25" s="258"/>
      <c r="V25" s="100"/>
    </row>
    <row r="26" spans="17:22" ht="15" customHeight="1" x14ac:dyDescent="0.3">
      <c r="Q26" s="100"/>
      <c r="R26" s="3"/>
      <c r="S26" s="4"/>
      <c r="T26" s="5" t="s">
        <v>13</v>
      </c>
      <c r="U26" s="6" t="s">
        <v>13</v>
      </c>
      <c r="V26" s="100"/>
    </row>
    <row r="27" spans="17:22" ht="22.8" x14ac:dyDescent="0.3">
      <c r="Q27" s="100"/>
      <c r="R27" s="249" t="s">
        <v>3</v>
      </c>
      <c r="S27" s="250"/>
      <c r="T27" s="118">
        <f>VLOOKUP(R22,Q14:V17,2,FALSE)*T24</f>
        <v>1</v>
      </c>
      <c r="U27" s="7"/>
      <c r="V27" s="100"/>
    </row>
    <row r="28" spans="17:22" ht="28.8" x14ac:dyDescent="0.4">
      <c r="Q28" s="100"/>
      <c r="R28" s="119"/>
      <c r="S28" s="120" t="s">
        <v>13</v>
      </c>
      <c r="T28" s="10" t="s">
        <v>13</v>
      </c>
      <c r="U28" s="6" t="s">
        <v>13</v>
      </c>
      <c r="V28" s="100"/>
    </row>
    <row r="29" spans="17:22" ht="22.8" x14ac:dyDescent="0.3">
      <c r="Q29" s="100"/>
      <c r="R29" s="249" t="s">
        <v>4</v>
      </c>
      <c r="S29" s="250"/>
      <c r="T29" s="118">
        <f>VLOOKUP(R22,Q14:V17,3,FALSE)*T24</f>
        <v>1</v>
      </c>
      <c r="U29" s="7"/>
      <c r="V29" s="100"/>
    </row>
    <row r="30" spans="17:22" ht="28.8" x14ac:dyDescent="0.3">
      <c r="Q30" s="100"/>
      <c r="R30" s="121"/>
      <c r="S30" s="120" t="s">
        <v>13</v>
      </c>
      <c r="T30" s="10" t="s">
        <v>13</v>
      </c>
      <c r="U30" s="6" t="s">
        <v>13</v>
      </c>
      <c r="V30" s="100"/>
    </row>
    <row r="31" spans="17:22" ht="22.8" x14ac:dyDescent="0.3">
      <c r="Q31" s="100"/>
      <c r="R31" s="249" t="s">
        <v>5</v>
      </c>
      <c r="S31" s="250"/>
      <c r="T31" s="118">
        <f>VLOOKUP(R22,Q14:V17,4,FALSE)*T24</f>
        <v>5</v>
      </c>
      <c r="U31" s="7"/>
      <c r="V31" s="100"/>
    </row>
    <row r="32" spans="17:22" ht="28.8" x14ac:dyDescent="0.4">
      <c r="Q32" s="100"/>
      <c r="R32" s="119"/>
      <c r="S32" s="120" t="s">
        <v>13</v>
      </c>
      <c r="T32" s="10" t="s">
        <v>13</v>
      </c>
      <c r="U32" s="6" t="s">
        <v>13</v>
      </c>
      <c r="V32" s="100"/>
    </row>
    <row r="33" spans="17:22" ht="22.8" x14ac:dyDescent="0.3">
      <c r="Q33" s="100"/>
      <c r="R33" s="249" t="s">
        <v>6</v>
      </c>
      <c r="S33" s="250"/>
      <c r="T33" s="118">
        <f>VLOOKUP(R22,Q14:V17,5,FALSE)*T24</f>
        <v>3</v>
      </c>
      <c r="U33" s="7"/>
      <c r="V33" s="100"/>
    </row>
    <row r="34" spans="17:22" ht="28.8" x14ac:dyDescent="0.3">
      <c r="Q34" s="100"/>
      <c r="R34" s="121"/>
      <c r="S34" s="120"/>
      <c r="T34" s="122"/>
      <c r="U34" s="6"/>
      <c r="V34" s="100"/>
    </row>
    <row r="35" spans="17:22" ht="22.8" x14ac:dyDescent="0.3">
      <c r="Q35" s="100"/>
      <c r="R35" s="249" t="s">
        <v>7</v>
      </c>
      <c r="S35" s="250"/>
      <c r="T35" s="118">
        <f>VLOOKUP(R22,Q14:V17,6,FALSE)*T24</f>
        <v>2</v>
      </c>
      <c r="U35" s="7"/>
      <c r="V35" s="100"/>
    </row>
    <row r="36" spans="17:22" ht="28.8" x14ac:dyDescent="0.3">
      <c r="Q36" s="100"/>
      <c r="R36" s="3"/>
      <c r="S36" s="10"/>
      <c r="T36" s="9"/>
      <c r="U36" s="11"/>
      <c r="V36" s="100"/>
    </row>
    <row r="37" spans="17:22" ht="28.8" x14ac:dyDescent="0.3">
      <c r="Q37" s="100"/>
      <c r="R37" s="3"/>
      <c r="S37" s="10"/>
      <c r="T37" s="9"/>
      <c r="U37" s="11"/>
      <c r="V37" s="100"/>
    </row>
    <row r="38" spans="17:22" ht="28.8" x14ac:dyDescent="0.55000000000000004">
      <c r="Q38" s="100"/>
      <c r="R38" s="3"/>
      <c r="S38" s="12"/>
      <c r="T38" s="12"/>
      <c r="U38" s="13"/>
      <c r="V38" s="100"/>
    </row>
    <row r="39" spans="17:22" ht="29.4" thickBot="1" x14ac:dyDescent="0.6">
      <c r="Q39" s="100"/>
      <c r="R39" s="14"/>
      <c r="S39" s="15"/>
      <c r="T39" s="15"/>
      <c r="U39" s="16"/>
      <c r="V39" s="100"/>
    </row>
    <row r="40" spans="17:22" x14ac:dyDescent="0.3">
      <c r="Q40" s="100"/>
      <c r="R40" s="100"/>
      <c r="S40" s="100"/>
      <c r="T40" s="100"/>
      <c r="U40" s="100"/>
      <c r="V40" s="100"/>
    </row>
  </sheetData>
  <mergeCells count="18">
    <mergeCell ref="AF4:BJ4"/>
    <mergeCell ref="A5:AE5"/>
    <mergeCell ref="A6:AE6"/>
    <mergeCell ref="A7:AE7"/>
    <mergeCell ref="AF5:BJ5"/>
    <mergeCell ref="AF6:BJ6"/>
    <mergeCell ref="AF7:BJ7"/>
    <mergeCell ref="A4:AE4"/>
    <mergeCell ref="U24:U25"/>
    <mergeCell ref="R27:S27"/>
    <mergeCell ref="R29:S29"/>
    <mergeCell ref="Q11:V12"/>
    <mergeCell ref="R22:U23"/>
    <mergeCell ref="R31:S31"/>
    <mergeCell ref="R33:S33"/>
    <mergeCell ref="R35:S35"/>
    <mergeCell ref="R24:S25"/>
    <mergeCell ref="T24:T25"/>
  </mergeCells>
  <dataValidations count="2">
    <dataValidation allowBlank="1" showInputMessage="1" showErrorMessage="1" sqref="Q13" xr:uid="{2ED808E8-CF0C-4865-A80A-C3738C960E89}"/>
    <dataValidation type="list" allowBlank="1" showInputMessage="1" showErrorMessage="1" sqref="R22:U23" xr:uid="{4AB7ECC7-8864-4172-B1B3-0C16A9D2D44C}">
      <formula1>$Q$14:$Q$17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E1624-831E-48A8-A18E-234FDC7330F7}">
  <sheetPr codeName="Planilha4">
    <tabColor rgb="FFFF0000"/>
  </sheetPr>
  <dimension ref="A1:BA63"/>
  <sheetViews>
    <sheetView showGridLines="0" showRowColHeaders="0" zoomScale="40" zoomScaleNormal="40" workbookViewId="0">
      <selection activeCell="J23" sqref="J23"/>
    </sheetView>
  </sheetViews>
  <sheetFormatPr defaultRowHeight="14.4" x14ac:dyDescent="0.3"/>
  <cols>
    <col min="8" max="8" width="8.88671875" customWidth="1"/>
    <col min="10" max="10" width="35.6640625" customWidth="1"/>
    <col min="14" max="14" width="23.44140625" bestFit="1" customWidth="1"/>
    <col min="16" max="16" width="11.44140625" customWidth="1"/>
    <col min="18" max="18" width="47.44140625" customWidth="1"/>
    <col min="23" max="23" width="17.33203125" customWidth="1"/>
    <col min="24" max="24" width="6.21875" customWidth="1"/>
    <col min="25" max="25" width="28.21875" customWidth="1"/>
    <col min="27" max="27" width="6.33203125" customWidth="1"/>
    <col min="28" max="28" width="10.5546875" customWidth="1"/>
    <col min="29" max="29" width="39.44140625" customWidth="1"/>
    <col min="30" max="30" width="8.88671875" customWidth="1"/>
    <col min="31" max="31" width="39.44140625" customWidth="1"/>
    <col min="32" max="32" width="8.88671875" customWidth="1"/>
    <col min="33" max="33" width="35.6640625" customWidth="1"/>
  </cols>
  <sheetData>
    <row r="1" spans="1:53" s="100" customFormat="1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  <c r="AZ1" s="101"/>
      <c r="BA1" s="101"/>
    </row>
    <row r="2" spans="1:53" s="100" customFormat="1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  <c r="AZ2" s="101"/>
      <c r="BA2" s="101"/>
    </row>
    <row r="3" spans="1:53" ht="61.5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  <c r="AZ3" s="101"/>
      <c r="BA3" s="101"/>
    </row>
    <row r="4" spans="1:53" ht="46.2" customHeight="1" x14ac:dyDescent="0.3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</row>
    <row r="5" spans="1:53" x14ac:dyDescent="0.3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</row>
    <row r="6" spans="1:53" s="100" customFormat="1" x14ac:dyDescent="0.3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</row>
    <row r="7" spans="1:53" x14ac:dyDescent="0.3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</row>
    <row r="8" spans="1:53" ht="28.8" customHeigh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53" ht="28.8" customHeigh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53" ht="28.8" customHeight="1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53" ht="28.8" customHeight="1" thickBot="1" x14ac:dyDescent="0.3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76"/>
      <c r="P11" s="76"/>
      <c r="Q11" s="76"/>
      <c r="R11" s="76"/>
      <c r="S11" s="136"/>
      <c r="T11" s="140"/>
      <c r="U11" s="140"/>
      <c r="V11" s="140"/>
      <c r="W11" s="140"/>
      <c r="X11" s="140"/>
      <c r="Y11" s="140"/>
      <c r="Z11" s="140"/>
      <c r="AA11" s="140"/>
      <c r="AB11" s="76"/>
      <c r="AC11" s="76"/>
      <c r="AD11" s="76"/>
      <c r="AE11" s="76"/>
      <c r="AF11" s="76"/>
    </row>
    <row r="12" spans="1:53" ht="28.8" customHeight="1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24"/>
      <c r="R12" s="280" t="s">
        <v>14</v>
      </c>
      <c r="S12" s="281"/>
      <c r="T12" s="281"/>
      <c r="U12" s="281"/>
      <c r="V12" s="281"/>
      <c r="W12" s="281"/>
      <c r="X12" s="281"/>
      <c r="Y12" s="281"/>
      <c r="Z12" s="281"/>
      <c r="AA12" s="282"/>
      <c r="AB12" s="1"/>
      <c r="AC12" s="1"/>
      <c r="AD12" s="1"/>
      <c r="AE12" s="76"/>
      <c r="AF12" s="76"/>
    </row>
    <row r="13" spans="1:53" ht="28.8" customHeight="1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00"/>
      <c r="N13" s="100"/>
      <c r="O13" s="1"/>
      <c r="P13" s="1"/>
      <c r="Q13" s="124"/>
      <c r="R13" s="283"/>
      <c r="S13" s="284"/>
      <c r="T13" s="284"/>
      <c r="U13" s="284"/>
      <c r="V13" s="284"/>
      <c r="W13" s="284"/>
      <c r="X13" s="284"/>
      <c r="Y13" s="284"/>
      <c r="Z13" s="284"/>
      <c r="AA13" s="285"/>
      <c r="AB13" s="100"/>
      <c r="AC13" s="1"/>
      <c r="AD13" s="100"/>
      <c r="AE13" s="76"/>
      <c r="AF13" s="76"/>
    </row>
    <row r="14" spans="1:53" ht="28.8" customHeight="1" x14ac:dyDescent="0.3">
      <c r="A14" s="1"/>
      <c r="B14" s="1"/>
      <c r="C14" s="1"/>
      <c r="D14" s="1"/>
      <c r="M14" s="100"/>
      <c r="N14" s="100"/>
      <c r="O14" s="125"/>
      <c r="P14" s="125"/>
      <c r="Q14" s="124"/>
      <c r="R14" s="286" t="s">
        <v>15</v>
      </c>
      <c r="S14" s="287"/>
      <c r="T14" s="287"/>
      <c r="U14" s="287"/>
      <c r="V14" s="287"/>
      <c r="W14" s="287"/>
      <c r="X14" s="287"/>
      <c r="Y14" s="287"/>
      <c r="Z14" s="287"/>
      <c r="AA14" s="288"/>
      <c r="AB14" s="100"/>
      <c r="AC14" s="1"/>
      <c r="AD14" s="100"/>
      <c r="AE14" s="76"/>
      <c r="AF14" s="76"/>
    </row>
    <row r="15" spans="1:53" ht="28.8" customHeight="1" thickBot="1" x14ac:dyDescent="0.35">
      <c r="A15" s="1"/>
      <c r="B15" s="1"/>
      <c r="C15" s="1"/>
      <c r="D15" s="1"/>
      <c r="M15" s="100"/>
      <c r="N15" s="100"/>
      <c r="O15" s="125"/>
      <c r="P15" s="125"/>
      <c r="Q15" s="124"/>
      <c r="R15" s="289"/>
      <c r="S15" s="290"/>
      <c r="T15" s="290"/>
      <c r="U15" s="290"/>
      <c r="V15" s="290"/>
      <c r="W15" s="290"/>
      <c r="X15" s="290"/>
      <c r="Y15" s="290"/>
      <c r="Z15" s="290"/>
      <c r="AA15" s="291"/>
      <c r="AB15" s="100"/>
      <c r="AC15" s="1"/>
      <c r="AD15" s="100"/>
      <c r="AE15" s="76"/>
      <c r="AF15" s="76"/>
    </row>
    <row r="16" spans="1:53" ht="28.8" customHeight="1" x14ac:dyDescent="0.3">
      <c r="A16" s="1"/>
      <c r="B16" s="1"/>
      <c r="C16" s="1"/>
      <c r="D16" s="1"/>
      <c r="M16" s="100"/>
      <c r="N16" s="100"/>
      <c r="O16" s="125"/>
      <c r="P16" s="125"/>
      <c r="Q16" s="125"/>
      <c r="R16" s="125"/>
      <c r="S16" s="125"/>
      <c r="T16" s="125"/>
      <c r="U16" s="125"/>
      <c r="V16" s="125"/>
      <c r="W16" s="125"/>
      <c r="X16" s="1"/>
      <c r="Y16" s="1"/>
      <c r="Z16" s="1"/>
      <c r="AA16" s="1"/>
      <c r="AB16" s="1"/>
      <c r="AC16" s="1"/>
      <c r="AD16" s="100"/>
      <c r="AE16" s="76"/>
      <c r="AF16" s="76"/>
    </row>
    <row r="17" spans="1:32" ht="28.8" customHeight="1" thickBot="1" x14ac:dyDescent="0.35">
      <c r="A17" s="1"/>
      <c r="B17" s="1"/>
      <c r="C17" s="1"/>
      <c r="D17" s="1"/>
      <c r="M17" s="100"/>
      <c r="N17" s="100"/>
      <c r="O17" s="124"/>
      <c r="P17" s="124"/>
      <c r="Q17" s="124"/>
      <c r="R17" s="124"/>
      <c r="S17" s="124"/>
      <c r="T17" s="124"/>
      <c r="U17" s="125"/>
      <c r="V17" s="125"/>
      <c r="W17" s="125"/>
      <c r="X17" s="125"/>
      <c r="Y17" s="125"/>
      <c r="Z17" s="125"/>
      <c r="AA17" s="125"/>
      <c r="AB17" s="1"/>
      <c r="AC17" s="1"/>
      <c r="AD17" s="100"/>
      <c r="AE17" s="141"/>
      <c r="AF17" s="141"/>
    </row>
    <row r="18" spans="1:32" ht="28.8" customHeight="1" x14ac:dyDescent="0.3">
      <c r="A18" s="1"/>
      <c r="B18" s="1"/>
      <c r="C18" s="1"/>
      <c r="D18" s="1"/>
      <c r="M18" s="271" t="s">
        <v>16</v>
      </c>
      <c r="N18" s="272"/>
      <c r="O18" s="272"/>
      <c r="P18" s="272"/>
      <c r="Q18" s="272"/>
      <c r="R18" s="272"/>
      <c r="S18" s="273"/>
      <c r="T18" s="124"/>
      <c r="U18" s="124"/>
      <c r="V18" s="125"/>
      <c r="W18" s="124"/>
      <c r="X18" s="271" t="s">
        <v>16</v>
      </c>
      <c r="Y18" s="272"/>
      <c r="Z18" s="272"/>
      <c r="AA18" s="272"/>
      <c r="AB18" s="272"/>
      <c r="AC18" s="272"/>
      <c r="AD18" s="273"/>
      <c r="AE18" s="141"/>
      <c r="AF18" s="141"/>
    </row>
    <row r="19" spans="1:32" ht="28.8" customHeight="1" x14ac:dyDescent="0.3">
      <c r="A19" s="1"/>
      <c r="B19" s="1"/>
      <c r="C19" s="1"/>
      <c r="D19" s="1"/>
      <c r="M19" s="274"/>
      <c r="N19" s="275"/>
      <c r="O19" s="275"/>
      <c r="P19" s="275"/>
      <c r="Q19" s="275"/>
      <c r="R19" s="275"/>
      <c r="S19" s="276"/>
      <c r="T19" s="124"/>
      <c r="U19" s="124"/>
      <c r="V19" s="125"/>
      <c r="W19" s="124"/>
      <c r="X19" s="274"/>
      <c r="Y19" s="275"/>
      <c r="Z19" s="275"/>
      <c r="AA19" s="275"/>
      <c r="AB19" s="275"/>
      <c r="AC19" s="275"/>
      <c r="AD19" s="276"/>
      <c r="AE19" s="141"/>
      <c r="AF19" s="141"/>
    </row>
    <row r="20" spans="1:32" ht="28.8" customHeight="1" thickBot="1" x14ac:dyDescent="0.6">
      <c r="A20" s="1"/>
      <c r="B20" s="1"/>
      <c r="C20" s="1"/>
      <c r="D20" s="1"/>
      <c r="M20" s="277"/>
      <c r="N20" s="278"/>
      <c r="O20" s="278"/>
      <c r="P20" s="278"/>
      <c r="Q20" s="278"/>
      <c r="R20" s="278"/>
      <c r="S20" s="279"/>
      <c r="T20" s="124"/>
      <c r="U20" s="124"/>
      <c r="V20" s="125"/>
      <c r="W20" s="124"/>
      <c r="X20" s="277"/>
      <c r="Y20" s="278"/>
      <c r="Z20" s="278"/>
      <c r="AA20" s="278"/>
      <c r="AB20" s="278"/>
      <c r="AC20" s="278"/>
      <c r="AD20" s="279"/>
      <c r="AE20" s="42"/>
      <c r="AF20" s="42"/>
    </row>
    <row r="21" spans="1:32" ht="28.8" customHeight="1" x14ac:dyDescent="0.55000000000000004">
      <c r="A21" s="1"/>
      <c r="B21" s="1"/>
      <c r="C21" s="1"/>
      <c r="D21" s="1"/>
      <c r="M21" s="17" t="s">
        <v>13</v>
      </c>
      <c r="N21" s="19" t="s">
        <v>13</v>
      </c>
      <c r="O21" s="19" t="s">
        <v>13</v>
      </c>
      <c r="P21" s="19" t="s">
        <v>13</v>
      </c>
      <c r="Q21" s="19" t="s">
        <v>13</v>
      </c>
      <c r="R21" s="12" t="s">
        <v>13</v>
      </c>
      <c r="S21" s="128" t="s">
        <v>13</v>
      </c>
      <c r="T21" s="124"/>
      <c r="U21" s="124"/>
      <c r="V21" s="125"/>
      <c r="W21" s="124"/>
      <c r="X21" s="40" t="s">
        <v>13</v>
      </c>
      <c r="Y21" s="127" t="s">
        <v>13</v>
      </c>
      <c r="Z21" s="127" t="s">
        <v>13</v>
      </c>
      <c r="AA21" s="127" t="s">
        <v>13</v>
      </c>
      <c r="AB21" s="127" t="s">
        <v>13</v>
      </c>
      <c r="AC21" s="12" t="s">
        <v>13</v>
      </c>
      <c r="AD21" s="13" t="s">
        <v>13</v>
      </c>
      <c r="AE21" s="77"/>
      <c r="AF21" s="42"/>
    </row>
    <row r="22" spans="1:32" ht="28.8" customHeight="1" x14ac:dyDescent="0.55000000000000004">
      <c r="A22" s="1"/>
      <c r="B22" s="1"/>
      <c r="C22" s="1"/>
      <c r="D22" s="1"/>
      <c r="M22" s="17" t="s">
        <v>13</v>
      </c>
      <c r="N22" s="126" t="s">
        <v>17</v>
      </c>
      <c r="O22" s="18"/>
      <c r="P22" s="19" t="s">
        <v>13</v>
      </c>
      <c r="Q22" s="19" t="s">
        <v>13</v>
      </c>
      <c r="R22" s="123" t="s">
        <v>18</v>
      </c>
      <c r="S22" s="128" t="s">
        <v>13</v>
      </c>
      <c r="T22" s="124"/>
      <c r="U22" s="124"/>
      <c r="V22" s="125"/>
      <c r="W22" s="124"/>
      <c r="X22" s="40" t="s">
        <v>13</v>
      </c>
      <c r="Y22" s="129" t="s">
        <v>17</v>
      </c>
      <c r="Z22" s="130"/>
      <c r="AA22" s="127" t="s">
        <v>13</v>
      </c>
      <c r="AB22" s="127" t="s">
        <v>13</v>
      </c>
      <c r="AC22" s="123" t="s">
        <v>19</v>
      </c>
      <c r="AD22" s="13" t="s">
        <v>13</v>
      </c>
      <c r="AE22" s="42"/>
      <c r="AF22" s="42"/>
    </row>
    <row r="23" spans="1:32" ht="28.8" customHeight="1" x14ac:dyDescent="0.55000000000000004">
      <c r="A23" s="1"/>
      <c r="B23" s="1"/>
      <c r="C23" s="1"/>
      <c r="D23" s="1"/>
      <c r="M23" s="17" t="s">
        <v>13</v>
      </c>
      <c r="N23" s="19" t="s">
        <v>13</v>
      </c>
      <c r="O23" s="19" t="s">
        <v>13</v>
      </c>
      <c r="P23" s="19" t="s">
        <v>13</v>
      </c>
      <c r="Q23" s="19" t="s">
        <v>13</v>
      </c>
      <c r="R23" s="12" t="s">
        <v>13</v>
      </c>
      <c r="S23" s="13" t="s">
        <v>13</v>
      </c>
      <c r="T23" s="100"/>
      <c r="U23" s="100"/>
      <c r="V23" s="1"/>
      <c r="W23" s="100"/>
      <c r="X23" s="17" t="s">
        <v>13</v>
      </c>
      <c r="Y23" s="19" t="s">
        <v>13</v>
      </c>
      <c r="Z23" s="19" t="s">
        <v>13</v>
      </c>
      <c r="AA23" s="19" t="s">
        <v>13</v>
      </c>
      <c r="AB23" s="19" t="s">
        <v>13</v>
      </c>
      <c r="AC23" s="12" t="s">
        <v>13</v>
      </c>
      <c r="AD23" s="13" t="s">
        <v>13</v>
      </c>
      <c r="AE23" s="77"/>
      <c r="AF23" s="42"/>
    </row>
    <row r="24" spans="1:32" ht="28.8" customHeight="1" x14ac:dyDescent="0.55000000000000004">
      <c r="A24" s="1"/>
      <c r="B24" s="1"/>
      <c r="C24" s="1"/>
      <c r="D24" s="1"/>
      <c r="M24" s="17" t="s">
        <v>13</v>
      </c>
      <c r="N24" s="126" t="s">
        <v>20</v>
      </c>
      <c r="O24" s="18"/>
      <c r="P24" s="19" t="s">
        <v>13</v>
      </c>
      <c r="Q24" s="19" t="s">
        <v>13</v>
      </c>
      <c r="R24" s="123" t="s">
        <v>21</v>
      </c>
      <c r="S24" s="128" t="s">
        <v>13</v>
      </c>
      <c r="T24" s="124"/>
      <c r="U24" s="124"/>
      <c r="V24" s="125"/>
      <c r="W24" s="124"/>
      <c r="X24" s="40" t="s">
        <v>13</v>
      </c>
      <c r="Y24" s="129" t="s">
        <v>20</v>
      </c>
      <c r="Z24" s="18"/>
      <c r="AA24" s="19" t="s">
        <v>13</v>
      </c>
      <c r="AB24" s="19" t="s">
        <v>13</v>
      </c>
      <c r="AC24" s="123" t="s">
        <v>22</v>
      </c>
      <c r="AD24" s="13" t="s">
        <v>13</v>
      </c>
      <c r="AE24" s="42"/>
      <c r="AF24" s="42"/>
    </row>
    <row r="25" spans="1:32" ht="28.8" customHeight="1" x14ac:dyDescent="0.55000000000000004">
      <c r="A25" s="1"/>
      <c r="B25" s="1"/>
      <c r="C25" s="1"/>
      <c r="D25" s="1"/>
      <c r="M25" s="17" t="s">
        <v>13</v>
      </c>
      <c r="N25" s="19" t="s">
        <v>13</v>
      </c>
      <c r="O25" s="19" t="s">
        <v>13</v>
      </c>
      <c r="P25" s="19" t="s">
        <v>13</v>
      </c>
      <c r="Q25" s="19" t="s">
        <v>13</v>
      </c>
      <c r="R25" s="131" t="s">
        <v>13</v>
      </c>
      <c r="S25" s="128" t="s">
        <v>13</v>
      </c>
      <c r="T25" s="124"/>
      <c r="U25" s="124"/>
      <c r="V25" s="125"/>
      <c r="W25" s="124"/>
      <c r="X25" s="40" t="s">
        <v>13</v>
      </c>
      <c r="Y25" s="127" t="s">
        <v>13</v>
      </c>
      <c r="Z25" s="19" t="s">
        <v>13</v>
      </c>
      <c r="AA25" s="19" t="s">
        <v>13</v>
      </c>
      <c r="AB25" s="19" t="s">
        <v>13</v>
      </c>
      <c r="AC25" s="12" t="s">
        <v>13</v>
      </c>
      <c r="AD25" s="13" t="s">
        <v>13</v>
      </c>
      <c r="AE25" s="42"/>
      <c r="AF25" s="42"/>
    </row>
    <row r="26" spans="1:32" ht="28.8" customHeight="1" thickBot="1" x14ac:dyDescent="0.6">
      <c r="A26" s="1"/>
      <c r="B26" s="1"/>
      <c r="C26" s="1"/>
      <c r="D26" s="1"/>
      <c r="M26" s="20" t="s">
        <v>13</v>
      </c>
      <c r="N26" s="21" t="s">
        <v>13</v>
      </c>
      <c r="O26" s="21" t="s">
        <v>13</v>
      </c>
      <c r="P26" s="21" t="s">
        <v>13</v>
      </c>
      <c r="Q26" s="21" t="s">
        <v>13</v>
      </c>
      <c r="R26" s="132" t="s">
        <v>13</v>
      </c>
      <c r="S26" s="133" t="s">
        <v>13</v>
      </c>
      <c r="T26" s="124"/>
      <c r="U26" s="124"/>
      <c r="V26" s="125"/>
      <c r="W26" s="124"/>
      <c r="X26" s="134" t="s">
        <v>13</v>
      </c>
      <c r="Y26" s="135" t="s">
        <v>13</v>
      </c>
      <c r="Z26" s="21" t="s">
        <v>13</v>
      </c>
      <c r="AA26" s="21" t="s">
        <v>13</v>
      </c>
      <c r="AB26" s="21" t="s">
        <v>13</v>
      </c>
      <c r="AC26" s="15" t="s">
        <v>13</v>
      </c>
      <c r="AD26" s="16" t="s">
        <v>13</v>
      </c>
      <c r="AE26" s="76"/>
      <c r="AF26" s="76"/>
    </row>
    <row r="27" spans="1:32" ht="28.8" customHeight="1" x14ac:dyDescent="0.3">
      <c r="A27" s="1"/>
      <c r="B27" s="1"/>
      <c r="C27" s="1"/>
      <c r="D27" s="1"/>
      <c r="M27" s="100"/>
      <c r="N27" s="100"/>
      <c r="O27" s="100"/>
      <c r="P27" s="100"/>
      <c r="Q27" s="100"/>
      <c r="R27" s="124"/>
      <c r="S27" s="124"/>
      <c r="T27" s="124"/>
      <c r="U27" s="125"/>
      <c r="V27" s="125"/>
      <c r="W27" s="125"/>
      <c r="X27" s="125"/>
      <c r="Y27" s="125"/>
      <c r="Z27" s="1"/>
      <c r="AA27" s="1"/>
      <c r="AB27" s="1"/>
      <c r="AC27" s="1"/>
      <c r="AD27" s="100"/>
      <c r="AE27" s="76"/>
      <c r="AF27" s="76"/>
    </row>
    <row r="28" spans="1:32" ht="28.8" customHeight="1" thickBot="1" x14ac:dyDescent="0.35">
      <c r="A28" s="1"/>
      <c r="B28" s="1"/>
      <c r="C28" s="1"/>
      <c r="D28" s="1"/>
      <c r="M28" s="100"/>
      <c r="N28" s="100"/>
      <c r="O28" s="1"/>
      <c r="P28" s="1"/>
      <c r="Q28" s="1"/>
      <c r="R28" s="1"/>
      <c r="S28" s="1"/>
      <c r="T28" s="1"/>
      <c r="U28" s="125"/>
      <c r="V28" s="125"/>
      <c r="W28" s="125"/>
      <c r="X28" s="125"/>
      <c r="Y28" s="125"/>
      <c r="Z28" s="125"/>
      <c r="AA28" s="125"/>
      <c r="AB28" s="1"/>
      <c r="AC28" s="1"/>
      <c r="AD28" s="100"/>
      <c r="AE28" s="141"/>
      <c r="AF28" s="141"/>
    </row>
    <row r="29" spans="1:32" ht="28.8" customHeight="1" x14ac:dyDescent="0.3">
      <c r="A29" s="1"/>
      <c r="B29" s="1"/>
      <c r="C29" s="1"/>
      <c r="D29" s="1"/>
      <c r="M29" s="271" t="s">
        <v>16</v>
      </c>
      <c r="N29" s="272"/>
      <c r="O29" s="272"/>
      <c r="P29" s="272"/>
      <c r="Q29" s="272"/>
      <c r="R29" s="272"/>
      <c r="S29" s="273"/>
      <c r="T29" s="100"/>
      <c r="U29" s="124"/>
      <c r="V29" s="125"/>
      <c r="W29" s="124"/>
      <c r="X29" s="271" t="s">
        <v>16</v>
      </c>
      <c r="Y29" s="272"/>
      <c r="Z29" s="272"/>
      <c r="AA29" s="272"/>
      <c r="AB29" s="272"/>
      <c r="AC29" s="272"/>
      <c r="AD29" s="273"/>
      <c r="AE29" s="141"/>
      <c r="AF29" s="141"/>
    </row>
    <row r="30" spans="1:32" ht="28.8" customHeight="1" x14ac:dyDescent="0.3">
      <c r="A30" s="1"/>
      <c r="B30" s="1"/>
      <c r="C30" s="1"/>
      <c r="D30" s="1"/>
      <c r="M30" s="274"/>
      <c r="N30" s="275"/>
      <c r="O30" s="275"/>
      <c r="P30" s="275"/>
      <c r="Q30" s="275"/>
      <c r="R30" s="275"/>
      <c r="S30" s="276"/>
      <c r="T30" s="124"/>
      <c r="U30" s="124"/>
      <c r="V30" s="125"/>
      <c r="W30" s="124"/>
      <c r="X30" s="274"/>
      <c r="Y30" s="275"/>
      <c r="Z30" s="275"/>
      <c r="AA30" s="275"/>
      <c r="AB30" s="275"/>
      <c r="AC30" s="275"/>
      <c r="AD30" s="276"/>
      <c r="AE30" s="141"/>
      <c r="AF30" s="141"/>
    </row>
    <row r="31" spans="1:32" ht="28.8" customHeight="1" thickBot="1" x14ac:dyDescent="0.6">
      <c r="A31" s="1"/>
      <c r="B31" s="1"/>
      <c r="C31" s="1"/>
      <c r="D31" s="1"/>
      <c r="M31" s="277"/>
      <c r="N31" s="278"/>
      <c r="O31" s="278"/>
      <c r="P31" s="278"/>
      <c r="Q31" s="278"/>
      <c r="R31" s="278"/>
      <c r="S31" s="279"/>
      <c r="T31" s="124"/>
      <c r="U31" s="124"/>
      <c r="V31" s="125"/>
      <c r="W31" s="124"/>
      <c r="X31" s="277"/>
      <c r="Y31" s="278"/>
      <c r="Z31" s="278"/>
      <c r="AA31" s="278"/>
      <c r="AB31" s="278"/>
      <c r="AC31" s="278"/>
      <c r="AD31" s="279"/>
      <c r="AE31" s="42"/>
      <c r="AF31" s="42"/>
    </row>
    <row r="32" spans="1:32" ht="28.8" customHeight="1" x14ac:dyDescent="0.55000000000000004">
      <c r="A32" s="1"/>
      <c r="B32" s="1"/>
      <c r="C32" s="1"/>
      <c r="D32" s="1"/>
      <c r="M32" s="17" t="s">
        <v>13</v>
      </c>
      <c r="N32" s="43" t="s">
        <v>13</v>
      </c>
      <c r="O32" s="43" t="s">
        <v>13</v>
      </c>
      <c r="P32" s="43" t="s">
        <v>13</v>
      </c>
      <c r="Q32" s="43" t="s">
        <v>13</v>
      </c>
      <c r="R32" s="45" t="s">
        <v>13</v>
      </c>
      <c r="S32" s="128" t="s">
        <v>13</v>
      </c>
      <c r="T32" s="124"/>
      <c r="U32" s="124"/>
      <c r="V32" s="125"/>
      <c r="W32" s="124"/>
      <c r="X32" s="40" t="s">
        <v>13</v>
      </c>
      <c r="Y32" s="39" t="s">
        <v>13</v>
      </c>
      <c r="Z32" s="39" t="s">
        <v>13</v>
      </c>
      <c r="AA32" s="39" t="s">
        <v>13</v>
      </c>
      <c r="AB32" s="39" t="s">
        <v>13</v>
      </c>
      <c r="AC32" s="45" t="s">
        <v>13</v>
      </c>
      <c r="AD32" s="13" t="s">
        <v>13</v>
      </c>
      <c r="AE32" s="77"/>
      <c r="AF32" s="42"/>
    </row>
    <row r="33" spans="1:32" ht="28.8" customHeight="1" x14ac:dyDescent="0.55000000000000004">
      <c r="A33" s="1"/>
      <c r="B33" s="1"/>
      <c r="C33" s="1"/>
      <c r="D33" s="1"/>
      <c r="M33" s="17" t="s">
        <v>13</v>
      </c>
      <c r="N33" s="138" t="s">
        <v>17</v>
      </c>
      <c r="O33" s="44"/>
      <c r="P33" s="43" t="s">
        <v>13</v>
      </c>
      <c r="Q33" s="43" t="s">
        <v>13</v>
      </c>
      <c r="R33" s="123" t="s">
        <v>23</v>
      </c>
      <c r="S33" s="128" t="s">
        <v>13</v>
      </c>
      <c r="T33" s="124"/>
      <c r="U33" s="124"/>
      <c r="V33" s="125"/>
      <c r="W33" s="124"/>
      <c r="X33" s="40" t="s">
        <v>13</v>
      </c>
      <c r="Y33" s="139" t="s">
        <v>17</v>
      </c>
      <c r="Z33" s="78"/>
      <c r="AA33" s="39" t="s">
        <v>13</v>
      </c>
      <c r="AB33" s="39" t="s">
        <v>13</v>
      </c>
      <c r="AC33" s="123" t="s">
        <v>24</v>
      </c>
      <c r="AD33" s="13" t="s">
        <v>13</v>
      </c>
      <c r="AE33" s="42"/>
      <c r="AF33" s="42"/>
    </row>
    <row r="34" spans="1:32" ht="28.8" customHeight="1" x14ac:dyDescent="0.55000000000000004">
      <c r="A34" s="1"/>
      <c r="B34" s="1"/>
      <c r="C34" s="1"/>
      <c r="D34" s="1"/>
      <c r="M34" s="17" t="s">
        <v>13</v>
      </c>
      <c r="N34" s="43" t="s">
        <v>13</v>
      </c>
      <c r="O34" s="43" t="s">
        <v>13</v>
      </c>
      <c r="P34" s="43" t="s">
        <v>13</v>
      </c>
      <c r="Q34" s="43" t="s">
        <v>13</v>
      </c>
      <c r="R34" s="45" t="s">
        <v>13</v>
      </c>
      <c r="S34" s="13" t="s">
        <v>13</v>
      </c>
      <c r="T34" s="100"/>
      <c r="U34" s="100"/>
      <c r="V34" s="1"/>
      <c r="W34" s="100"/>
      <c r="X34" s="17" t="s">
        <v>13</v>
      </c>
      <c r="Y34" s="43" t="s">
        <v>13</v>
      </c>
      <c r="Z34" s="43" t="s">
        <v>13</v>
      </c>
      <c r="AA34" s="43" t="s">
        <v>13</v>
      </c>
      <c r="AB34" s="43" t="s">
        <v>13</v>
      </c>
      <c r="AC34" s="45" t="s">
        <v>13</v>
      </c>
      <c r="AD34" s="13" t="s">
        <v>13</v>
      </c>
      <c r="AE34" s="77"/>
      <c r="AF34" s="42"/>
    </row>
    <row r="35" spans="1:32" ht="28.8" customHeight="1" x14ac:dyDescent="0.55000000000000004">
      <c r="A35" s="1"/>
      <c r="B35" s="1"/>
      <c r="C35" s="1"/>
      <c r="D35" s="1"/>
      <c r="M35" s="17" t="s">
        <v>13</v>
      </c>
      <c r="N35" s="138" t="s">
        <v>20</v>
      </c>
      <c r="O35" s="44"/>
      <c r="P35" s="43" t="s">
        <v>13</v>
      </c>
      <c r="Q35" s="43" t="s">
        <v>13</v>
      </c>
      <c r="R35" s="123" t="s">
        <v>25</v>
      </c>
      <c r="S35" s="13" t="s">
        <v>13</v>
      </c>
      <c r="T35" s="100"/>
      <c r="U35" s="100"/>
      <c r="V35" s="1"/>
      <c r="W35" s="100"/>
      <c r="X35" s="17" t="s">
        <v>13</v>
      </c>
      <c r="Y35" s="138" t="s">
        <v>20</v>
      </c>
      <c r="Z35" s="44"/>
      <c r="AA35" s="43" t="s">
        <v>13</v>
      </c>
      <c r="AB35" s="43" t="s">
        <v>13</v>
      </c>
      <c r="AC35" s="123" t="s">
        <v>26</v>
      </c>
      <c r="AD35" s="13" t="s">
        <v>13</v>
      </c>
      <c r="AE35" s="42"/>
      <c r="AF35" s="42"/>
    </row>
    <row r="36" spans="1:32" ht="28.8" customHeight="1" x14ac:dyDescent="0.55000000000000004">
      <c r="A36" s="1"/>
      <c r="B36" s="1"/>
      <c r="C36" s="1"/>
      <c r="D36" s="1"/>
      <c r="M36" s="17" t="s">
        <v>13</v>
      </c>
      <c r="N36" s="43" t="s">
        <v>13</v>
      </c>
      <c r="O36" s="43" t="s">
        <v>13</v>
      </c>
      <c r="P36" s="43" t="s">
        <v>13</v>
      </c>
      <c r="Q36" s="43" t="s">
        <v>13</v>
      </c>
      <c r="R36" s="45" t="s">
        <v>13</v>
      </c>
      <c r="S36" s="13" t="s">
        <v>13</v>
      </c>
      <c r="T36" s="100"/>
      <c r="U36" s="100"/>
      <c r="V36" s="1"/>
      <c r="W36" s="100"/>
      <c r="X36" s="17" t="s">
        <v>13</v>
      </c>
      <c r="Y36" s="43" t="s">
        <v>13</v>
      </c>
      <c r="Z36" s="43" t="s">
        <v>13</v>
      </c>
      <c r="AA36" s="43" t="s">
        <v>13</v>
      </c>
      <c r="AB36" s="43" t="s">
        <v>13</v>
      </c>
      <c r="AC36" s="45" t="s">
        <v>13</v>
      </c>
      <c r="AD36" s="13" t="s">
        <v>13</v>
      </c>
      <c r="AE36" s="42"/>
      <c r="AF36" s="42"/>
    </row>
    <row r="37" spans="1:32" ht="28.8" customHeight="1" thickBot="1" x14ac:dyDescent="0.6">
      <c r="A37" s="1"/>
      <c r="B37" s="1"/>
      <c r="C37" s="1"/>
      <c r="D37" s="1"/>
      <c r="M37" s="20" t="s">
        <v>13</v>
      </c>
      <c r="N37" s="21" t="s">
        <v>13</v>
      </c>
      <c r="O37" s="21" t="s">
        <v>13</v>
      </c>
      <c r="P37" s="21" t="s">
        <v>13</v>
      </c>
      <c r="Q37" s="21" t="s">
        <v>13</v>
      </c>
      <c r="R37" s="15" t="s">
        <v>13</v>
      </c>
      <c r="S37" s="16" t="s">
        <v>13</v>
      </c>
      <c r="T37" s="100"/>
      <c r="U37" s="100"/>
      <c r="V37" s="1"/>
      <c r="W37" s="100"/>
      <c r="X37" s="20" t="s">
        <v>13</v>
      </c>
      <c r="Y37" s="21" t="s">
        <v>13</v>
      </c>
      <c r="Z37" s="21" t="s">
        <v>13</v>
      </c>
      <c r="AA37" s="21" t="s">
        <v>13</v>
      </c>
      <c r="AB37" s="21" t="s">
        <v>13</v>
      </c>
      <c r="AC37" s="15" t="s">
        <v>13</v>
      </c>
      <c r="AD37" s="16" t="s">
        <v>13</v>
      </c>
    </row>
    <row r="38" spans="1:32" ht="28.8" customHeight="1" x14ac:dyDescent="0.3">
      <c r="A38" s="1"/>
      <c r="B38" s="1"/>
      <c r="C38" s="1"/>
      <c r="D38" s="1"/>
      <c r="O38" s="76"/>
      <c r="P38" s="76"/>
      <c r="Q38" s="76"/>
      <c r="R38" s="76"/>
      <c r="S38" s="136"/>
      <c r="T38" s="140"/>
      <c r="U38" s="140"/>
      <c r="V38" s="140"/>
      <c r="W38" s="140"/>
      <c r="X38" s="140"/>
      <c r="Y38" s="140"/>
      <c r="Z38" s="140"/>
      <c r="AA38" s="140"/>
      <c r="AB38" s="76"/>
      <c r="AC38" s="76"/>
      <c r="AD38" s="76"/>
      <c r="AE38" s="76"/>
      <c r="AF38" s="76"/>
    </row>
    <row r="39" spans="1:32" ht="28.8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76"/>
      <c r="P39" s="76"/>
      <c r="Q39" s="76"/>
      <c r="R39" s="76"/>
      <c r="S39" s="136"/>
      <c r="T39" s="140"/>
      <c r="U39" s="140"/>
      <c r="V39" s="140"/>
      <c r="W39" s="140"/>
      <c r="X39" s="140"/>
      <c r="Y39" s="140"/>
      <c r="Z39" s="140"/>
      <c r="AA39" s="140"/>
      <c r="AB39" s="76"/>
      <c r="AC39" s="76"/>
      <c r="AD39" s="76"/>
      <c r="AE39" s="76"/>
      <c r="AF39" s="76"/>
    </row>
    <row r="40" spans="1:32" ht="28.8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76"/>
      <c r="P40" s="76"/>
      <c r="Q40" s="136"/>
      <c r="R40" s="136"/>
      <c r="S40" s="136"/>
      <c r="T40" s="99"/>
      <c r="U40" s="99"/>
      <c r="V40" s="99"/>
      <c r="W40" s="99"/>
      <c r="X40" s="99"/>
      <c r="Y40" s="99"/>
      <c r="Z40" s="99"/>
      <c r="AA40" s="99"/>
      <c r="AB40" s="76"/>
      <c r="AC40" s="76"/>
      <c r="AD40" s="76"/>
      <c r="AE40" s="76"/>
      <c r="AF40" s="76"/>
    </row>
    <row r="41" spans="1:32" ht="28.8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76"/>
      <c r="P41" s="76"/>
      <c r="Q41" s="136"/>
      <c r="R41" s="136"/>
      <c r="S41" s="136"/>
      <c r="T41" s="99"/>
      <c r="U41" s="99"/>
      <c r="V41" s="99"/>
      <c r="W41" s="99"/>
      <c r="X41" s="99"/>
      <c r="Y41" s="99"/>
      <c r="Z41" s="99"/>
      <c r="AA41" s="99"/>
      <c r="AB41" s="76"/>
      <c r="AC41" s="76"/>
      <c r="AD41" s="76"/>
      <c r="AE41" s="76"/>
      <c r="AF41" s="76"/>
    </row>
    <row r="42" spans="1:32" ht="28.8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76"/>
      <c r="P42" s="76"/>
      <c r="Q42" s="136"/>
      <c r="R42" s="136"/>
      <c r="S42" s="136"/>
      <c r="T42" s="136"/>
      <c r="U42" s="136"/>
      <c r="V42" s="136"/>
      <c r="W42" s="136"/>
      <c r="X42" s="136"/>
      <c r="Y42" s="136"/>
      <c r="Z42" s="76"/>
      <c r="AA42" s="76"/>
      <c r="AB42" s="76"/>
      <c r="AC42" s="76"/>
      <c r="AD42" s="76"/>
      <c r="AE42" s="76"/>
      <c r="AF42" s="76"/>
    </row>
    <row r="43" spans="1:32" ht="28.8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76"/>
      <c r="P43" s="76"/>
      <c r="Q43" s="136"/>
      <c r="R43" s="136"/>
      <c r="S43" s="136"/>
      <c r="T43" s="136"/>
      <c r="U43" s="136"/>
      <c r="V43" s="136"/>
      <c r="W43" s="136"/>
      <c r="X43" s="136"/>
      <c r="Y43" s="136"/>
      <c r="Z43" s="136"/>
      <c r="AA43" s="136"/>
      <c r="AB43" s="136"/>
      <c r="AC43" s="136"/>
      <c r="AD43" s="76"/>
      <c r="AE43" s="76"/>
      <c r="AF43" s="76"/>
    </row>
    <row r="44" spans="1:32" ht="24.6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41"/>
      <c r="P44" s="141"/>
      <c r="Q44" s="141"/>
      <c r="R44" s="141"/>
      <c r="S44" s="141"/>
      <c r="T44" s="141"/>
      <c r="U44" s="141"/>
      <c r="V44" s="136"/>
      <c r="W44" s="136"/>
      <c r="X44" s="136"/>
      <c r="Y44" s="136"/>
      <c r="Z44" s="141"/>
      <c r="AA44" s="141"/>
      <c r="AB44" s="141"/>
      <c r="AC44" s="141"/>
      <c r="AD44" s="141"/>
      <c r="AE44" s="141"/>
      <c r="AF44" s="141"/>
    </row>
    <row r="45" spans="1:32" ht="24.6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41"/>
      <c r="P45" s="141"/>
      <c r="Q45" s="141"/>
      <c r="R45" s="141"/>
      <c r="S45" s="141"/>
      <c r="T45" s="141"/>
      <c r="U45" s="141"/>
      <c r="V45" s="136"/>
      <c r="W45" s="136"/>
      <c r="X45" s="136"/>
      <c r="Y45" s="136"/>
      <c r="Z45" s="141"/>
      <c r="AA45" s="141"/>
      <c r="AB45" s="141"/>
      <c r="AC45" s="141"/>
      <c r="AD45" s="141"/>
      <c r="AE45" s="141"/>
      <c r="AF45" s="141"/>
    </row>
    <row r="46" spans="1:32" ht="24.6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41"/>
      <c r="P46" s="141"/>
      <c r="Q46" s="141"/>
      <c r="R46" s="141"/>
      <c r="S46" s="141"/>
      <c r="T46" s="141"/>
      <c r="U46" s="141"/>
      <c r="V46" s="136"/>
      <c r="W46" s="136"/>
      <c r="X46" s="136"/>
      <c r="Y46" s="136"/>
      <c r="Z46" s="141"/>
      <c r="AA46" s="141"/>
      <c r="AB46" s="141"/>
      <c r="AC46" s="141"/>
      <c r="AD46" s="141"/>
      <c r="AE46" s="141"/>
      <c r="AF46" s="141"/>
    </row>
    <row r="47" spans="1:32" ht="28.8" x14ac:dyDescent="0.55000000000000004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42"/>
      <c r="P47" s="142"/>
      <c r="Q47" s="142"/>
      <c r="R47" s="142"/>
      <c r="S47" s="142"/>
      <c r="T47" s="42"/>
      <c r="U47" s="143"/>
      <c r="V47" s="136"/>
      <c r="W47" s="136"/>
      <c r="X47" s="136"/>
      <c r="Y47" s="136"/>
      <c r="Z47" s="79"/>
      <c r="AA47" s="79"/>
      <c r="AB47" s="79"/>
      <c r="AC47" s="79"/>
      <c r="AD47" s="79"/>
      <c r="AE47" s="42"/>
      <c r="AF47" s="42"/>
    </row>
    <row r="48" spans="1:32" ht="28.8" x14ac:dyDescent="0.55000000000000004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42"/>
      <c r="P48" s="144"/>
      <c r="Q48" s="145"/>
      <c r="R48" s="142"/>
      <c r="S48" s="142"/>
      <c r="T48" s="77"/>
      <c r="U48" s="143"/>
      <c r="V48" s="136"/>
      <c r="W48" s="136"/>
      <c r="X48" s="136"/>
      <c r="Y48" s="136"/>
      <c r="Z48" s="79"/>
      <c r="AA48" s="146"/>
      <c r="AB48" s="80"/>
      <c r="AC48" s="79"/>
      <c r="AD48" s="79"/>
      <c r="AE48" s="77"/>
      <c r="AF48" s="42"/>
    </row>
    <row r="49" spans="1:32" ht="28.8" x14ac:dyDescent="0.55000000000000004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42"/>
      <c r="P49" s="142"/>
      <c r="Q49" s="142"/>
      <c r="R49" s="142"/>
      <c r="S49" s="142"/>
      <c r="T49" s="42"/>
      <c r="U49" s="42"/>
      <c r="V49" s="76"/>
      <c r="W49" s="76"/>
      <c r="X49" s="76"/>
      <c r="Y49" s="76"/>
      <c r="Z49" s="142"/>
      <c r="AA49" s="142"/>
      <c r="AB49" s="142"/>
      <c r="AC49" s="142"/>
      <c r="AD49" s="142"/>
      <c r="AE49" s="42"/>
      <c r="AF49" s="42"/>
    </row>
    <row r="50" spans="1:32" ht="28.8" x14ac:dyDescent="0.55000000000000004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42"/>
      <c r="P50" s="144"/>
      <c r="Q50" s="145"/>
      <c r="R50" s="142"/>
      <c r="S50" s="142"/>
      <c r="T50" s="147"/>
      <c r="U50" s="143"/>
      <c r="V50" s="136"/>
      <c r="W50" s="136"/>
      <c r="X50" s="136"/>
      <c r="Y50" s="136"/>
      <c r="Z50" s="79"/>
      <c r="AA50" s="146"/>
      <c r="AB50" s="145"/>
      <c r="AC50" s="142"/>
      <c r="AD50" s="142"/>
      <c r="AE50" s="77"/>
      <c r="AF50" s="42"/>
    </row>
    <row r="51" spans="1:32" ht="28.8" x14ac:dyDescent="0.55000000000000004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42"/>
      <c r="P51" s="142"/>
      <c r="Q51" s="142"/>
      <c r="R51" s="142"/>
      <c r="S51" s="142"/>
      <c r="T51" s="143"/>
      <c r="U51" s="143"/>
      <c r="V51" s="136"/>
      <c r="W51" s="136"/>
      <c r="X51" s="136"/>
      <c r="Y51" s="136"/>
      <c r="Z51" s="79"/>
      <c r="AA51" s="79"/>
      <c r="AB51" s="142"/>
      <c r="AC51" s="142"/>
      <c r="AD51" s="142"/>
      <c r="AE51" s="42"/>
      <c r="AF51" s="42"/>
    </row>
    <row r="52" spans="1:32" ht="28.8" x14ac:dyDescent="0.55000000000000004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42"/>
      <c r="P52" s="142"/>
      <c r="Q52" s="142"/>
      <c r="R52" s="142"/>
      <c r="S52" s="142"/>
      <c r="T52" s="143"/>
      <c r="U52" s="143"/>
      <c r="V52" s="136"/>
      <c r="W52" s="136"/>
      <c r="X52" s="136"/>
      <c r="Y52" s="136"/>
      <c r="Z52" s="79"/>
      <c r="AA52" s="79"/>
      <c r="AB52" s="142"/>
      <c r="AC52" s="142"/>
      <c r="AD52" s="142"/>
      <c r="AE52" s="42"/>
      <c r="AF52" s="42"/>
    </row>
    <row r="53" spans="1:32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76"/>
      <c r="P53" s="76"/>
      <c r="Q53" s="76"/>
      <c r="R53" s="76"/>
      <c r="S53" s="76"/>
      <c r="T53" s="136"/>
      <c r="U53" s="136"/>
      <c r="V53" s="136"/>
      <c r="W53" s="136"/>
      <c r="X53" s="136"/>
      <c r="Y53" s="136"/>
      <c r="Z53" s="136"/>
      <c r="AA53" s="136"/>
      <c r="AB53" s="76"/>
      <c r="AC53" s="76"/>
      <c r="AD53" s="76"/>
      <c r="AE53" s="76"/>
      <c r="AF53" s="76"/>
    </row>
    <row r="54" spans="1:32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76"/>
      <c r="P54" s="76"/>
      <c r="Q54" s="76"/>
      <c r="R54" s="76"/>
      <c r="S54" s="76"/>
      <c r="T54" s="76"/>
      <c r="U54" s="76"/>
      <c r="V54" s="76"/>
      <c r="W54" s="136"/>
      <c r="X54" s="136"/>
      <c r="Y54" s="136"/>
      <c r="Z54" s="136"/>
      <c r="AA54" s="136"/>
      <c r="AB54" s="136"/>
      <c r="AC54" s="136"/>
      <c r="AD54" s="76"/>
      <c r="AE54" s="76"/>
      <c r="AF54" s="76"/>
    </row>
    <row r="55" spans="1:32" ht="24.6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41"/>
      <c r="P55" s="141"/>
      <c r="Q55" s="141"/>
      <c r="R55" s="141"/>
      <c r="S55" s="141"/>
      <c r="T55" s="141"/>
      <c r="U55" s="141"/>
      <c r="V55" s="76"/>
      <c r="W55" s="136"/>
      <c r="X55" s="136"/>
      <c r="Y55" s="136"/>
      <c r="Z55" s="141"/>
      <c r="AA55" s="141"/>
      <c r="AB55" s="141"/>
      <c r="AC55" s="141"/>
      <c r="AD55" s="141"/>
      <c r="AE55" s="141"/>
      <c r="AF55" s="141"/>
    </row>
    <row r="56" spans="1:32" ht="24.6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41"/>
      <c r="P56" s="141"/>
      <c r="Q56" s="141"/>
      <c r="R56" s="141"/>
      <c r="S56" s="141"/>
      <c r="T56" s="141"/>
      <c r="U56" s="141"/>
      <c r="V56" s="136"/>
      <c r="W56" s="136"/>
      <c r="X56" s="136"/>
      <c r="Y56" s="136"/>
      <c r="Z56" s="141"/>
      <c r="AA56" s="141"/>
      <c r="AB56" s="141"/>
      <c r="AC56" s="141"/>
      <c r="AD56" s="141"/>
      <c r="AE56" s="141"/>
      <c r="AF56" s="141"/>
    </row>
    <row r="57" spans="1:32" ht="24.6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41"/>
      <c r="P57" s="141"/>
      <c r="Q57" s="141"/>
      <c r="R57" s="141"/>
      <c r="S57" s="141"/>
      <c r="T57" s="141"/>
      <c r="U57" s="141"/>
      <c r="V57" s="136"/>
      <c r="W57" s="136"/>
      <c r="X57" s="136"/>
      <c r="Y57" s="136"/>
      <c r="Z57" s="141"/>
      <c r="AA57" s="141"/>
      <c r="AB57" s="141"/>
      <c r="AC57" s="141"/>
      <c r="AD57" s="141"/>
      <c r="AE57" s="141"/>
      <c r="AF57" s="141"/>
    </row>
    <row r="58" spans="1:32" ht="28.8" x14ac:dyDescent="0.55000000000000004">
      <c r="O58" s="142"/>
      <c r="P58" s="142"/>
      <c r="Q58" s="142"/>
      <c r="R58" s="142"/>
      <c r="S58" s="142"/>
      <c r="T58" s="42"/>
      <c r="U58" s="143"/>
      <c r="V58" s="136"/>
      <c r="W58" s="136"/>
      <c r="X58" s="136"/>
      <c r="Y58" s="136"/>
      <c r="Z58" s="79"/>
      <c r="AA58" s="79"/>
      <c r="AB58" s="79"/>
      <c r="AC58" s="79"/>
      <c r="AD58" s="79"/>
      <c r="AE58" s="42"/>
      <c r="AF58" s="42"/>
    </row>
    <row r="59" spans="1:32" ht="28.8" x14ac:dyDescent="0.55000000000000004">
      <c r="O59" s="142"/>
      <c r="P59" s="144"/>
      <c r="Q59" s="145"/>
      <c r="R59" s="142"/>
      <c r="S59" s="142"/>
      <c r="T59" s="77"/>
      <c r="U59" s="143"/>
      <c r="V59" s="136"/>
      <c r="W59" s="136"/>
      <c r="X59" s="136"/>
      <c r="Y59" s="136"/>
      <c r="Z59" s="79"/>
      <c r="AA59" s="146"/>
      <c r="AB59" s="80"/>
      <c r="AC59" s="79"/>
      <c r="AD59" s="79"/>
      <c r="AE59" s="77"/>
      <c r="AF59" s="42"/>
    </row>
    <row r="60" spans="1:32" ht="28.8" x14ac:dyDescent="0.55000000000000004">
      <c r="O60" s="142"/>
      <c r="P60" s="142"/>
      <c r="Q60" s="142"/>
      <c r="R60" s="142"/>
      <c r="S60" s="142"/>
      <c r="T60" s="42"/>
      <c r="U60" s="42"/>
      <c r="V60" s="76"/>
      <c r="W60" s="76"/>
      <c r="X60" s="76"/>
      <c r="Y60" s="76"/>
      <c r="Z60" s="142"/>
      <c r="AA60" s="142"/>
      <c r="AB60" s="142"/>
      <c r="AC60" s="142"/>
      <c r="AD60" s="142"/>
      <c r="AE60" s="42"/>
      <c r="AF60" s="42"/>
    </row>
    <row r="61" spans="1:32" ht="28.8" x14ac:dyDescent="0.55000000000000004">
      <c r="O61" s="142"/>
      <c r="P61" s="144"/>
      <c r="Q61" s="145"/>
      <c r="R61" s="142"/>
      <c r="S61" s="142"/>
      <c r="T61" s="77"/>
      <c r="U61" s="42"/>
      <c r="V61" s="76"/>
      <c r="W61" s="76"/>
      <c r="X61" s="76"/>
      <c r="Y61" s="76"/>
      <c r="Z61" s="142"/>
      <c r="AA61" s="144"/>
      <c r="AB61" s="145"/>
      <c r="AC61" s="142"/>
      <c r="AD61" s="142"/>
      <c r="AE61" s="77"/>
      <c r="AF61" s="42"/>
    </row>
    <row r="62" spans="1:32" ht="28.8" x14ac:dyDescent="0.55000000000000004">
      <c r="O62" s="142"/>
      <c r="P62" s="142"/>
      <c r="Q62" s="142"/>
      <c r="R62" s="142"/>
      <c r="S62" s="142"/>
      <c r="T62" s="42"/>
      <c r="U62" s="42"/>
      <c r="V62" s="76"/>
      <c r="W62" s="76"/>
      <c r="X62" s="76"/>
      <c r="Y62" s="76"/>
      <c r="Z62" s="142"/>
      <c r="AA62" s="142"/>
      <c r="AB62" s="142"/>
      <c r="AC62" s="142"/>
      <c r="AD62" s="142"/>
      <c r="AE62" s="42"/>
      <c r="AF62" s="42"/>
    </row>
    <row r="63" spans="1:32" ht="28.8" x14ac:dyDescent="0.55000000000000004">
      <c r="O63" s="142"/>
      <c r="P63" s="142"/>
      <c r="Q63" s="142"/>
      <c r="R63" s="142"/>
      <c r="S63" s="142"/>
      <c r="T63" s="42"/>
      <c r="U63" s="42"/>
      <c r="V63" s="76"/>
      <c r="W63" s="76"/>
      <c r="X63" s="76"/>
      <c r="Y63" s="76"/>
      <c r="Z63" s="142"/>
      <c r="AA63" s="142"/>
      <c r="AB63" s="142"/>
      <c r="AC63" s="142"/>
      <c r="AD63" s="142"/>
      <c r="AE63" s="42"/>
      <c r="AF63" s="42"/>
    </row>
  </sheetData>
  <mergeCells count="6">
    <mergeCell ref="X29:AD31"/>
    <mergeCell ref="R12:AA13"/>
    <mergeCell ref="R14:AA15"/>
    <mergeCell ref="M18:S20"/>
    <mergeCell ref="X18:AD20"/>
    <mergeCell ref="M29:S3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287FF-8AFE-442B-A59F-2A5AF78A820E}">
  <sheetPr codeName="Planilha5">
    <tabColor rgb="FFFF0000"/>
  </sheetPr>
  <dimension ref="A1:BB57"/>
  <sheetViews>
    <sheetView showGridLines="0" showRowColHeaders="0" zoomScale="40" zoomScaleNormal="40" workbookViewId="0"/>
  </sheetViews>
  <sheetFormatPr defaultRowHeight="14.4" x14ac:dyDescent="0.3"/>
  <cols>
    <col min="6" max="6" width="23.5546875" bestFit="1" customWidth="1"/>
    <col min="10" max="10" width="34.6640625" customWidth="1"/>
    <col min="11" max="11" width="8.88671875" customWidth="1"/>
    <col min="19" max="19" width="47.6640625" bestFit="1" customWidth="1"/>
    <col min="21" max="21" width="11.44140625" customWidth="1"/>
    <col min="23" max="23" width="47.44140625" customWidth="1"/>
  </cols>
  <sheetData>
    <row r="1" spans="1:54" s="100" customFormat="1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  <c r="AZ1" s="101"/>
      <c r="BA1" s="101"/>
      <c r="BB1" s="101"/>
    </row>
    <row r="2" spans="1:54" s="100" customFormat="1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  <c r="AZ2" s="101"/>
      <c r="BA2" s="101"/>
      <c r="BB2" s="101"/>
    </row>
    <row r="3" spans="1:54" ht="61.5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  <c r="AZ3" s="101"/>
      <c r="BA3" s="101"/>
      <c r="BB3" s="101"/>
    </row>
    <row r="4" spans="1:54" ht="46.2" customHeight="1" x14ac:dyDescent="0.3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</row>
    <row r="5" spans="1:54" x14ac:dyDescent="0.3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</row>
    <row r="6" spans="1:54" x14ac:dyDescent="0.3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</row>
    <row r="7" spans="1:54" x14ac:dyDescent="0.3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</row>
    <row r="8" spans="1:54" ht="28.8" customHeight="1" x14ac:dyDescent="0.3"/>
    <row r="9" spans="1:54" ht="28.8" customHeight="1" x14ac:dyDescent="0.3">
      <c r="E9" s="41"/>
      <c r="F9" s="41"/>
      <c r="G9" s="41"/>
      <c r="H9" s="41"/>
      <c r="I9" s="41"/>
      <c r="J9" s="41"/>
      <c r="K9" s="41"/>
    </row>
    <row r="10" spans="1:54" ht="28.8" customHeight="1" x14ac:dyDescent="0.3">
      <c r="E10" s="41"/>
      <c r="F10" s="41"/>
      <c r="G10" s="41"/>
      <c r="H10" s="41"/>
      <c r="I10" s="41"/>
      <c r="J10" s="41"/>
      <c r="K10" s="41"/>
    </row>
    <row r="11" spans="1:54" ht="28.8" customHeight="1" x14ac:dyDescent="0.3">
      <c r="E11" s="41"/>
      <c r="F11" s="41"/>
      <c r="G11" s="41"/>
      <c r="H11" s="41"/>
      <c r="I11" s="41"/>
      <c r="J11" s="41"/>
      <c r="K11" s="41"/>
    </row>
    <row r="12" spans="1:54" ht="28.8" customHeight="1" x14ac:dyDescent="0.55000000000000004">
      <c r="E12" s="142"/>
      <c r="F12" s="142"/>
      <c r="G12" s="142"/>
      <c r="H12" s="142"/>
      <c r="I12" s="142"/>
      <c r="J12" s="42"/>
      <c r="K12" s="42"/>
      <c r="R12" s="100"/>
      <c r="S12" s="100"/>
      <c r="T12" s="100"/>
      <c r="U12" s="100"/>
      <c r="V12" s="100"/>
      <c r="W12" s="100"/>
      <c r="X12" s="100"/>
    </row>
    <row r="13" spans="1:54" ht="28.8" customHeight="1" x14ac:dyDescent="0.55000000000000004">
      <c r="E13" s="142"/>
      <c r="F13" s="148"/>
      <c r="G13" s="145"/>
      <c r="H13" s="142"/>
      <c r="I13" s="142"/>
      <c r="J13" s="46"/>
      <c r="K13" s="42"/>
      <c r="R13" s="100"/>
      <c r="S13" s="100"/>
      <c r="T13" s="100"/>
      <c r="U13" s="100"/>
      <c r="V13" s="100"/>
      <c r="W13" s="100"/>
      <c r="X13" s="100"/>
    </row>
    <row r="14" spans="1:54" ht="28.8" customHeight="1" x14ac:dyDescent="0.55000000000000004">
      <c r="E14" s="142"/>
      <c r="F14" s="142"/>
      <c r="G14" s="142"/>
      <c r="H14" s="142"/>
      <c r="I14" s="142"/>
      <c r="J14" s="42"/>
      <c r="K14" s="42"/>
      <c r="R14" s="100"/>
      <c r="S14" s="100"/>
      <c r="T14" s="100"/>
      <c r="U14" s="100"/>
      <c r="V14" s="100"/>
      <c r="W14" s="100"/>
      <c r="X14" s="100"/>
    </row>
    <row r="15" spans="1:54" ht="28.8" customHeight="1" thickBot="1" x14ac:dyDescent="0.6">
      <c r="E15" s="142"/>
      <c r="F15" s="148"/>
      <c r="G15" s="145"/>
      <c r="H15" s="142"/>
      <c r="I15" s="142"/>
      <c r="J15" s="46"/>
      <c r="K15" s="42"/>
      <c r="R15" s="100"/>
      <c r="S15" s="100"/>
      <c r="T15" s="100"/>
      <c r="U15" s="100"/>
      <c r="V15" s="100"/>
      <c r="W15" s="100"/>
      <c r="X15" s="100"/>
    </row>
    <row r="16" spans="1:54" ht="28.8" customHeight="1" x14ac:dyDescent="0.55000000000000004">
      <c r="E16" s="142"/>
      <c r="F16" s="142"/>
      <c r="G16" s="142"/>
      <c r="H16" s="142"/>
      <c r="I16" s="142"/>
      <c r="J16" s="42"/>
      <c r="K16" s="42"/>
      <c r="R16" s="271" t="s">
        <v>27</v>
      </c>
      <c r="S16" s="272"/>
      <c r="T16" s="272"/>
      <c r="U16" s="272"/>
      <c r="V16" s="272"/>
      <c r="W16" s="272"/>
      <c r="X16" s="273"/>
    </row>
    <row r="17" spans="5:24" ht="28.8" customHeight="1" x14ac:dyDescent="0.55000000000000004">
      <c r="E17" s="142"/>
      <c r="F17" s="142"/>
      <c r="G17" s="142"/>
      <c r="H17" s="142"/>
      <c r="I17" s="142"/>
      <c r="J17" s="42"/>
      <c r="K17" s="42"/>
      <c r="R17" s="274"/>
      <c r="S17" s="275"/>
      <c r="T17" s="275"/>
      <c r="U17" s="275"/>
      <c r="V17" s="275"/>
      <c r="W17" s="275"/>
      <c r="X17" s="276"/>
    </row>
    <row r="18" spans="5:24" ht="28.8" customHeight="1" thickBot="1" x14ac:dyDescent="0.6">
      <c r="E18" s="42"/>
      <c r="F18" s="42"/>
      <c r="G18" s="42"/>
      <c r="H18" s="42"/>
      <c r="I18" s="42"/>
      <c r="J18" s="42"/>
      <c r="K18" s="42"/>
      <c r="R18" s="277"/>
      <c r="S18" s="278"/>
      <c r="T18" s="278"/>
      <c r="U18" s="278"/>
      <c r="V18" s="278"/>
      <c r="W18" s="278"/>
      <c r="X18" s="279"/>
    </row>
    <row r="19" spans="5:24" ht="28.8" customHeight="1" x14ac:dyDescent="0.55000000000000004">
      <c r="E19" s="42"/>
      <c r="F19" s="42"/>
      <c r="G19" s="42"/>
      <c r="H19" s="42"/>
      <c r="I19" s="42"/>
      <c r="J19" s="42"/>
      <c r="K19" s="42"/>
      <c r="R19" s="17" t="s">
        <v>13</v>
      </c>
      <c r="S19" s="43" t="s">
        <v>13</v>
      </c>
      <c r="T19" s="43" t="s">
        <v>13</v>
      </c>
      <c r="U19" s="43" t="s">
        <v>13</v>
      </c>
      <c r="V19" s="43" t="s">
        <v>13</v>
      </c>
      <c r="W19" s="45" t="s">
        <v>13</v>
      </c>
      <c r="X19" s="128" t="s">
        <v>13</v>
      </c>
    </row>
    <row r="20" spans="5:24" ht="28.8" customHeight="1" x14ac:dyDescent="0.55000000000000004">
      <c r="E20" s="42"/>
      <c r="F20" s="42"/>
      <c r="G20" s="42"/>
      <c r="H20" s="42"/>
      <c r="I20" s="42"/>
      <c r="J20" s="42"/>
      <c r="K20" s="42"/>
      <c r="R20" s="17" t="s">
        <v>13</v>
      </c>
      <c r="S20" s="138" t="s">
        <v>28</v>
      </c>
      <c r="T20" s="44"/>
      <c r="U20" s="43" t="s">
        <v>13</v>
      </c>
      <c r="V20" s="43" t="s">
        <v>13</v>
      </c>
      <c r="W20" s="165" t="s">
        <v>11</v>
      </c>
      <c r="X20" s="128" t="s">
        <v>13</v>
      </c>
    </row>
    <row r="21" spans="5:24" ht="28.8" customHeight="1" x14ac:dyDescent="0.55000000000000004">
      <c r="E21" s="42"/>
      <c r="F21" s="42"/>
      <c r="G21" s="42"/>
      <c r="H21" s="42"/>
      <c r="I21" s="42"/>
      <c r="J21" s="42"/>
      <c r="K21" s="42"/>
      <c r="R21" s="17" t="s">
        <v>13</v>
      </c>
      <c r="S21" s="43" t="s">
        <v>13</v>
      </c>
      <c r="T21" s="43" t="s">
        <v>13</v>
      </c>
      <c r="U21" s="43" t="s">
        <v>13</v>
      </c>
      <c r="V21" s="43" t="s">
        <v>13</v>
      </c>
      <c r="W21" s="45" t="s">
        <v>13</v>
      </c>
      <c r="X21" s="13" t="s">
        <v>13</v>
      </c>
    </row>
    <row r="22" spans="5:24" ht="28.8" customHeight="1" x14ac:dyDescent="0.55000000000000004">
      <c r="R22" s="17" t="s">
        <v>13</v>
      </c>
      <c r="S22" s="138" t="s">
        <v>29</v>
      </c>
      <c r="T22" s="44"/>
      <c r="U22" s="43" t="s">
        <v>13</v>
      </c>
      <c r="V22" s="43" t="s">
        <v>13</v>
      </c>
      <c r="W22" s="165">
        <v>100</v>
      </c>
      <c r="X22" s="128" t="s">
        <v>13</v>
      </c>
    </row>
    <row r="23" spans="5:24" ht="28.8" customHeight="1" x14ac:dyDescent="0.55000000000000004">
      <c r="R23" s="17" t="s">
        <v>13</v>
      </c>
      <c r="S23" s="43" t="s">
        <v>13</v>
      </c>
      <c r="T23" s="43" t="s">
        <v>13</v>
      </c>
      <c r="U23" s="43" t="s">
        <v>13</v>
      </c>
      <c r="V23" s="43" t="s">
        <v>13</v>
      </c>
      <c r="W23" s="137" t="s">
        <v>13</v>
      </c>
      <c r="X23" s="128" t="s">
        <v>13</v>
      </c>
    </row>
    <row r="24" spans="5:24" ht="28.8" customHeight="1" x14ac:dyDescent="0.55000000000000004">
      <c r="R24" s="17" t="s">
        <v>13</v>
      </c>
      <c r="S24" s="43" t="s">
        <v>13</v>
      </c>
      <c r="T24" s="43" t="s">
        <v>13</v>
      </c>
      <c r="U24" s="43" t="s">
        <v>13</v>
      </c>
      <c r="V24" s="43" t="s">
        <v>13</v>
      </c>
      <c r="W24" s="137" t="s">
        <v>13</v>
      </c>
      <c r="X24" s="128" t="s">
        <v>13</v>
      </c>
    </row>
    <row r="25" spans="5:24" ht="28.8" customHeight="1" x14ac:dyDescent="0.55000000000000004">
      <c r="R25" s="17" t="s">
        <v>13</v>
      </c>
      <c r="S25" s="43" t="s">
        <v>13</v>
      </c>
      <c r="T25" s="43" t="s">
        <v>13</v>
      </c>
      <c r="U25" s="43" t="s">
        <v>13</v>
      </c>
      <c r="V25" s="43" t="s">
        <v>13</v>
      </c>
      <c r="W25" s="137" t="s">
        <v>13</v>
      </c>
      <c r="X25" s="128" t="s">
        <v>13</v>
      </c>
    </row>
    <row r="26" spans="5:24" ht="28.8" customHeight="1" x14ac:dyDescent="0.55000000000000004">
      <c r="R26" s="17" t="s">
        <v>13</v>
      </c>
      <c r="S26" s="43" t="s">
        <v>13</v>
      </c>
      <c r="T26" s="43" t="s">
        <v>13</v>
      </c>
      <c r="U26" s="43" t="s">
        <v>13</v>
      </c>
      <c r="V26" s="43" t="s">
        <v>13</v>
      </c>
      <c r="W26" s="137" t="s">
        <v>13</v>
      </c>
      <c r="X26" s="128" t="s">
        <v>13</v>
      </c>
    </row>
    <row r="27" spans="5:24" ht="28.8" customHeight="1" thickBot="1" x14ac:dyDescent="0.6">
      <c r="R27" s="20" t="s">
        <v>13</v>
      </c>
      <c r="S27" s="21" t="s">
        <v>13</v>
      </c>
      <c r="T27" s="21" t="s">
        <v>13</v>
      </c>
      <c r="U27" s="21" t="s">
        <v>13</v>
      </c>
      <c r="V27" s="21" t="s">
        <v>13</v>
      </c>
      <c r="W27" s="132" t="s">
        <v>13</v>
      </c>
      <c r="X27" s="133" t="s">
        <v>13</v>
      </c>
    </row>
    <row r="28" spans="5:24" ht="28.8" customHeight="1" x14ac:dyDescent="0.3"/>
    <row r="29" spans="5:24" ht="28.8" customHeight="1" x14ac:dyDescent="0.3"/>
    <row r="30" spans="5:24" ht="28.8" customHeight="1" x14ac:dyDescent="0.3">
      <c r="E30" s="41"/>
      <c r="F30" s="41"/>
      <c r="G30" s="41"/>
      <c r="H30" s="41"/>
      <c r="I30" s="41"/>
      <c r="J30" s="41"/>
      <c r="K30" s="41"/>
    </row>
    <row r="31" spans="5:24" ht="28.8" customHeight="1" x14ac:dyDescent="0.3">
      <c r="E31" s="41"/>
      <c r="F31" s="41"/>
      <c r="G31" s="41"/>
      <c r="H31" s="41"/>
      <c r="I31" s="41"/>
      <c r="J31" s="41"/>
      <c r="K31" s="41"/>
    </row>
    <row r="32" spans="5:24" ht="28.8" customHeight="1" x14ac:dyDescent="0.3">
      <c r="E32" s="41"/>
      <c r="F32" s="41"/>
      <c r="G32" s="41"/>
      <c r="H32" s="41"/>
      <c r="I32" s="41"/>
      <c r="J32" s="41"/>
      <c r="K32" s="41"/>
    </row>
    <row r="33" spans="5:11" ht="28.8" customHeight="1" x14ac:dyDescent="0.55000000000000004">
      <c r="E33" s="142"/>
      <c r="F33" s="142"/>
      <c r="G33" s="142"/>
      <c r="H33" s="142"/>
      <c r="I33" s="142"/>
      <c r="J33" s="42"/>
      <c r="K33" s="42"/>
    </row>
    <row r="34" spans="5:11" ht="28.8" customHeight="1" x14ac:dyDescent="0.55000000000000004">
      <c r="E34" s="142"/>
      <c r="F34" s="148"/>
      <c r="G34" s="145"/>
      <c r="H34" s="142"/>
      <c r="I34" s="142"/>
      <c r="J34" s="46"/>
      <c r="K34" s="42"/>
    </row>
    <row r="35" spans="5:11" ht="28.8" customHeight="1" x14ac:dyDescent="0.55000000000000004">
      <c r="E35" s="142"/>
      <c r="F35" s="142"/>
      <c r="G35" s="142"/>
      <c r="H35" s="142"/>
      <c r="I35" s="142"/>
      <c r="J35" s="42"/>
      <c r="K35" s="42"/>
    </row>
    <row r="36" spans="5:11" ht="28.8" customHeight="1" x14ac:dyDescent="0.55000000000000004">
      <c r="E36" s="142"/>
      <c r="F36" s="148"/>
      <c r="G36" s="145"/>
      <c r="H36" s="142"/>
      <c r="I36" s="142"/>
      <c r="J36" s="46"/>
      <c r="K36" s="42"/>
    </row>
    <row r="37" spans="5:11" ht="28.8" customHeight="1" x14ac:dyDescent="0.55000000000000004">
      <c r="E37" s="142"/>
      <c r="F37" s="142"/>
      <c r="G37" s="142"/>
      <c r="H37" s="142"/>
      <c r="I37" s="142"/>
      <c r="J37" s="42"/>
      <c r="K37" s="42"/>
    </row>
    <row r="38" spans="5:11" ht="28.8" customHeight="1" x14ac:dyDescent="0.55000000000000004">
      <c r="E38" s="142"/>
      <c r="F38" s="148"/>
      <c r="G38" s="142"/>
      <c r="H38" s="142"/>
      <c r="I38" s="142"/>
      <c r="J38" s="42"/>
      <c r="K38" s="42"/>
    </row>
    <row r="39" spans="5:11" ht="28.8" customHeight="1" x14ac:dyDescent="0.55000000000000004">
      <c r="E39" s="142"/>
      <c r="F39" s="142"/>
      <c r="G39" s="142"/>
      <c r="H39" s="142"/>
      <c r="I39" s="142"/>
      <c r="J39" s="42"/>
      <c r="K39" s="42"/>
    </row>
    <row r="40" spans="5:11" ht="28.8" customHeight="1" x14ac:dyDescent="0.55000000000000004">
      <c r="E40" s="142"/>
      <c r="F40" s="148"/>
      <c r="G40" s="145"/>
      <c r="H40" s="142"/>
      <c r="I40" s="142"/>
      <c r="J40" s="46"/>
      <c r="K40" s="42"/>
    </row>
    <row r="41" spans="5:11" ht="28.8" customHeight="1" x14ac:dyDescent="0.3"/>
    <row r="42" spans="5:11" ht="28.8" customHeight="1" x14ac:dyDescent="0.3"/>
    <row r="43" spans="5:11" ht="28.8" customHeight="1" x14ac:dyDescent="0.3"/>
    <row r="44" spans="5:11" ht="28.8" customHeight="1" x14ac:dyDescent="0.3"/>
    <row r="45" spans="5:11" ht="28.8" customHeight="1" x14ac:dyDescent="0.3"/>
    <row r="46" spans="5:11" ht="28.8" customHeight="1" x14ac:dyDescent="0.3"/>
    <row r="47" spans="5:11" ht="28.8" customHeight="1" x14ac:dyDescent="0.3"/>
    <row r="48" spans="5:11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</sheetData>
  <mergeCells count="1">
    <mergeCell ref="R16:X18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EA79200-F749-45A2-B0D2-249B7A0735E0}">
          <x14:formula1>
            <xm:f>PRODUÇÃO_REQUISIÇÕES!$Q$14:$Q$17</xm:f>
          </x14:formula1>
          <xm:sqref>W20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0433E-07BF-49E6-B558-F6A80F931118}">
  <sheetPr codeName="Planilha23">
    <tabColor rgb="FFFF0000"/>
  </sheetPr>
  <dimension ref="A1:BB69"/>
  <sheetViews>
    <sheetView showGridLines="0" showRowColHeaders="0" topLeftCell="A22" zoomScale="40" zoomScaleNormal="40" workbookViewId="0">
      <selection activeCell="AE21" sqref="AE21"/>
    </sheetView>
  </sheetViews>
  <sheetFormatPr defaultRowHeight="14.4" x14ac:dyDescent="0.3"/>
  <cols>
    <col min="1" max="5" width="8.88671875" style="82"/>
    <col min="6" max="6" width="23.5546875" style="82" bestFit="1" customWidth="1"/>
    <col min="7" max="9" width="8.88671875" style="82"/>
    <col min="10" max="10" width="34.6640625" style="82" customWidth="1"/>
    <col min="11" max="11" width="8.88671875" style="82" customWidth="1"/>
    <col min="12" max="19" width="8.88671875" style="82"/>
    <col min="20" max="20" width="47.6640625" style="82" bestFit="1" customWidth="1"/>
    <col min="21" max="21" width="8.88671875" style="82"/>
    <col min="22" max="22" width="11.44140625" style="82" customWidth="1"/>
    <col min="23" max="23" width="8.88671875" style="82"/>
    <col min="24" max="24" width="47.44140625" style="82" customWidth="1"/>
    <col min="25" max="16384" width="8.88671875" style="82"/>
  </cols>
  <sheetData>
    <row r="1" spans="1:54" s="100" customFormat="1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  <c r="AZ1" s="101"/>
      <c r="BA1" s="101"/>
      <c r="BB1" s="101"/>
    </row>
    <row r="2" spans="1:54" s="100" customFormat="1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  <c r="AZ2" s="101"/>
      <c r="BA2" s="101"/>
      <c r="BB2" s="101"/>
    </row>
    <row r="3" spans="1:54" ht="61.5" customHeight="1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  <c r="AZ3" s="101"/>
      <c r="BA3" s="101"/>
      <c r="BB3" s="101"/>
    </row>
    <row r="4" spans="1:54" ht="46.2" customHeight="1" x14ac:dyDescent="0.3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</row>
    <row r="5" spans="1:54" x14ac:dyDescent="0.3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</row>
    <row r="6" spans="1:54" x14ac:dyDescent="0.3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</row>
    <row r="7" spans="1:54" x14ac:dyDescent="0.3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</row>
    <row r="8" spans="1:54" ht="28.8" customHeight="1" x14ac:dyDescent="0.3"/>
    <row r="9" spans="1:54" ht="28.8" customHeight="1" x14ac:dyDescent="0.3">
      <c r="E9" s="292"/>
      <c r="F9" s="292"/>
      <c r="G9" s="292"/>
      <c r="H9" s="292"/>
      <c r="I9" s="292"/>
      <c r="J9" s="292"/>
      <c r="K9" s="292"/>
    </row>
    <row r="10" spans="1:54" ht="28.8" customHeight="1" thickBot="1" x14ac:dyDescent="0.35">
      <c r="E10" s="292"/>
      <c r="F10" s="292"/>
      <c r="G10" s="292"/>
      <c r="H10" s="292"/>
      <c r="I10" s="292"/>
      <c r="J10" s="292"/>
      <c r="K10" s="292"/>
    </row>
    <row r="11" spans="1:54" ht="28.8" customHeight="1" x14ac:dyDescent="0.3">
      <c r="E11" s="292"/>
      <c r="F11" s="292"/>
      <c r="G11" s="292"/>
      <c r="H11" s="292"/>
      <c r="I11" s="292"/>
      <c r="J11" s="292"/>
      <c r="K11" s="292"/>
      <c r="S11" s="271" t="s">
        <v>754</v>
      </c>
      <c r="T11" s="272"/>
      <c r="U11" s="272"/>
      <c r="V11" s="272"/>
      <c r="W11" s="272"/>
      <c r="X11" s="272"/>
      <c r="Y11" s="273"/>
    </row>
    <row r="12" spans="1:54" ht="28.8" customHeight="1" x14ac:dyDescent="0.55000000000000004">
      <c r="E12" s="142"/>
      <c r="F12" s="142"/>
      <c r="G12" s="142"/>
      <c r="H12" s="142"/>
      <c r="I12" s="142"/>
      <c r="J12" s="42"/>
      <c r="K12" s="42"/>
      <c r="S12" s="274"/>
      <c r="T12" s="275"/>
      <c r="U12" s="275"/>
      <c r="V12" s="275"/>
      <c r="W12" s="275"/>
      <c r="X12" s="275"/>
      <c r="Y12" s="276"/>
    </row>
    <row r="13" spans="1:54" ht="28.8" customHeight="1" x14ac:dyDescent="0.55000000000000004">
      <c r="E13" s="142"/>
      <c r="F13" s="148"/>
      <c r="G13" s="145"/>
      <c r="H13" s="142"/>
      <c r="I13" s="142"/>
      <c r="J13" s="46"/>
      <c r="K13" s="42"/>
      <c r="S13" s="274"/>
      <c r="T13" s="275"/>
      <c r="U13" s="275"/>
      <c r="V13" s="275"/>
      <c r="W13" s="275"/>
      <c r="X13" s="275"/>
      <c r="Y13" s="276"/>
    </row>
    <row r="14" spans="1:54" ht="28.8" customHeight="1" x14ac:dyDescent="0.55000000000000004">
      <c r="E14" s="142"/>
      <c r="F14" s="142"/>
      <c r="G14" s="142"/>
      <c r="H14" s="142"/>
      <c r="I14" s="142"/>
      <c r="J14" s="42"/>
      <c r="K14" s="42"/>
      <c r="S14" s="17" t="s">
        <v>13</v>
      </c>
      <c r="T14" s="43" t="s">
        <v>13</v>
      </c>
      <c r="U14" s="43" t="s">
        <v>13</v>
      </c>
      <c r="V14" s="43" t="s">
        <v>13</v>
      </c>
      <c r="W14" s="43" t="s">
        <v>13</v>
      </c>
      <c r="X14" s="45" t="s">
        <v>13</v>
      </c>
      <c r="Y14" s="128" t="s">
        <v>13</v>
      </c>
    </row>
    <row r="15" spans="1:54" ht="28.8" customHeight="1" x14ac:dyDescent="0.55000000000000004">
      <c r="E15" s="142"/>
      <c r="F15" s="148"/>
      <c r="G15" s="145"/>
      <c r="H15" s="142"/>
      <c r="I15" s="142"/>
      <c r="J15" s="46"/>
      <c r="K15" s="42"/>
      <c r="S15" s="17" t="s">
        <v>13</v>
      </c>
      <c r="T15" s="138" t="s">
        <v>28</v>
      </c>
      <c r="U15" s="44"/>
      <c r="V15" s="43" t="s">
        <v>13</v>
      </c>
      <c r="W15" s="43" t="s">
        <v>13</v>
      </c>
      <c r="X15" s="165" t="s">
        <v>9</v>
      </c>
      <c r="Y15" s="128" t="s">
        <v>13</v>
      </c>
    </row>
    <row r="16" spans="1:54" ht="28.8" customHeight="1" x14ac:dyDescent="0.55000000000000004">
      <c r="E16" s="142"/>
      <c r="F16" s="142"/>
      <c r="G16" s="142"/>
      <c r="H16" s="142"/>
      <c r="I16" s="142"/>
      <c r="J16" s="42"/>
      <c r="K16" s="42"/>
      <c r="S16" s="17" t="s">
        <v>13</v>
      </c>
      <c r="T16" s="43" t="s">
        <v>13</v>
      </c>
      <c r="U16" s="43" t="s">
        <v>13</v>
      </c>
      <c r="V16" s="43" t="s">
        <v>13</v>
      </c>
      <c r="W16" s="43" t="s">
        <v>13</v>
      </c>
      <c r="X16" s="45" t="s">
        <v>13</v>
      </c>
      <c r="Y16" s="13" t="s">
        <v>13</v>
      </c>
    </row>
    <row r="17" spans="5:25" ht="28.8" customHeight="1" x14ac:dyDescent="0.55000000000000004">
      <c r="E17" s="142"/>
      <c r="F17" s="148"/>
      <c r="G17" s="142"/>
      <c r="H17" s="142"/>
      <c r="I17" s="142"/>
      <c r="J17" s="42"/>
      <c r="K17" s="42"/>
      <c r="S17" s="17" t="s">
        <v>13</v>
      </c>
      <c r="T17" s="138" t="s">
        <v>29</v>
      </c>
      <c r="U17" s="44"/>
      <c r="V17" s="43" t="s">
        <v>13</v>
      </c>
      <c r="W17" s="43" t="s">
        <v>13</v>
      </c>
      <c r="X17" s="123"/>
      <c r="Y17" s="128" t="s">
        <v>13</v>
      </c>
    </row>
    <row r="18" spans="5:25" ht="28.8" customHeight="1" x14ac:dyDescent="0.55000000000000004">
      <c r="E18" s="142"/>
      <c r="F18" s="142"/>
      <c r="G18" s="142"/>
      <c r="H18" s="142"/>
      <c r="I18" s="142"/>
      <c r="J18" s="42"/>
      <c r="K18" s="42"/>
      <c r="S18" s="17" t="s">
        <v>13</v>
      </c>
      <c r="T18" s="43" t="s">
        <v>13</v>
      </c>
      <c r="U18" s="43" t="s">
        <v>13</v>
      </c>
      <c r="V18" s="43" t="s">
        <v>13</v>
      </c>
      <c r="W18" s="43" t="s">
        <v>13</v>
      </c>
      <c r="X18" s="137" t="s">
        <v>13</v>
      </c>
      <c r="Y18" s="128" t="s">
        <v>13</v>
      </c>
    </row>
    <row r="19" spans="5:25" ht="28.8" customHeight="1" x14ac:dyDescent="0.55000000000000004">
      <c r="E19" s="142"/>
      <c r="F19" s="148"/>
      <c r="G19" s="145"/>
      <c r="H19" s="142"/>
      <c r="I19" s="142"/>
      <c r="J19" s="46"/>
      <c r="K19" s="42"/>
      <c r="S19" s="17" t="s">
        <v>13</v>
      </c>
      <c r="T19" s="149" t="s">
        <v>30</v>
      </c>
      <c r="U19" s="43" t="s">
        <v>13</v>
      </c>
      <c r="V19" s="43" t="s">
        <v>13</v>
      </c>
      <c r="W19" s="43" t="s">
        <v>13</v>
      </c>
      <c r="X19" s="123"/>
      <c r="Y19" s="128" t="s">
        <v>13</v>
      </c>
    </row>
    <row r="20" spans="5:25" ht="28.8" customHeight="1" x14ac:dyDescent="0.55000000000000004">
      <c r="E20" s="42"/>
      <c r="F20" s="42"/>
      <c r="G20" s="42"/>
      <c r="H20" s="42"/>
      <c r="I20" s="42"/>
      <c r="J20" s="42"/>
      <c r="K20" s="42"/>
      <c r="S20" s="17" t="s">
        <v>13</v>
      </c>
      <c r="T20" s="43" t="s">
        <v>13</v>
      </c>
      <c r="U20" s="43" t="s">
        <v>13</v>
      </c>
      <c r="V20" s="43" t="s">
        <v>13</v>
      </c>
      <c r="W20" s="43" t="s">
        <v>13</v>
      </c>
      <c r="X20" s="137" t="s">
        <v>13</v>
      </c>
      <c r="Y20" s="128" t="s">
        <v>13</v>
      </c>
    </row>
    <row r="21" spans="5:25" ht="28.8" customHeight="1" thickBot="1" x14ac:dyDescent="0.6">
      <c r="E21" s="42"/>
      <c r="F21" s="42"/>
      <c r="G21" s="42"/>
      <c r="H21" s="42"/>
      <c r="I21" s="42"/>
      <c r="J21" s="42"/>
      <c r="K21" s="42"/>
      <c r="S21" s="20" t="s">
        <v>13</v>
      </c>
      <c r="T21" s="21" t="s">
        <v>13</v>
      </c>
      <c r="U21" s="21" t="s">
        <v>13</v>
      </c>
      <c r="V21" s="21" t="s">
        <v>13</v>
      </c>
      <c r="W21" s="21" t="s">
        <v>13</v>
      </c>
      <c r="X21" s="132" t="s">
        <v>13</v>
      </c>
      <c r="Y21" s="133" t="s">
        <v>13</v>
      </c>
    </row>
    <row r="22" spans="5:25" ht="28.8" customHeight="1" x14ac:dyDescent="0.55000000000000004">
      <c r="S22" s="142" t="s">
        <v>13</v>
      </c>
      <c r="T22" s="142" t="s">
        <v>13</v>
      </c>
      <c r="U22" s="142" t="s">
        <v>13</v>
      </c>
      <c r="V22" s="142" t="s">
        <v>13</v>
      </c>
      <c r="W22" s="142" t="s">
        <v>13</v>
      </c>
      <c r="X22" s="143" t="s">
        <v>13</v>
      </c>
      <c r="Y22" s="143" t="s">
        <v>13</v>
      </c>
    </row>
    <row r="23" spans="5:25" ht="28.8" customHeight="1" x14ac:dyDescent="0.3"/>
    <row r="24" spans="5:25" ht="28.8" customHeight="1" x14ac:dyDescent="0.3"/>
    <row r="25" spans="5:25" ht="28.8" customHeight="1" x14ac:dyDescent="0.3"/>
    <row r="26" spans="5:25" ht="28.8" customHeight="1" x14ac:dyDescent="0.3"/>
    <row r="27" spans="5:25" ht="28.8" customHeight="1" x14ac:dyDescent="0.3"/>
    <row r="28" spans="5:25" ht="28.8" customHeight="1" x14ac:dyDescent="0.3"/>
    <row r="29" spans="5:25" ht="28.8" customHeight="1" x14ac:dyDescent="0.3"/>
    <row r="30" spans="5:25" ht="28.8" customHeight="1" x14ac:dyDescent="0.3"/>
    <row r="31" spans="5:25" ht="28.8" customHeight="1" x14ac:dyDescent="0.3"/>
    <row r="32" spans="5:25" ht="28.8" customHeight="1" x14ac:dyDescent="0.3"/>
    <row r="33" ht="28.8" customHeight="1" x14ac:dyDescent="0.3"/>
    <row r="34" ht="28.8" customHeight="1" x14ac:dyDescent="0.3"/>
    <row r="35" ht="28.8" customHeight="1" x14ac:dyDescent="0.3"/>
    <row r="36" ht="28.8" customHeight="1" x14ac:dyDescent="0.3"/>
    <row r="37" ht="28.8" customHeight="1" x14ac:dyDescent="0.3"/>
    <row r="38" ht="28.8" customHeight="1" x14ac:dyDescent="0.3"/>
    <row r="39" ht="28.8" customHeight="1" x14ac:dyDescent="0.3"/>
    <row r="40" ht="28.8" customHeight="1" x14ac:dyDescent="0.3"/>
    <row r="41" ht="28.8" customHeight="1" x14ac:dyDescent="0.3"/>
    <row r="42" ht="28.8" customHeight="1" x14ac:dyDescent="0.3"/>
    <row r="43" ht="28.8" customHeight="1" x14ac:dyDescent="0.3"/>
    <row r="44" ht="28.8" customHeight="1" x14ac:dyDescent="0.3"/>
    <row r="45" ht="28.8" customHeight="1" x14ac:dyDescent="0.3"/>
    <row r="46" ht="28.8" customHeight="1" x14ac:dyDescent="0.3"/>
    <row r="47" ht="28.8" customHeight="1" x14ac:dyDescent="0.3"/>
    <row r="48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  <row r="67" ht="28.8" customHeight="1" x14ac:dyDescent="0.3"/>
    <row r="68" ht="28.8" customHeight="1" x14ac:dyDescent="0.3"/>
    <row r="69" ht="28.8" customHeight="1" x14ac:dyDescent="0.3"/>
  </sheetData>
  <mergeCells count="2">
    <mergeCell ref="E9:K11"/>
    <mergeCell ref="S11:Y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6E60889-2432-44FF-A233-4199733CE87B}">
          <x14:formula1>
            <xm:f>PRODUÇÃO_REQUISIÇÕES!$Q$14:$Q$17</xm:f>
          </x14:formula1>
          <xm:sqref>X15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1CEE4-BF39-4462-9860-11B1D822B0A0}">
  <sheetPr codeName="Planilha8">
    <tabColor rgb="FFFFC000"/>
  </sheetPr>
  <dimension ref="A1:AY67"/>
  <sheetViews>
    <sheetView zoomScale="40" zoomScaleNormal="40" workbookViewId="0"/>
  </sheetViews>
  <sheetFormatPr defaultRowHeight="14.4" x14ac:dyDescent="0.3"/>
  <cols>
    <col min="1" max="4" width="8.88671875" style="100"/>
    <col min="5" max="5" width="5.6640625" style="100" bestFit="1" customWidth="1"/>
    <col min="6" max="6" width="29.88671875" style="100" bestFit="1" customWidth="1"/>
    <col min="7" max="7" width="49.88671875" style="100" customWidth="1"/>
    <col min="8" max="8" width="30.44140625" style="100" bestFit="1" customWidth="1"/>
    <col min="9" max="9" width="11.33203125" style="100" bestFit="1" customWidth="1"/>
    <col min="10" max="10" width="29.88671875" style="100" bestFit="1" customWidth="1"/>
    <col min="11" max="11" width="49.88671875" style="100" bestFit="1" customWidth="1"/>
    <col min="12" max="12" width="30.44140625" style="100" bestFit="1" customWidth="1"/>
    <col min="13" max="13" width="25.109375" style="100" bestFit="1" customWidth="1"/>
    <col min="14" max="14" width="51.21875" style="100" bestFit="1" customWidth="1"/>
    <col min="15" max="16" width="41.77734375" style="100" bestFit="1" customWidth="1"/>
    <col min="17" max="16384" width="8.88671875" style="100"/>
  </cols>
  <sheetData>
    <row r="1" spans="1:51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</row>
    <row r="2" spans="1:51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</row>
    <row r="3" spans="1:51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</row>
    <row r="4" spans="1:51" ht="46.2" customHeight="1" x14ac:dyDescent="0.3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  <c r="AV4" s="150"/>
      <c r="AW4" s="150"/>
      <c r="AX4" s="150"/>
      <c r="AY4" s="150"/>
    </row>
    <row r="5" spans="1:51" x14ac:dyDescent="0.3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  <c r="AV5" s="150"/>
      <c r="AW5" s="150"/>
      <c r="AX5" s="150"/>
      <c r="AY5" s="150"/>
    </row>
    <row r="6" spans="1:51" x14ac:dyDescent="0.3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  <c r="AV6" s="150"/>
      <c r="AW6" s="150"/>
      <c r="AX6" s="150"/>
      <c r="AY6" s="150"/>
    </row>
    <row r="7" spans="1:51" x14ac:dyDescent="0.3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  <c r="AX7" s="150"/>
      <c r="AY7" s="150"/>
    </row>
    <row r="8" spans="1:51" ht="28.8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</row>
    <row r="9" spans="1:51" ht="28.8" customHeight="1" x14ac:dyDescent="0.3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</row>
    <row r="10" spans="1:51" ht="28.8" customHeight="1" x14ac:dyDescent="0.3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</row>
    <row r="11" spans="1:51" ht="28.8" customHeight="1" x14ac:dyDescent="0.3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</row>
    <row r="12" spans="1:51" ht="28.8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</row>
    <row r="13" spans="1:51" ht="28.8" customHeight="1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</row>
    <row r="14" spans="1:51" ht="28.8" customHeight="1" x14ac:dyDescent="0.3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</row>
    <row r="15" spans="1:51" ht="28.8" customHeight="1" x14ac:dyDescent="0.3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</row>
    <row r="16" spans="1:51" ht="28.8" customHeight="1" x14ac:dyDescent="0.3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</row>
    <row r="17" spans="1:28" ht="28.8" customHeight="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</row>
    <row r="18" spans="1:28" ht="28.8" customHeight="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</row>
    <row r="19" spans="1:28" ht="28.8" customHeight="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</row>
    <row r="20" spans="1:28" ht="28.8" customHeight="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</row>
    <row r="21" spans="1:28" ht="28.8" customHeight="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</row>
    <row r="22" spans="1:28" ht="28.8" customHeight="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</row>
    <row r="23" spans="1:28" ht="28.8" customHeight="1" x14ac:dyDescent="0.3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</row>
    <row r="24" spans="1:28" ht="28.8" customHeight="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</row>
    <row r="25" spans="1:28" ht="28.8" customHeight="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</row>
    <row r="26" spans="1:28" ht="28.8" customHeight="1" x14ac:dyDescent="0.3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</row>
    <row r="27" spans="1:28" ht="28.8" customHeight="1" x14ac:dyDescent="0.3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</row>
    <row r="28" spans="1:28" ht="28.8" customHeight="1" x14ac:dyDescent="0.3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</row>
    <row r="29" spans="1:28" ht="28.8" customHeight="1" x14ac:dyDescent="0.3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</row>
    <row r="30" spans="1:28" ht="28.8" customHeight="1" x14ac:dyDescent="0.3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</row>
    <row r="31" spans="1:28" ht="28.8" customHeight="1" x14ac:dyDescent="0.3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</row>
    <row r="32" spans="1:28" ht="28.8" customHeight="1" x14ac:dyDescent="0.3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</row>
    <row r="33" spans="1:28" ht="28.8" customHeight="1" x14ac:dyDescent="0.3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</row>
    <row r="34" spans="1:28" ht="28.8" customHeight="1" x14ac:dyDescent="0.3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</row>
    <row r="35" spans="1:28" ht="28.8" customHeight="1" x14ac:dyDescent="0.3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</row>
    <row r="36" spans="1:28" ht="28.8" customHeight="1" x14ac:dyDescent="0.3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</row>
    <row r="37" spans="1:28" ht="28.8" customHeight="1" x14ac:dyDescent="0.3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</row>
    <row r="38" spans="1:28" ht="28.8" customHeight="1" x14ac:dyDescent="0.3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</row>
    <row r="39" spans="1:28" ht="28.8" customHeight="1" x14ac:dyDescent="0.3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</row>
    <row r="40" spans="1:28" ht="28.8" customHeight="1" x14ac:dyDescent="0.3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</row>
    <row r="41" spans="1:28" ht="28.8" customHeight="1" x14ac:dyDescent="0.3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</row>
    <row r="42" spans="1:28" ht="28.8" customHeight="1" x14ac:dyDescent="0.3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</row>
    <row r="43" spans="1:28" ht="28.8" customHeight="1" x14ac:dyDescent="0.3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</row>
    <row r="44" spans="1:28" ht="28.8" customHeight="1" x14ac:dyDescent="0.3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</row>
    <row r="45" spans="1:28" ht="28.8" customHeight="1" x14ac:dyDescent="0.3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</row>
    <row r="46" spans="1:28" ht="28.8" customHeight="1" x14ac:dyDescent="0.3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</row>
    <row r="47" spans="1:28" ht="28.8" customHeight="1" x14ac:dyDescent="0.3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</row>
    <row r="48" spans="1:28" ht="28.8" customHeight="1" x14ac:dyDescent="0.3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</row>
    <row r="49" spans="1:28" ht="28.8" customHeight="1" x14ac:dyDescent="0.3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</row>
    <row r="50" spans="1:28" ht="28.8" customHeight="1" x14ac:dyDescent="0.3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</row>
    <row r="51" spans="1:28" ht="28.8" customHeight="1" x14ac:dyDescent="0.3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</row>
    <row r="52" spans="1:28" ht="28.8" customHeight="1" x14ac:dyDescent="0.3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</row>
    <row r="53" spans="1:28" ht="28.8" customHeight="1" x14ac:dyDescent="0.3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</row>
    <row r="54" spans="1:28" ht="28.8" customHeight="1" x14ac:dyDescent="0.3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</row>
    <row r="55" spans="1:28" ht="28.8" customHeight="1" x14ac:dyDescent="0.3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</row>
    <row r="56" spans="1:28" ht="28.8" customHeight="1" x14ac:dyDescent="0.3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</row>
    <row r="57" spans="1:28" ht="28.8" customHeight="1" x14ac:dyDescent="0.3"/>
    <row r="58" spans="1:28" ht="28.8" customHeight="1" x14ac:dyDescent="0.3"/>
    <row r="59" spans="1:28" ht="28.8" customHeight="1" x14ac:dyDescent="0.3"/>
    <row r="60" spans="1:28" ht="28.8" customHeight="1" x14ac:dyDescent="0.3"/>
    <row r="61" spans="1:28" ht="28.8" customHeight="1" x14ac:dyDescent="0.3"/>
    <row r="62" spans="1:28" ht="28.8" customHeight="1" x14ac:dyDescent="0.3"/>
    <row r="63" spans="1:28" ht="28.8" customHeight="1" x14ac:dyDescent="0.3"/>
    <row r="64" spans="1:28" ht="28.8" customHeight="1" x14ac:dyDescent="0.3"/>
    <row r="65" ht="28.8" customHeight="1" x14ac:dyDescent="0.3"/>
    <row r="66" ht="28.8" customHeight="1" x14ac:dyDescent="0.3"/>
    <row r="67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A7637-ED17-407C-8138-A3434EAF3E99}">
  <sheetPr codeName="Planilha6">
    <tabColor rgb="FFFFC000"/>
  </sheetPr>
  <dimension ref="A1:AY67"/>
  <sheetViews>
    <sheetView zoomScale="40" zoomScaleNormal="40" workbookViewId="0">
      <selection activeCell="J13" sqref="J13"/>
    </sheetView>
  </sheetViews>
  <sheetFormatPr defaultRowHeight="14.4" x14ac:dyDescent="0.3"/>
  <cols>
    <col min="5" max="5" width="5.6640625" bestFit="1" customWidth="1"/>
    <col min="6" max="6" width="29.88671875" bestFit="1" customWidth="1"/>
    <col min="7" max="7" width="49.88671875" customWidth="1"/>
    <col min="8" max="8" width="30.44140625" bestFit="1" customWidth="1"/>
    <col min="9" max="9" width="11.33203125" bestFit="1" customWidth="1"/>
    <col min="10" max="10" width="29.88671875" bestFit="1" customWidth="1"/>
    <col min="11" max="11" width="49.88671875" bestFit="1" customWidth="1"/>
    <col min="12" max="12" width="30.44140625" bestFit="1" customWidth="1"/>
    <col min="13" max="13" width="25.109375" bestFit="1" customWidth="1"/>
    <col min="14" max="14" width="51.21875" bestFit="1" customWidth="1"/>
    <col min="15" max="16" width="41.77734375" bestFit="1" customWidth="1"/>
  </cols>
  <sheetData>
    <row r="1" spans="1:51" s="100" customFormat="1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</row>
    <row r="2" spans="1:51" s="100" customFormat="1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</row>
    <row r="3" spans="1:51" ht="61.2" customHeight="1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</row>
    <row r="4" spans="1:51" s="100" customFormat="1" ht="46.2" customHeight="1" x14ac:dyDescent="0.3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  <c r="AV4" s="150"/>
      <c r="AW4" s="150"/>
      <c r="AX4" s="150"/>
      <c r="AY4" s="150"/>
    </row>
    <row r="5" spans="1:51" x14ac:dyDescent="0.3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  <c r="AV5" s="150"/>
      <c r="AW5" s="150"/>
      <c r="AX5" s="150"/>
      <c r="AY5" s="150"/>
    </row>
    <row r="6" spans="1:51" x14ac:dyDescent="0.3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  <c r="AV6" s="150"/>
      <c r="AW6" s="150"/>
      <c r="AX6" s="150"/>
      <c r="AY6" s="150"/>
    </row>
    <row r="7" spans="1:51" x14ac:dyDescent="0.3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  <c r="AX7" s="150"/>
      <c r="AY7" s="150"/>
    </row>
    <row r="8" spans="1:51" ht="28.8" customHeight="1" x14ac:dyDescent="0.3"/>
    <row r="9" spans="1:51" ht="28.8" customHeight="1" x14ac:dyDescent="0.3"/>
    <row r="10" spans="1:51" ht="28.8" customHeight="1" x14ac:dyDescent="0.3"/>
    <row r="11" spans="1:51" ht="28.8" customHeight="1" x14ac:dyDescent="0.3"/>
    <row r="12" spans="1:51" ht="28.8" customHeight="1" x14ac:dyDescent="0.3">
      <c r="I12" s="151" t="s">
        <v>400</v>
      </c>
      <c r="J12" s="151" t="s">
        <v>32</v>
      </c>
      <c r="K12" s="151" t="s">
        <v>33</v>
      </c>
      <c r="L12" s="151" t="s">
        <v>34</v>
      </c>
      <c r="M12" s="151" t="s">
        <v>35</v>
      </c>
      <c r="N12" s="151" t="s">
        <v>36</v>
      </c>
      <c r="O12" s="151" t="s">
        <v>37</v>
      </c>
    </row>
    <row r="13" spans="1:51" ht="28.8" customHeight="1" x14ac:dyDescent="0.3">
      <c r="I13" s="152">
        <v>1</v>
      </c>
      <c r="J13" s="152" t="s">
        <v>38</v>
      </c>
      <c r="K13" s="152" t="s">
        <v>39</v>
      </c>
      <c r="L13" s="152" t="s">
        <v>40</v>
      </c>
      <c r="M13" s="152" t="s">
        <v>41</v>
      </c>
      <c r="N13" s="152" t="s">
        <v>42</v>
      </c>
      <c r="O13" s="152" t="s">
        <v>43</v>
      </c>
    </row>
    <row r="14" spans="1:51" ht="28.8" customHeight="1" x14ac:dyDescent="0.3">
      <c r="I14" s="152">
        <f>I13+1</f>
        <v>2</v>
      </c>
      <c r="J14" s="152" t="s">
        <v>44</v>
      </c>
      <c r="K14" s="152" t="s">
        <v>45</v>
      </c>
      <c r="L14" s="152" t="s">
        <v>40</v>
      </c>
      <c r="M14" s="152" t="s">
        <v>46</v>
      </c>
      <c r="N14" s="152" t="s">
        <v>47</v>
      </c>
      <c r="O14" s="152" t="s">
        <v>48</v>
      </c>
    </row>
    <row r="15" spans="1:51" ht="28.8" customHeight="1" x14ac:dyDescent="0.3">
      <c r="I15" s="152">
        <f t="shared" ref="I15:I32" si="0">I14+1</f>
        <v>3</v>
      </c>
      <c r="J15" s="152" t="s">
        <v>49</v>
      </c>
      <c r="K15" s="152" t="s">
        <v>50</v>
      </c>
      <c r="L15" s="152" t="s">
        <v>51</v>
      </c>
      <c r="M15" s="152" t="s">
        <v>52</v>
      </c>
      <c r="N15" s="152" t="s">
        <v>53</v>
      </c>
      <c r="O15" s="152" t="s">
        <v>54</v>
      </c>
    </row>
    <row r="16" spans="1:51" ht="28.8" customHeight="1" x14ac:dyDescent="0.3">
      <c r="I16" s="152">
        <f t="shared" si="0"/>
        <v>4</v>
      </c>
      <c r="J16" s="152" t="s">
        <v>55</v>
      </c>
      <c r="K16" s="152" t="s">
        <v>56</v>
      </c>
      <c r="L16" s="152" t="s">
        <v>57</v>
      </c>
      <c r="M16" s="152" t="s">
        <v>58</v>
      </c>
      <c r="N16" s="152" t="s">
        <v>59</v>
      </c>
      <c r="O16" s="152" t="s">
        <v>60</v>
      </c>
    </row>
    <row r="17" spans="9:15" ht="28.8" customHeight="1" x14ac:dyDescent="0.3">
      <c r="I17" s="152">
        <f t="shared" si="0"/>
        <v>5</v>
      </c>
      <c r="J17" s="152" t="s">
        <v>61</v>
      </c>
      <c r="K17" s="152" t="s">
        <v>62</v>
      </c>
      <c r="L17" s="152" t="s">
        <v>63</v>
      </c>
      <c r="M17" s="152" t="s">
        <v>64</v>
      </c>
      <c r="N17" s="152" t="s">
        <v>65</v>
      </c>
      <c r="O17" s="152" t="s">
        <v>66</v>
      </c>
    </row>
    <row r="18" spans="9:15" ht="28.8" customHeight="1" x14ac:dyDescent="0.3">
      <c r="I18" s="152">
        <f t="shared" si="0"/>
        <v>6</v>
      </c>
      <c r="J18" s="152" t="s">
        <v>67</v>
      </c>
      <c r="K18" s="152" t="s">
        <v>68</v>
      </c>
      <c r="L18" s="152" t="s">
        <v>69</v>
      </c>
      <c r="M18" s="152" t="s">
        <v>70</v>
      </c>
      <c r="N18" s="152" t="s">
        <v>71</v>
      </c>
      <c r="O18" s="152" t="s">
        <v>72</v>
      </c>
    </row>
    <row r="19" spans="9:15" ht="28.8" customHeight="1" x14ac:dyDescent="0.3">
      <c r="I19" s="152">
        <f t="shared" si="0"/>
        <v>7</v>
      </c>
      <c r="J19" s="152" t="s">
        <v>73</v>
      </c>
      <c r="K19" s="152" t="s">
        <v>74</v>
      </c>
      <c r="L19" s="152" t="s">
        <v>75</v>
      </c>
      <c r="M19" s="152" t="s">
        <v>76</v>
      </c>
      <c r="N19" s="152" t="s">
        <v>77</v>
      </c>
      <c r="O19" s="152" t="s">
        <v>78</v>
      </c>
    </row>
    <row r="20" spans="9:15" ht="28.8" customHeight="1" x14ac:dyDescent="0.3">
      <c r="I20" s="152">
        <f t="shared" si="0"/>
        <v>8</v>
      </c>
      <c r="J20" s="152" t="s">
        <v>79</v>
      </c>
      <c r="K20" s="152" t="s">
        <v>80</v>
      </c>
      <c r="L20" s="152" t="s">
        <v>81</v>
      </c>
      <c r="M20" s="152" t="s">
        <v>82</v>
      </c>
      <c r="N20" s="152" t="s">
        <v>83</v>
      </c>
      <c r="O20" s="152" t="s">
        <v>84</v>
      </c>
    </row>
    <row r="21" spans="9:15" ht="28.8" customHeight="1" x14ac:dyDescent="0.3">
      <c r="I21" s="152">
        <f t="shared" si="0"/>
        <v>9</v>
      </c>
      <c r="J21" s="152" t="s">
        <v>85</v>
      </c>
      <c r="K21" s="152" t="s">
        <v>86</v>
      </c>
      <c r="L21" s="152" t="s">
        <v>87</v>
      </c>
      <c r="M21" s="152" t="s">
        <v>88</v>
      </c>
      <c r="N21" s="152" t="s">
        <v>89</v>
      </c>
      <c r="O21" s="152" t="s">
        <v>90</v>
      </c>
    </row>
    <row r="22" spans="9:15" ht="28.8" customHeight="1" x14ac:dyDescent="0.3">
      <c r="I22" s="152">
        <f t="shared" si="0"/>
        <v>10</v>
      </c>
      <c r="J22" s="152" t="s">
        <v>91</v>
      </c>
      <c r="K22" s="152" t="s">
        <v>92</v>
      </c>
      <c r="L22" s="152" t="s">
        <v>93</v>
      </c>
      <c r="M22" s="152" t="s">
        <v>94</v>
      </c>
      <c r="N22" s="152" t="s">
        <v>95</v>
      </c>
      <c r="O22" s="152" t="s">
        <v>96</v>
      </c>
    </row>
    <row r="23" spans="9:15" ht="28.8" customHeight="1" x14ac:dyDescent="0.3">
      <c r="I23" s="152">
        <f t="shared" si="0"/>
        <v>11</v>
      </c>
      <c r="J23" s="152" t="s">
        <v>97</v>
      </c>
      <c r="K23" s="152" t="s">
        <v>98</v>
      </c>
      <c r="L23" s="152" t="s">
        <v>99</v>
      </c>
      <c r="M23" s="152" t="s">
        <v>100</v>
      </c>
      <c r="N23" s="152" t="s">
        <v>101</v>
      </c>
      <c r="O23" s="152" t="s">
        <v>102</v>
      </c>
    </row>
    <row r="24" spans="9:15" ht="28.8" customHeight="1" x14ac:dyDescent="0.3">
      <c r="I24" s="152">
        <f t="shared" si="0"/>
        <v>12</v>
      </c>
      <c r="J24" s="152" t="s">
        <v>103</v>
      </c>
      <c r="K24" s="152" t="s">
        <v>104</v>
      </c>
      <c r="L24" s="152" t="s">
        <v>105</v>
      </c>
      <c r="M24" s="152" t="s">
        <v>106</v>
      </c>
      <c r="N24" s="152" t="s">
        <v>107</v>
      </c>
      <c r="O24" s="152" t="s">
        <v>108</v>
      </c>
    </row>
    <row r="25" spans="9:15" ht="28.8" customHeight="1" x14ac:dyDescent="0.3">
      <c r="I25" s="152">
        <f t="shared" si="0"/>
        <v>13</v>
      </c>
      <c r="J25" s="152" t="s">
        <v>109</v>
      </c>
      <c r="K25" s="152" t="s">
        <v>110</v>
      </c>
      <c r="L25" s="152" t="s">
        <v>111</v>
      </c>
      <c r="M25" s="152" t="s">
        <v>112</v>
      </c>
      <c r="N25" s="152" t="s">
        <v>113</v>
      </c>
      <c r="O25" s="152" t="s">
        <v>114</v>
      </c>
    </row>
    <row r="26" spans="9:15" ht="28.8" customHeight="1" x14ac:dyDescent="0.3">
      <c r="I26" s="152">
        <f t="shared" si="0"/>
        <v>14</v>
      </c>
      <c r="J26" s="152" t="s">
        <v>115</v>
      </c>
      <c r="K26" s="152" t="s">
        <v>116</v>
      </c>
      <c r="L26" s="152" t="s">
        <v>117</v>
      </c>
      <c r="M26" s="152" t="s">
        <v>118</v>
      </c>
      <c r="N26" s="152" t="s">
        <v>119</v>
      </c>
      <c r="O26" s="152" t="s">
        <v>120</v>
      </c>
    </row>
    <row r="27" spans="9:15" ht="28.8" customHeight="1" x14ac:dyDescent="0.3">
      <c r="I27" s="152">
        <f t="shared" si="0"/>
        <v>15</v>
      </c>
      <c r="J27" s="152" t="s">
        <v>121</v>
      </c>
      <c r="K27" s="152" t="s">
        <v>122</v>
      </c>
      <c r="L27" s="152" t="s">
        <v>123</v>
      </c>
      <c r="M27" s="152" t="s">
        <v>124</v>
      </c>
      <c r="N27" s="152" t="s">
        <v>125</v>
      </c>
      <c r="O27" s="152" t="s">
        <v>126</v>
      </c>
    </row>
    <row r="28" spans="9:15" ht="28.8" customHeight="1" x14ac:dyDescent="0.3">
      <c r="I28" s="152">
        <f t="shared" si="0"/>
        <v>16</v>
      </c>
      <c r="J28" s="152" t="s">
        <v>127</v>
      </c>
      <c r="K28" s="152" t="s">
        <v>128</v>
      </c>
      <c r="L28" s="152" t="s">
        <v>129</v>
      </c>
      <c r="M28" s="152" t="s">
        <v>130</v>
      </c>
      <c r="N28" s="152" t="s">
        <v>131</v>
      </c>
      <c r="O28" s="152" t="s">
        <v>102</v>
      </c>
    </row>
    <row r="29" spans="9:15" ht="28.8" customHeight="1" x14ac:dyDescent="0.3">
      <c r="I29" s="152">
        <f t="shared" si="0"/>
        <v>17</v>
      </c>
      <c r="J29" s="152" t="s">
        <v>132</v>
      </c>
      <c r="K29" s="152" t="s">
        <v>133</v>
      </c>
      <c r="L29" s="152" t="s">
        <v>134</v>
      </c>
      <c r="M29" s="152" t="s">
        <v>135</v>
      </c>
      <c r="N29" s="152" t="s">
        <v>136</v>
      </c>
      <c r="O29" s="152" t="s">
        <v>108</v>
      </c>
    </row>
    <row r="30" spans="9:15" ht="28.8" customHeight="1" x14ac:dyDescent="0.3">
      <c r="I30" s="152">
        <f t="shared" si="0"/>
        <v>18</v>
      </c>
      <c r="J30" s="152" t="s">
        <v>137</v>
      </c>
      <c r="K30" s="152" t="s">
        <v>138</v>
      </c>
      <c r="L30" s="152" t="s">
        <v>139</v>
      </c>
      <c r="M30" s="152" t="s">
        <v>140</v>
      </c>
      <c r="N30" s="152" t="s">
        <v>141</v>
      </c>
      <c r="O30" s="152" t="s">
        <v>142</v>
      </c>
    </row>
    <row r="31" spans="9:15" ht="28.8" customHeight="1" x14ac:dyDescent="0.3">
      <c r="I31" s="152">
        <f t="shared" si="0"/>
        <v>19</v>
      </c>
      <c r="J31" s="152" t="s">
        <v>143</v>
      </c>
      <c r="K31" s="152" t="s">
        <v>144</v>
      </c>
      <c r="L31" s="152" t="s">
        <v>145</v>
      </c>
      <c r="M31" s="152" t="s">
        <v>146</v>
      </c>
      <c r="N31" s="152" t="s">
        <v>147</v>
      </c>
      <c r="O31" s="152" t="s">
        <v>96</v>
      </c>
    </row>
    <row r="32" spans="9:15" ht="28.8" customHeight="1" x14ac:dyDescent="0.3">
      <c r="I32" s="152">
        <f t="shared" si="0"/>
        <v>20</v>
      </c>
      <c r="J32" s="152" t="s">
        <v>148</v>
      </c>
      <c r="K32" s="152" t="s">
        <v>149</v>
      </c>
      <c r="L32" s="152" t="s">
        <v>150</v>
      </c>
      <c r="M32" s="152" t="s">
        <v>151</v>
      </c>
      <c r="N32" s="152" t="s">
        <v>152</v>
      </c>
      <c r="O32" s="152" t="s">
        <v>78</v>
      </c>
    </row>
    <row r="33" ht="28.8" customHeight="1" x14ac:dyDescent="0.3"/>
    <row r="34" ht="28.8" customHeight="1" x14ac:dyDescent="0.3"/>
    <row r="35" ht="28.8" customHeight="1" x14ac:dyDescent="0.3"/>
    <row r="36" ht="28.8" customHeight="1" x14ac:dyDescent="0.3"/>
    <row r="37" ht="28.8" customHeight="1" x14ac:dyDescent="0.3"/>
    <row r="38" ht="28.8" customHeight="1" x14ac:dyDescent="0.3"/>
    <row r="39" ht="28.8" customHeight="1" x14ac:dyDescent="0.3"/>
    <row r="40" ht="28.8" customHeight="1" x14ac:dyDescent="0.3"/>
    <row r="41" ht="28.8" customHeight="1" x14ac:dyDescent="0.3"/>
    <row r="42" ht="28.8" customHeight="1" x14ac:dyDescent="0.3"/>
    <row r="43" ht="28.8" customHeight="1" x14ac:dyDescent="0.3"/>
    <row r="44" ht="28.8" customHeight="1" x14ac:dyDescent="0.3"/>
    <row r="45" ht="28.8" customHeight="1" x14ac:dyDescent="0.3"/>
    <row r="46" ht="28.8" customHeight="1" x14ac:dyDescent="0.3"/>
    <row r="47" ht="28.8" customHeight="1" x14ac:dyDescent="0.3"/>
    <row r="48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  <row r="67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28470-B281-4DE9-829E-052D86ED25D1}">
  <sheetPr codeName="Planilha29">
    <tabColor rgb="FFFFC000"/>
  </sheetPr>
  <dimension ref="A1:AY66"/>
  <sheetViews>
    <sheetView zoomScale="40" zoomScaleNormal="40" workbookViewId="0">
      <selection activeCell="H36" sqref="H36"/>
    </sheetView>
  </sheetViews>
  <sheetFormatPr defaultRowHeight="14.4" x14ac:dyDescent="0.3"/>
  <cols>
    <col min="1" max="4" width="8.88671875" style="100"/>
    <col min="5" max="5" width="4.5546875" style="100" bestFit="1" customWidth="1"/>
    <col min="6" max="6" width="21.88671875" style="100" bestFit="1" customWidth="1"/>
    <col min="7" max="7" width="26" style="100" bestFit="1" customWidth="1"/>
    <col min="8" max="8" width="19.44140625" style="100" bestFit="1" customWidth="1"/>
    <col min="9" max="9" width="12.109375" style="100" bestFit="1" customWidth="1"/>
    <col min="10" max="10" width="12.6640625" style="100" bestFit="1" customWidth="1"/>
    <col min="11" max="11" width="5.6640625" style="100" bestFit="1" customWidth="1"/>
    <col min="12" max="12" width="31.77734375" style="100" bestFit="1" customWidth="1"/>
    <col min="13" max="13" width="26.5546875" style="100" bestFit="1" customWidth="1"/>
    <col min="14" max="14" width="44.33203125" style="100" bestFit="1" customWidth="1"/>
    <col min="15" max="15" width="28.77734375" style="100" bestFit="1" customWidth="1"/>
    <col min="16" max="16" width="32.6640625" style="100" bestFit="1" customWidth="1"/>
    <col min="17" max="17" width="37.33203125" style="100" bestFit="1" customWidth="1"/>
    <col min="18" max="18" width="30.44140625" style="100" bestFit="1" customWidth="1"/>
    <col min="19" max="16384" width="8.88671875" style="100"/>
  </cols>
  <sheetData>
    <row r="1" spans="1:51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</row>
    <row r="2" spans="1:51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</row>
    <row r="3" spans="1:51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</row>
    <row r="4" spans="1:51" ht="46.2" customHeight="1" x14ac:dyDescent="0.3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  <c r="AV4" s="150"/>
      <c r="AW4" s="150"/>
      <c r="AX4" s="150"/>
      <c r="AY4" s="150"/>
    </row>
    <row r="5" spans="1:51" x14ac:dyDescent="0.3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  <c r="AV5" s="150"/>
      <c r="AW5" s="150"/>
      <c r="AX5" s="150"/>
      <c r="AY5" s="150"/>
    </row>
    <row r="6" spans="1:51" x14ac:dyDescent="0.3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  <c r="AV6" s="150"/>
      <c r="AW6" s="150"/>
      <c r="AX6" s="150"/>
      <c r="AY6" s="150"/>
    </row>
    <row r="7" spans="1:51" x14ac:dyDescent="0.3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  <c r="AX7" s="150"/>
      <c r="AY7" s="150"/>
    </row>
    <row r="8" spans="1:51" ht="28.8" customHeight="1" x14ac:dyDescent="0.3"/>
    <row r="9" spans="1:51" ht="28.8" customHeight="1" x14ac:dyDescent="0.3"/>
    <row r="10" spans="1:51" ht="28.8" customHeight="1" x14ac:dyDescent="0.3"/>
    <row r="11" spans="1:51" ht="28.8" customHeight="1" x14ac:dyDescent="0.3"/>
    <row r="12" spans="1:51" ht="28.8" customHeight="1" x14ac:dyDescent="0.3"/>
    <row r="13" spans="1:51" ht="28.8" customHeight="1" x14ac:dyDescent="0.3">
      <c r="K13" s="151" t="s">
        <v>31</v>
      </c>
      <c r="L13" s="154" t="s">
        <v>153</v>
      </c>
      <c r="M13" s="154" t="s">
        <v>154</v>
      </c>
      <c r="N13" s="155" t="s">
        <v>155</v>
      </c>
      <c r="O13" s="154" t="s">
        <v>156</v>
      </c>
      <c r="P13" s="154" t="s">
        <v>157</v>
      </c>
      <c r="Q13" s="154" t="s">
        <v>158</v>
      </c>
      <c r="R13" s="154" t="s">
        <v>159</v>
      </c>
    </row>
    <row r="14" spans="1:51" ht="28.8" customHeight="1" x14ac:dyDescent="0.3">
      <c r="K14" s="152">
        <v>1</v>
      </c>
      <c r="L14" s="152" t="s">
        <v>160</v>
      </c>
      <c r="M14" s="152" t="s">
        <v>161</v>
      </c>
      <c r="N14" s="153">
        <v>10000</v>
      </c>
      <c r="O14" s="152" t="s">
        <v>162</v>
      </c>
      <c r="P14" s="152" t="s">
        <v>163</v>
      </c>
      <c r="Q14" s="152" t="s">
        <v>41</v>
      </c>
      <c r="R14" s="152" t="s">
        <v>164</v>
      </c>
    </row>
    <row r="15" spans="1:51" ht="28.8" customHeight="1" x14ac:dyDescent="0.3">
      <c r="K15" s="152">
        <f>K14+1</f>
        <v>2</v>
      </c>
      <c r="L15" s="152" t="s">
        <v>165</v>
      </c>
      <c r="M15" s="152" t="s">
        <v>166</v>
      </c>
      <c r="N15" s="153">
        <v>2000</v>
      </c>
      <c r="O15" s="152" t="s">
        <v>167</v>
      </c>
      <c r="P15" s="152" t="s">
        <v>168</v>
      </c>
      <c r="Q15" s="152" t="s">
        <v>169</v>
      </c>
      <c r="R15" s="152" t="s">
        <v>170</v>
      </c>
    </row>
    <row r="16" spans="1:51" ht="28.8" customHeight="1" x14ac:dyDescent="0.3">
      <c r="K16" s="152">
        <f t="shared" ref="K16:K33" si="0">K15+1</f>
        <v>3</v>
      </c>
      <c r="L16" s="152" t="s">
        <v>171</v>
      </c>
      <c r="M16" s="152" t="s">
        <v>161</v>
      </c>
      <c r="N16" s="153">
        <v>15000</v>
      </c>
      <c r="O16" s="152" t="s">
        <v>172</v>
      </c>
      <c r="P16" s="152" t="s">
        <v>173</v>
      </c>
      <c r="Q16" s="152" t="s">
        <v>174</v>
      </c>
      <c r="R16" s="152" t="s">
        <v>175</v>
      </c>
    </row>
    <row r="17" spans="11:18" ht="28.8" customHeight="1" x14ac:dyDescent="0.3">
      <c r="K17" s="152">
        <f t="shared" si="0"/>
        <v>4</v>
      </c>
      <c r="L17" s="152" t="s">
        <v>176</v>
      </c>
      <c r="M17" s="152" t="s">
        <v>177</v>
      </c>
      <c r="N17" s="153">
        <v>1200</v>
      </c>
      <c r="O17" s="152" t="s">
        <v>178</v>
      </c>
      <c r="P17" s="152" t="s">
        <v>179</v>
      </c>
      <c r="Q17" s="152" t="s">
        <v>58</v>
      </c>
      <c r="R17" s="152" t="s">
        <v>164</v>
      </c>
    </row>
    <row r="18" spans="11:18" ht="28.8" customHeight="1" x14ac:dyDescent="0.3">
      <c r="K18" s="152">
        <f t="shared" si="0"/>
        <v>5</v>
      </c>
      <c r="L18" s="152" t="s">
        <v>180</v>
      </c>
      <c r="M18" s="152" t="s">
        <v>161</v>
      </c>
      <c r="N18" s="153">
        <v>12500</v>
      </c>
      <c r="O18" s="152" t="s">
        <v>181</v>
      </c>
      <c r="P18" s="152" t="s">
        <v>61</v>
      </c>
      <c r="Q18" s="152" t="s">
        <v>182</v>
      </c>
      <c r="R18" s="152" t="s">
        <v>164</v>
      </c>
    </row>
    <row r="19" spans="11:18" ht="28.8" customHeight="1" x14ac:dyDescent="0.3">
      <c r="K19" s="152">
        <f t="shared" si="0"/>
        <v>6</v>
      </c>
      <c r="L19" s="152" t="s">
        <v>183</v>
      </c>
      <c r="M19" s="152" t="s">
        <v>161</v>
      </c>
      <c r="N19" s="153">
        <v>8000</v>
      </c>
      <c r="O19" s="152" t="s">
        <v>184</v>
      </c>
      <c r="P19" s="152" t="s">
        <v>185</v>
      </c>
      <c r="Q19" s="152" t="s">
        <v>186</v>
      </c>
      <c r="R19" s="152" t="s">
        <v>175</v>
      </c>
    </row>
    <row r="20" spans="11:18" ht="28.8" customHeight="1" x14ac:dyDescent="0.3">
      <c r="K20" s="152">
        <f t="shared" si="0"/>
        <v>7</v>
      </c>
      <c r="L20" s="152" t="s">
        <v>187</v>
      </c>
      <c r="M20" s="152" t="s">
        <v>166</v>
      </c>
      <c r="N20" s="153">
        <v>2500</v>
      </c>
      <c r="O20" s="152" t="s">
        <v>188</v>
      </c>
      <c r="P20" s="152" t="s">
        <v>189</v>
      </c>
      <c r="Q20" s="152" t="s">
        <v>190</v>
      </c>
      <c r="R20" s="152" t="s">
        <v>170</v>
      </c>
    </row>
    <row r="21" spans="11:18" ht="28.8" customHeight="1" x14ac:dyDescent="0.3">
      <c r="K21" s="152">
        <f t="shared" si="0"/>
        <v>8</v>
      </c>
      <c r="L21" s="152" t="s">
        <v>191</v>
      </c>
      <c r="M21" s="152" t="s">
        <v>177</v>
      </c>
      <c r="N21" s="153">
        <v>1800</v>
      </c>
      <c r="O21" s="152" t="s">
        <v>192</v>
      </c>
      <c r="P21" s="152" t="s">
        <v>193</v>
      </c>
      <c r="Q21" s="152" t="s">
        <v>82</v>
      </c>
      <c r="R21" s="152" t="s">
        <v>164</v>
      </c>
    </row>
    <row r="22" spans="11:18" ht="28.8" customHeight="1" x14ac:dyDescent="0.3">
      <c r="K22" s="152">
        <f t="shared" si="0"/>
        <v>9</v>
      </c>
      <c r="L22" s="152" t="s">
        <v>194</v>
      </c>
      <c r="M22" s="152" t="s">
        <v>161</v>
      </c>
      <c r="N22" s="153">
        <v>10500</v>
      </c>
      <c r="O22" s="152" t="s">
        <v>195</v>
      </c>
      <c r="P22" s="152" t="s">
        <v>85</v>
      </c>
      <c r="Q22" s="152" t="s">
        <v>88</v>
      </c>
      <c r="R22" s="152" t="s">
        <v>164</v>
      </c>
    </row>
    <row r="23" spans="11:18" ht="28.8" customHeight="1" x14ac:dyDescent="0.3">
      <c r="K23" s="152">
        <f t="shared" si="0"/>
        <v>10</v>
      </c>
      <c r="L23" s="152" t="s">
        <v>196</v>
      </c>
      <c r="M23" s="152" t="s">
        <v>166</v>
      </c>
      <c r="N23" s="153">
        <v>2200</v>
      </c>
      <c r="O23" s="152" t="s">
        <v>197</v>
      </c>
      <c r="P23" s="152" t="s">
        <v>198</v>
      </c>
      <c r="Q23" s="152" t="s">
        <v>94</v>
      </c>
      <c r="R23" s="152" t="s">
        <v>170</v>
      </c>
    </row>
    <row r="24" spans="11:18" ht="28.8" customHeight="1" x14ac:dyDescent="0.3">
      <c r="K24" s="152">
        <f t="shared" si="0"/>
        <v>11</v>
      </c>
      <c r="L24" s="152" t="s">
        <v>199</v>
      </c>
      <c r="M24" s="152" t="s">
        <v>161</v>
      </c>
      <c r="N24" s="153">
        <v>14000</v>
      </c>
      <c r="O24" s="152" t="s">
        <v>200</v>
      </c>
      <c r="P24" s="152" t="s">
        <v>97</v>
      </c>
      <c r="Q24" s="152" t="s">
        <v>100</v>
      </c>
      <c r="R24" s="152" t="s">
        <v>164</v>
      </c>
    </row>
    <row r="25" spans="11:18" ht="28.8" customHeight="1" x14ac:dyDescent="0.3">
      <c r="K25" s="152">
        <f t="shared" si="0"/>
        <v>12</v>
      </c>
      <c r="L25" s="152" t="s">
        <v>201</v>
      </c>
      <c r="M25" s="152" t="s">
        <v>177</v>
      </c>
      <c r="N25" s="153">
        <v>1000</v>
      </c>
      <c r="O25" s="152" t="s">
        <v>202</v>
      </c>
      <c r="P25" s="152" t="s">
        <v>203</v>
      </c>
      <c r="Q25" s="152" t="s">
        <v>106</v>
      </c>
      <c r="R25" s="152" t="s">
        <v>175</v>
      </c>
    </row>
    <row r="26" spans="11:18" ht="28.8" customHeight="1" x14ac:dyDescent="0.3">
      <c r="K26" s="152">
        <f t="shared" si="0"/>
        <v>13</v>
      </c>
      <c r="L26" s="152" t="s">
        <v>204</v>
      </c>
      <c r="M26" s="152" t="s">
        <v>161</v>
      </c>
      <c r="N26" s="153">
        <v>13000</v>
      </c>
      <c r="O26" s="152" t="s">
        <v>205</v>
      </c>
      <c r="P26" s="152" t="s">
        <v>109</v>
      </c>
      <c r="Q26" s="152" t="s">
        <v>112</v>
      </c>
      <c r="R26" s="152" t="s">
        <v>164</v>
      </c>
    </row>
    <row r="27" spans="11:18" ht="28.8" customHeight="1" x14ac:dyDescent="0.3">
      <c r="K27" s="152">
        <f t="shared" si="0"/>
        <v>14</v>
      </c>
      <c r="L27" s="152" t="s">
        <v>206</v>
      </c>
      <c r="M27" s="152" t="s">
        <v>166</v>
      </c>
      <c r="N27" s="153">
        <v>1900</v>
      </c>
      <c r="O27" s="152" t="s">
        <v>207</v>
      </c>
      <c r="P27" s="152" t="s">
        <v>115</v>
      </c>
      <c r="Q27" s="152" t="s">
        <v>118</v>
      </c>
      <c r="R27" s="152" t="s">
        <v>170</v>
      </c>
    </row>
    <row r="28" spans="11:18" ht="28.8" customHeight="1" x14ac:dyDescent="0.3">
      <c r="K28" s="152">
        <f t="shared" si="0"/>
        <v>15</v>
      </c>
      <c r="L28" s="152" t="s">
        <v>208</v>
      </c>
      <c r="M28" s="152" t="s">
        <v>161</v>
      </c>
      <c r="N28" s="153">
        <v>16000</v>
      </c>
      <c r="O28" s="152" t="s">
        <v>209</v>
      </c>
      <c r="P28" s="152" t="s">
        <v>121</v>
      </c>
      <c r="Q28" s="152" t="s">
        <v>124</v>
      </c>
      <c r="R28" s="152" t="s">
        <v>164</v>
      </c>
    </row>
    <row r="29" spans="11:18" ht="28.8" customHeight="1" x14ac:dyDescent="0.3">
      <c r="K29" s="152">
        <f t="shared" si="0"/>
        <v>16</v>
      </c>
      <c r="L29" s="152" t="s">
        <v>210</v>
      </c>
      <c r="M29" s="152" t="s">
        <v>177</v>
      </c>
      <c r="N29" s="153">
        <v>1500</v>
      </c>
      <c r="O29" s="152" t="s">
        <v>211</v>
      </c>
      <c r="P29" s="152" t="s">
        <v>127</v>
      </c>
      <c r="Q29" s="152" t="s">
        <v>130</v>
      </c>
      <c r="R29" s="152" t="s">
        <v>164</v>
      </c>
    </row>
    <row r="30" spans="11:18" ht="28.8" customHeight="1" x14ac:dyDescent="0.3">
      <c r="K30" s="152">
        <f t="shared" si="0"/>
        <v>17</v>
      </c>
      <c r="L30" s="152" t="s">
        <v>212</v>
      </c>
      <c r="M30" s="152" t="s">
        <v>166</v>
      </c>
      <c r="N30" s="153">
        <v>2300</v>
      </c>
      <c r="O30" s="152" t="s">
        <v>213</v>
      </c>
      <c r="P30" s="152" t="s">
        <v>132</v>
      </c>
      <c r="Q30" s="152" t="s">
        <v>135</v>
      </c>
      <c r="R30" s="152" t="s">
        <v>175</v>
      </c>
    </row>
    <row r="31" spans="11:18" ht="28.8" customHeight="1" x14ac:dyDescent="0.3">
      <c r="K31" s="152">
        <f t="shared" si="0"/>
        <v>18</v>
      </c>
      <c r="L31" s="152" t="s">
        <v>214</v>
      </c>
      <c r="M31" s="152" t="s">
        <v>161</v>
      </c>
      <c r="N31" s="153">
        <v>11000</v>
      </c>
      <c r="O31" s="152" t="s">
        <v>215</v>
      </c>
      <c r="P31" s="152" t="s">
        <v>137</v>
      </c>
      <c r="Q31" s="152" t="s">
        <v>140</v>
      </c>
      <c r="R31" s="152" t="s">
        <v>164</v>
      </c>
    </row>
    <row r="32" spans="11:18" ht="28.8" customHeight="1" x14ac:dyDescent="0.3">
      <c r="K32" s="152">
        <f t="shared" si="0"/>
        <v>19</v>
      </c>
      <c r="L32" s="152" t="s">
        <v>216</v>
      </c>
      <c r="M32" s="152" t="s">
        <v>166</v>
      </c>
      <c r="N32" s="153">
        <v>1700</v>
      </c>
      <c r="O32" s="152" t="s">
        <v>217</v>
      </c>
      <c r="P32" s="152" t="s">
        <v>143</v>
      </c>
      <c r="Q32" s="152" t="s">
        <v>146</v>
      </c>
      <c r="R32" s="152" t="s">
        <v>170</v>
      </c>
    </row>
    <row r="33" spans="11:18" ht="28.8" customHeight="1" x14ac:dyDescent="0.3">
      <c r="K33" s="152">
        <f t="shared" si="0"/>
        <v>20</v>
      </c>
      <c r="L33" s="152" t="s">
        <v>218</v>
      </c>
      <c r="M33" s="152" t="s">
        <v>177</v>
      </c>
      <c r="N33" s="153">
        <v>1300</v>
      </c>
      <c r="O33" s="152" t="s">
        <v>219</v>
      </c>
      <c r="P33" s="152" t="s">
        <v>148</v>
      </c>
      <c r="Q33" s="152" t="s">
        <v>151</v>
      </c>
      <c r="R33" s="152" t="s">
        <v>164</v>
      </c>
    </row>
    <row r="34" spans="11:18" ht="28.8" customHeight="1" x14ac:dyDescent="0.3"/>
    <row r="35" spans="11:18" ht="28.8" customHeight="1" x14ac:dyDescent="0.3"/>
    <row r="36" spans="11:18" ht="28.8" customHeight="1" x14ac:dyDescent="0.3"/>
    <row r="37" spans="11:18" ht="28.8" customHeight="1" x14ac:dyDescent="0.3"/>
    <row r="38" spans="11:18" ht="28.8" customHeight="1" x14ac:dyDescent="0.3"/>
    <row r="39" spans="11:18" ht="28.8" customHeight="1" x14ac:dyDescent="0.3"/>
    <row r="40" spans="11:18" ht="28.8" customHeight="1" x14ac:dyDescent="0.3"/>
    <row r="41" spans="11:18" ht="28.8" customHeight="1" x14ac:dyDescent="0.3"/>
    <row r="42" spans="11:18" ht="28.8" customHeight="1" x14ac:dyDescent="0.3"/>
    <row r="43" spans="11:18" ht="28.8" customHeight="1" x14ac:dyDescent="0.3"/>
    <row r="44" spans="11:18" ht="28.8" customHeight="1" x14ac:dyDescent="0.3"/>
    <row r="45" spans="11:18" ht="28.8" customHeight="1" x14ac:dyDescent="0.3"/>
    <row r="46" spans="11:18" ht="28.8" customHeight="1" x14ac:dyDescent="0.3"/>
    <row r="47" spans="11:18" ht="28.8" customHeight="1" x14ac:dyDescent="0.3"/>
    <row r="48" spans="11:18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0AAE6-9E02-4DF5-A528-C6871DA6989C}">
  <sheetPr codeName="Planilha30">
    <tabColor rgb="FFFFC000"/>
  </sheetPr>
  <dimension ref="A1:AY66"/>
  <sheetViews>
    <sheetView zoomScale="40" zoomScaleNormal="40" workbookViewId="0">
      <selection activeCell="AB22" sqref="AB22"/>
    </sheetView>
  </sheetViews>
  <sheetFormatPr defaultRowHeight="14.4" x14ac:dyDescent="0.3"/>
  <cols>
    <col min="1" max="4" width="8.88671875" style="100"/>
    <col min="5" max="5" width="4.5546875" style="100" bestFit="1" customWidth="1"/>
    <col min="6" max="6" width="21.88671875" style="100" bestFit="1" customWidth="1"/>
    <col min="7" max="7" width="26" style="100" bestFit="1" customWidth="1"/>
    <col min="8" max="8" width="19.44140625" style="100" bestFit="1" customWidth="1"/>
    <col min="9" max="9" width="12.109375" style="100" bestFit="1" customWidth="1"/>
    <col min="10" max="10" width="12.6640625" style="100" bestFit="1" customWidth="1"/>
    <col min="11" max="11" width="5.109375" style="100" bestFit="1" customWidth="1"/>
    <col min="12" max="12" width="27.6640625" style="100" bestFit="1" customWidth="1"/>
    <col min="13" max="13" width="24.33203125" style="100" bestFit="1" customWidth="1"/>
    <col min="14" max="14" width="29.88671875" style="100" bestFit="1" customWidth="1"/>
    <col min="15" max="15" width="52.33203125" style="100" bestFit="1" customWidth="1"/>
    <col min="16" max="16" width="27.6640625" style="100" bestFit="1" customWidth="1"/>
    <col min="17" max="17" width="20.44140625" style="100" bestFit="1" customWidth="1"/>
    <col min="18" max="18" width="36" style="100" bestFit="1" customWidth="1"/>
    <col min="19" max="19" width="31.5546875" style="100" bestFit="1" customWidth="1"/>
    <col min="20" max="16384" width="8.88671875" style="100"/>
  </cols>
  <sheetData>
    <row r="1" spans="1:51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</row>
    <row r="2" spans="1:51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</row>
    <row r="3" spans="1:51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</row>
    <row r="4" spans="1:51" ht="46.2" customHeight="1" x14ac:dyDescent="0.3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  <c r="AV4" s="150"/>
      <c r="AW4" s="150"/>
      <c r="AX4" s="150"/>
      <c r="AY4" s="150"/>
    </row>
    <row r="5" spans="1:51" x14ac:dyDescent="0.3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  <c r="AV5" s="150"/>
      <c r="AW5" s="150"/>
      <c r="AX5" s="150"/>
      <c r="AY5" s="150"/>
    </row>
    <row r="6" spans="1:51" x14ac:dyDescent="0.3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  <c r="AV6" s="150"/>
      <c r="AW6" s="150"/>
      <c r="AX6" s="150"/>
      <c r="AY6" s="150"/>
    </row>
    <row r="7" spans="1:51" x14ac:dyDescent="0.3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  <c r="AX7" s="150"/>
      <c r="AY7" s="150"/>
    </row>
    <row r="8" spans="1:51" ht="28.8" customHeight="1" x14ac:dyDescent="0.3"/>
    <row r="9" spans="1:51" ht="28.8" customHeight="1" x14ac:dyDescent="0.3"/>
    <row r="10" spans="1:51" ht="28.8" customHeight="1" x14ac:dyDescent="0.3"/>
    <row r="11" spans="1:51" ht="28.8" customHeight="1" x14ac:dyDescent="0.3"/>
    <row r="12" spans="1:51" ht="28.8" customHeight="1" x14ac:dyDescent="0.3"/>
    <row r="13" spans="1:51" ht="28.8" customHeight="1" x14ac:dyDescent="0.3">
      <c r="K13" s="151" t="s">
        <v>220</v>
      </c>
      <c r="L13" s="151" t="s">
        <v>221</v>
      </c>
      <c r="M13" s="155" t="s">
        <v>222</v>
      </c>
      <c r="N13" s="151" t="s">
        <v>32</v>
      </c>
      <c r="O13" s="151" t="s">
        <v>223</v>
      </c>
      <c r="P13" s="151" t="s">
        <v>224</v>
      </c>
      <c r="Q13" s="151" t="s">
        <v>225</v>
      </c>
      <c r="R13" s="151" t="s">
        <v>226</v>
      </c>
      <c r="S13" s="151" t="s">
        <v>227</v>
      </c>
    </row>
    <row r="14" spans="1:51" ht="28.8" customHeight="1" x14ac:dyDescent="0.3">
      <c r="K14" s="152">
        <v>1</v>
      </c>
      <c r="L14" s="156">
        <v>45604</v>
      </c>
      <c r="M14" s="157">
        <v>0.33333333333333331</v>
      </c>
      <c r="N14" s="152" t="s">
        <v>38</v>
      </c>
      <c r="O14" s="152" t="s">
        <v>228</v>
      </c>
      <c r="P14" s="152" t="s">
        <v>229</v>
      </c>
      <c r="Q14" s="152">
        <v>10</v>
      </c>
      <c r="R14" s="152" t="s">
        <v>161</v>
      </c>
      <c r="S14" s="152" t="s">
        <v>230</v>
      </c>
    </row>
    <row r="15" spans="1:51" ht="28.8" customHeight="1" x14ac:dyDescent="0.3">
      <c r="K15" s="152">
        <f>K14+1</f>
        <v>2</v>
      </c>
      <c r="L15" s="156">
        <v>45604</v>
      </c>
      <c r="M15" s="157">
        <v>0.39583333333333331</v>
      </c>
      <c r="N15" s="152" t="s">
        <v>44</v>
      </c>
      <c r="O15" s="152" t="s">
        <v>231</v>
      </c>
      <c r="P15" s="152" t="s">
        <v>232</v>
      </c>
      <c r="Q15" s="152">
        <v>2</v>
      </c>
      <c r="R15" s="152" t="s">
        <v>166</v>
      </c>
      <c r="S15" s="152" t="s">
        <v>233</v>
      </c>
    </row>
    <row r="16" spans="1:51" ht="28.8" customHeight="1" x14ac:dyDescent="0.3">
      <c r="K16" s="152">
        <f t="shared" ref="K16:K33" si="0">K15+1</f>
        <v>3</v>
      </c>
      <c r="L16" s="156">
        <v>45604</v>
      </c>
      <c r="M16" s="157">
        <v>0.32291666666666669</v>
      </c>
      <c r="N16" s="152" t="s">
        <v>49</v>
      </c>
      <c r="O16" s="152" t="s">
        <v>234</v>
      </c>
      <c r="P16" s="152" t="s">
        <v>235</v>
      </c>
      <c r="Q16" s="152">
        <v>50</v>
      </c>
      <c r="R16" s="152" t="s">
        <v>177</v>
      </c>
      <c r="S16" s="152" t="s">
        <v>230</v>
      </c>
    </row>
    <row r="17" spans="11:19" ht="28.8" customHeight="1" x14ac:dyDescent="0.3">
      <c r="K17" s="152">
        <f t="shared" si="0"/>
        <v>4</v>
      </c>
      <c r="L17" s="156">
        <v>45604</v>
      </c>
      <c r="M17" s="157">
        <v>0.41666666666666669</v>
      </c>
      <c r="N17" s="152" t="s">
        <v>55</v>
      </c>
      <c r="O17" s="152" t="s">
        <v>236</v>
      </c>
      <c r="P17" s="152" t="s">
        <v>237</v>
      </c>
      <c r="Q17" s="152">
        <v>15</v>
      </c>
      <c r="R17" s="152" t="s">
        <v>161</v>
      </c>
      <c r="S17" s="152" t="s">
        <v>230</v>
      </c>
    </row>
    <row r="18" spans="11:19" ht="28.8" customHeight="1" x14ac:dyDescent="0.3">
      <c r="K18" s="152">
        <f t="shared" si="0"/>
        <v>5</v>
      </c>
      <c r="L18" s="156">
        <v>45604</v>
      </c>
      <c r="M18" s="157">
        <v>0.34375</v>
      </c>
      <c r="N18" s="152" t="s">
        <v>61</v>
      </c>
      <c r="O18" s="152" t="s">
        <v>238</v>
      </c>
      <c r="P18" s="152" t="s">
        <v>229</v>
      </c>
      <c r="Q18" s="152">
        <v>100</v>
      </c>
      <c r="R18" s="152" t="s">
        <v>161</v>
      </c>
      <c r="S18" s="152" t="s">
        <v>239</v>
      </c>
    </row>
    <row r="19" spans="11:19" ht="28.8" customHeight="1" x14ac:dyDescent="0.3">
      <c r="K19" s="152">
        <f t="shared" si="0"/>
        <v>6</v>
      </c>
      <c r="L19" s="156">
        <v>45604</v>
      </c>
      <c r="M19" s="157">
        <v>0.375</v>
      </c>
      <c r="N19" s="152" t="s">
        <v>67</v>
      </c>
      <c r="O19" s="152" t="s">
        <v>240</v>
      </c>
      <c r="P19" s="152" t="s">
        <v>232</v>
      </c>
      <c r="Q19" s="152">
        <v>200</v>
      </c>
      <c r="R19" s="152" t="s">
        <v>166</v>
      </c>
      <c r="S19" s="152" t="s">
        <v>230</v>
      </c>
    </row>
    <row r="20" spans="11:19" ht="28.8" customHeight="1" x14ac:dyDescent="0.3">
      <c r="K20" s="152">
        <f t="shared" si="0"/>
        <v>7</v>
      </c>
      <c r="L20" s="156">
        <v>45604</v>
      </c>
      <c r="M20" s="157">
        <v>0.45833333333333331</v>
      </c>
      <c r="N20" s="152" t="s">
        <v>73</v>
      </c>
      <c r="O20" s="152" t="s">
        <v>241</v>
      </c>
      <c r="P20" s="152" t="s">
        <v>235</v>
      </c>
      <c r="Q20" s="152">
        <v>30</v>
      </c>
      <c r="R20" s="152" t="s">
        <v>177</v>
      </c>
      <c r="S20" s="152" t="s">
        <v>233</v>
      </c>
    </row>
    <row r="21" spans="11:19" ht="28.8" customHeight="1" x14ac:dyDescent="0.3">
      <c r="K21" s="152">
        <f t="shared" si="0"/>
        <v>8</v>
      </c>
      <c r="L21" s="156">
        <v>45604</v>
      </c>
      <c r="M21" s="157">
        <v>0.3125</v>
      </c>
      <c r="N21" s="152" t="s">
        <v>79</v>
      </c>
      <c r="O21" s="152" t="s">
        <v>242</v>
      </c>
      <c r="P21" s="152" t="s">
        <v>237</v>
      </c>
      <c r="Q21" s="152">
        <v>20</v>
      </c>
      <c r="R21" s="152" t="s">
        <v>161</v>
      </c>
      <c r="S21" s="152" t="s">
        <v>230</v>
      </c>
    </row>
    <row r="22" spans="11:19" ht="28.8" customHeight="1" x14ac:dyDescent="0.3">
      <c r="K22" s="152">
        <f t="shared" si="0"/>
        <v>9</v>
      </c>
      <c r="L22" s="156">
        <v>45604</v>
      </c>
      <c r="M22" s="157">
        <v>0.40625</v>
      </c>
      <c r="N22" s="152" t="s">
        <v>85</v>
      </c>
      <c r="O22" s="152" t="s">
        <v>243</v>
      </c>
      <c r="P22" s="152" t="s">
        <v>229</v>
      </c>
      <c r="Q22" s="152">
        <v>500</v>
      </c>
      <c r="R22" s="152" t="s">
        <v>161</v>
      </c>
      <c r="S22" s="152" t="s">
        <v>230</v>
      </c>
    </row>
    <row r="23" spans="11:19" ht="28.8" customHeight="1" x14ac:dyDescent="0.3">
      <c r="K23" s="152">
        <f t="shared" si="0"/>
        <v>10</v>
      </c>
      <c r="L23" s="156">
        <v>45604</v>
      </c>
      <c r="M23" s="157">
        <v>0.42708333333333331</v>
      </c>
      <c r="N23" s="152" t="s">
        <v>91</v>
      </c>
      <c r="O23" s="152" t="s">
        <v>244</v>
      </c>
      <c r="P23" s="152" t="s">
        <v>232</v>
      </c>
      <c r="Q23" s="152">
        <v>5</v>
      </c>
      <c r="R23" s="152" t="s">
        <v>166</v>
      </c>
      <c r="S23" s="152" t="s">
        <v>239</v>
      </c>
    </row>
    <row r="24" spans="11:19" ht="28.8" customHeight="1" x14ac:dyDescent="0.3">
      <c r="K24" s="152">
        <f t="shared" si="0"/>
        <v>11</v>
      </c>
      <c r="L24" s="156">
        <v>45604</v>
      </c>
      <c r="M24" s="157">
        <v>0.47916666666666669</v>
      </c>
      <c r="N24" s="152" t="s">
        <v>97</v>
      </c>
      <c r="O24" s="152" t="s">
        <v>245</v>
      </c>
      <c r="P24" s="152" t="s">
        <v>235</v>
      </c>
      <c r="Q24" s="152">
        <v>40</v>
      </c>
      <c r="R24" s="152" t="s">
        <v>161</v>
      </c>
      <c r="S24" s="152" t="s">
        <v>230</v>
      </c>
    </row>
    <row r="25" spans="11:19" ht="28.8" customHeight="1" x14ac:dyDescent="0.3">
      <c r="K25" s="152">
        <f t="shared" si="0"/>
        <v>12</v>
      </c>
      <c r="L25" s="156">
        <v>45604</v>
      </c>
      <c r="M25" s="157">
        <v>0.36458333333333331</v>
      </c>
      <c r="N25" s="152" t="s">
        <v>103</v>
      </c>
      <c r="O25" s="152" t="s">
        <v>246</v>
      </c>
      <c r="P25" s="152" t="s">
        <v>237</v>
      </c>
      <c r="Q25" s="152">
        <v>80</v>
      </c>
      <c r="R25" s="152" t="s">
        <v>177</v>
      </c>
      <c r="S25" s="152" t="s">
        <v>233</v>
      </c>
    </row>
    <row r="26" spans="11:19" ht="28.8" customHeight="1" x14ac:dyDescent="0.3">
      <c r="K26" s="152">
        <f t="shared" si="0"/>
        <v>13</v>
      </c>
      <c r="L26" s="156">
        <v>45604</v>
      </c>
      <c r="M26" s="157">
        <v>0.38541666666666669</v>
      </c>
      <c r="N26" s="152" t="s">
        <v>109</v>
      </c>
      <c r="O26" s="152" t="s">
        <v>247</v>
      </c>
      <c r="P26" s="152" t="s">
        <v>229</v>
      </c>
      <c r="Q26" s="152">
        <v>20</v>
      </c>
      <c r="R26" s="152" t="s">
        <v>161</v>
      </c>
      <c r="S26" s="152" t="s">
        <v>230</v>
      </c>
    </row>
    <row r="27" spans="11:19" ht="28.8" customHeight="1" x14ac:dyDescent="0.3">
      <c r="K27" s="152">
        <f t="shared" si="0"/>
        <v>14</v>
      </c>
      <c r="L27" s="156">
        <v>45604</v>
      </c>
      <c r="M27" s="157">
        <v>0.29166666666666669</v>
      </c>
      <c r="N27" s="152" t="s">
        <v>115</v>
      </c>
      <c r="O27" s="152" t="s">
        <v>248</v>
      </c>
      <c r="P27" s="152" t="s">
        <v>232</v>
      </c>
      <c r="Q27" s="152">
        <v>35</v>
      </c>
      <c r="R27" s="152" t="s">
        <v>166</v>
      </c>
      <c r="S27" s="152" t="s">
        <v>230</v>
      </c>
    </row>
    <row r="28" spans="11:19" ht="28.8" customHeight="1" x14ac:dyDescent="0.3">
      <c r="K28" s="152">
        <f t="shared" si="0"/>
        <v>15</v>
      </c>
      <c r="L28" s="156">
        <v>45604</v>
      </c>
      <c r="M28" s="157">
        <v>0.4375</v>
      </c>
      <c r="N28" s="152" t="s">
        <v>121</v>
      </c>
      <c r="O28" s="152" t="s">
        <v>249</v>
      </c>
      <c r="P28" s="152" t="s">
        <v>235</v>
      </c>
      <c r="Q28" s="152">
        <v>300</v>
      </c>
      <c r="R28" s="152" t="s">
        <v>161</v>
      </c>
      <c r="S28" s="152" t="s">
        <v>239</v>
      </c>
    </row>
    <row r="29" spans="11:19" ht="28.8" customHeight="1" x14ac:dyDescent="0.3">
      <c r="K29" s="152">
        <f t="shared" si="0"/>
        <v>16</v>
      </c>
      <c r="L29" s="156">
        <v>45604</v>
      </c>
      <c r="M29" s="157">
        <v>0.40972222222222221</v>
      </c>
      <c r="N29" s="152" t="s">
        <v>127</v>
      </c>
      <c r="O29" s="152" t="s">
        <v>250</v>
      </c>
      <c r="P29" s="152" t="s">
        <v>237</v>
      </c>
      <c r="Q29" s="152">
        <v>60</v>
      </c>
      <c r="R29" s="152" t="s">
        <v>177</v>
      </c>
      <c r="S29" s="152" t="s">
        <v>230</v>
      </c>
    </row>
    <row r="30" spans="11:19" ht="28.8" customHeight="1" x14ac:dyDescent="0.3">
      <c r="K30" s="152">
        <f t="shared" si="0"/>
        <v>17</v>
      </c>
      <c r="L30" s="156">
        <v>45604</v>
      </c>
      <c r="M30" s="157">
        <v>0.34722222222222221</v>
      </c>
      <c r="N30" s="152" t="s">
        <v>132</v>
      </c>
      <c r="O30" s="152" t="s">
        <v>251</v>
      </c>
      <c r="P30" s="152" t="s">
        <v>229</v>
      </c>
      <c r="Q30" s="152">
        <v>15</v>
      </c>
      <c r="R30" s="152" t="s">
        <v>166</v>
      </c>
      <c r="S30" s="152" t="s">
        <v>233</v>
      </c>
    </row>
    <row r="31" spans="11:19" ht="28.8" customHeight="1" x14ac:dyDescent="0.3">
      <c r="K31" s="152">
        <f t="shared" si="0"/>
        <v>18</v>
      </c>
      <c r="L31" s="156">
        <v>45604</v>
      </c>
      <c r="M31" s="157">
        <v>0.48958333333333331</v>
      </c>
      <c r="N31" s="152" t="s">
        <v>137</v>
      </c>
      <c r="O31" s="152" t="s">
        <v>252</v>
      </c>
      <c r="P31" s="152" t="s">
        <v>232</v>
      </c>
      <c r="Q31" s="152">
        <v>70</v>
      </c>
      <c r="R31" s="152" t="s">
        <v>161</v>
      </c>
      <c r="S31" s="152" t="s">
        <v>230</v>
      </c>
    </row>
    <row r="32" spans="11:19" ht="28.8" customHeight="1" x14ac:dyDescent="0.3">
      <c r="K32" s="152">
        <f t="shared" si="0"/>
        <v>19</v>
      </c>
      <c r="L32" s="156">
        <v>45604</v>
      </c>
      <c r="M32" s="157">
        <v>0.38194444444444442</v>
      </c>
      <c r="N32" s="152" t="s">
        <v>143</v>
      </c>
      <c r="O32" s="152" t="s">
        <v>253</v>
      </c>
      <c r="P32" s="152" t="s">
        <v>235</v>
      </c>
      <c r="Q32" s="152">
        <v>120</v>
      </c>
      <c r="R32" s="152" t="s">
        <v>166</v>
      </c>
      <c r="S32" s="152" t="s">
        <v>230</v>
      </c>
    </row>
    <row r="33" spans="11:19" ht="28.8" customHeight="1" x14ac:dyDescent="0.3">
      <c r="K33" s="152">
        <f t="shared" si="0"/>
        <v>20</v>
      </c>
      <c r="L33" s="156">
        <v>45604</v>
      </c>
      <c r="M33" s="157">
        <v>0.44444444444444442</v>
      </c>
      <c r="N33" s="152" t="s">
        <v>148</v>
      </c>
      <c r="O33" s="152" t="s">
        <v>254</v>
      </c>
      <c r="P33" s="152" t="s">
        <v>237</v>
      </c>
      <c r="Q33" s="152">
        <v>25</v>
      </c>
      <c r="R33" s="152" t="s">
        <v>177</v>
      </c>
      <c r="S33" s="152" t="s">
        <v>230</v>
      </c>
    </row>
    <row r="34" spans="11:19" ht="28.8" customHeight="1" x14ac:dyDescent="0.3"/>
    <row r="35" spans="11:19" ht="28.8" customHeight="1" x14ac:dyDescent="0.3"/>
    <row r="36" spans="11:19" ht="28.8" customHeight="1" x14ac:dyDescent="0.3"/>
    <row r="37" spans="11:19" ht="28.8" customHeight="1" x14ac:dyDescent="0.3"/>
    <row r="38" spans="11:19" ht="28.8" customHeight="1" x14ac:dyDescent="0.3"/>
    <row r="39" spans="11:19" ht="28.8" customHeight="1" x14ac:dyDescent="0.3"/>
    <row r="40" spans="11:19" ht="28.8" customHeight="1" x14ac:dyDescent="0.3"/>
    <row r="41" spans="11:19" ht="28.8" customHeight="1" x14ac:dyDescent="0.3"/>
    <row r="42" spans="11:19" ht="28.8" customHeight="1" x14ac:dyDescent="0.3"/>
    <row r="43" spans="11:19" ht="28.8" customHeight="1" x14ac:dyDescent="0.3"/>
    <row r="44" spans="11:19" ht="28.8" customHeight="1" x14ac:dyDescent="0.3"/>
    <row r="45" spans="11:19" ht="28.8" customHeight="1" x14ac:dyDescent="0.3"/>
    <row r="46" spans="11:19" ht="28.8" customHeight="1" x14ac:dyDescent="0.3"/>
    <row r="47" spans="11:19" ht="28.8" customHeight="1" x14ac:dyDescent="0.3"/>
    <row r="48" spans="11:19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0E2C99-C7C3-43E9-92CE-FE387B7BD4DB}">
  <sheetPr codeName="Planilha31">
    <tabColor rgb="FFFFC000"/>
  </sheetPr>
  <dimension ref="A1:AY66"/>
  <sheetViews>
    <sheetView zoomScale="40" zoomScaleNormal="40" workbookViewId="0">
      <selection activeCell="T26" sqref="T26"/>
    </sheetView>
  </sheetViews>
  <sheetFormatPr defaultRowHeight="14.4" x14ac:dyDescent="0.3"/>
  <cols>
    <col min="1" max="4" width="8.88671875" style="100"/>
    <col min="5" max="5" width="4.5546875" style="100" bestFit="1" customWidth="1"/>
    <col min="6" max="6" width="21.88671875" style="100" bestFit="1" customWidth="1"/>
    <col min="7" max="7" width="26" style="100" bestFit="1" customWidth="1"/>
    <col min="8" max="8" width="19.44140625" style="100" bestFit="1" customWidth="1"/>
    <col min="9" max="9" width="12.109375" style="100" bestFit="1" customWidth="1"/>
    <col min="10" max="10" width="12.6640625" style="100" bestFit="1" customWidth="1"/>
    <col min="11" max="11" width="5.44140625" style="100" bestFit="1" customWidth="1"/>
    <col min="12" max="12" width="25.44140625" style="100" customWidth="1"/>
    <col min="13" max="13" width="26.21875" style="100" customWidth="1"/>
    <col min="14" max="14" width="25.44140625" style="100" customWidth="1"/>
    <col min="15" max="15" width="24.33203125" style="100" customWidth="1"/>
    <col min="16" max="16" width="45.44140625" style="100" bestFit="1" customWidth="1"/>
    <col min="17" max="17" width="20.44140625" style="100" bestFit="1" customWidth="1"/>
    <col min="18" max="18" width="36" style="100" bestFit="1" customWidth="1"/>
    <col min="19" max="19" width="31.5546875" style="100" bestFit="1" customWidth="1"/>
    <col min="20" max="16384" width="8.88671875" style="100"/>
  </cols>
  <sheetData>
    <row r="1" spans="1:51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</row>
    <row r="2" spans="1:51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</row>
    <row r="3" spans="1:51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</row>
    <row r="4" spans="1:51" ht="46.2" customHeight="1" x14ac:dyDescent="0.3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  <c r="AV4" s="150"/>
      <c r="AW4" s="150"/>
      <c r="AX4" s="150"/>
      <c r="AY4" s="150"/>
    </row>
    <row r="5" spans="1:51" x14ac:dyDescent="0.3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  <c r="AV5" s="150"/>
      <c r="AW5" s="150"/>
      <c r="AX5" s="150"/>
      <c r="AY5" s="150"/>
    </row>
    <row r="6" spans="1:51" x14ac:dyDescent="0.3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  <c r="AV6" s="150"/>
      <c r="AW6" s="150"/>
      <c r="AX6" s="150"/>
      <c r="AY6" s="150"/>
    </row>
    <row r="7" spans="1:51" x14ac:dyDescent="0.3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  <c r="AX7" s="150"/>
      <c r="AY7" s="150"/>
    </row>
    <row r="8" spans="1:51" ht="28.8" customHeight="1" x14ac:dyDescent="0.3"/>
    <row r="9" spans="1:51" ht="28.8" customHeight="1" x14ac:dyDescent="0.3"/>
    <row r="10" spans="1:51" ht="28.8" customHeight="1" x14ac:dyDescent="0.3"/>
    <row r="11" spans="1:51" ht="28.8" customHeight="1" x14ac:dyDescent="0.3"/>
    <row r="12" spans="1:51" ht="28.8" customHeight="1" x14ac:dyDescent="0.3"/>
    <row r="13" spans="1:51" ht="28.8" customHeight="1" x14ac:dyDescent="0.3">
      <c r="K13" s="154" t="s">
        <v>220</v>
      </c>
      <c r="L13" s="154" t="s">
        <v>255</v>
      </c>
      <c r="M13" s="154" t="s">
        <v>256</v>
      </c>
      <c r="N13" s="154" t="s">
        <v>257</v>
      </c>
      <c r="O13" s="154" t="s">
        <v>258</v>
      </c>
      <c r="P13" s="154" t="s">
        <v>259</v>
      </c>
    </row>
    <row r="14" spans="1:51" ht="28.8" customHeight="1" x14ac:dyDescent="0.3">
      <c r="K14" s="152">
        <v>1</v>
      </c>
      <c r="L14" s="158">
        <v>50</v>
      </c>
      <c r="M14" s="153">
        <v>1000</v>
      </c>
      <c r="N14" s="159">
        <f>L14*M14</f>
        <v>50000</v>
      </c>
      <c r="O14" s="159">
        <f>L14*M14+N14</f>
        <v>100000</v>
      </c>
      <c r="P14" s="152" t="s">
        <v>260</v>
      </c>
    </row>
    <row r="15" spans="1:51" ht="28.8" customHeight="1" x14ac:dyDescent="0.3">
      <c r="K15" s="152">
        <f>K14+1</f>
        <v>2</v>
      </c>
      <c r="L15" s="158">
        <v>120</v>
      </c>
      <c r="M15" s="152">
        <v>800</v>
      </c>
      <c r="N15" s="159">
        <v>400</v>
      </c>
      <c r="O15" s="159">
        <v>600</v>
      </c>
      <c r="P15" s="152" t="s">
        <v>261</v>
      </c>
    </row>
    <row r="16" spans="1:51" ht="28.8" customHeight="1" x14ac:dyDescent="0.3">
      <c r="K16" s="152">
        <f t="shared" ref="K16:K33" si="0">K15+1</f>
        <v>3</v>
      </c>
      <c r="L16" s="158">
        <v>30</v>
      </c>
      <c r="M16" s="152">
        <v>500</v>
      </c>
      <c r="N16" s="159">
        <v>250</v>
      </c>
      <c r="O16" s="159">
        <v>400</v>
      </c>
      <c r="P16" s="152" t="s">
        <v>262</v>
      </c>
    </row>
    <row r="17" spans="11:16" ht="28.8" customHeight="1" x14ac:dyDescent="0.3">
      <c r="K17" s="152">
        <f t="shared" si="0"/>
        <v>4</v>
      </c>
      <c r="L17" s="158">
        <v>200</v>
      </c>
      <c r="M17" s="153">
        <v>1200</v>
      </c>
      <c r="N17" s="159">
        <v>600</v>
      </c>
      <c r="O17" s="159">
        <v>900</v>
      </c>
      <c r="P17" s="152" t="s">
        <v>263</v>
      </c>
    </row>
    <row r="18" spans="11:16" ht="28.8" customHeight="1" x14ac:dyDescent="0.3">
      <c r="K18" s="152">
        <f t="shared" si="0"/>
        <v>5</v>
      </c>
      <c r="L18" s="158">
        <v>15</v>
      </c>
      <c r="M18" s="153">
        <v>2000</v>
      </c>
      <c r="N18" s="159">
        <v>700</v>
      </c>
      <c r="O18" s="159">
        <v>1000</v>
      </c>
      <c r="P18" s="152" t="s">
        <v>264</v>
      </c>
    </row>
    <row r="19" spans="11:16" ht="28.8" customHeight="1" x14ac:dyDescent="0.3">
      <c r="K19" s="152">
        <f t="shared" si="0"/>
        <v>6</v>
      </c>
      <c r="L19" s="158">
        <v>80</v>
      </c>
      <c r="M19" s="153">
        <v>1500</v>
      </c>
      <c r="N19" s="159">
        <v>500</v>
      </c>
      <c r="O19" s="159">
        <v>800</v>
      </c>
      <c r="P19" s="152" t="s">
        <v>265</v>
      </c>
    </row>
    <row r="20" spans="11:16" ht="28.8" customHeight="1" x14ac:dyDescent="0.3">
      <c r="K20" s="152">
        <f t="shared" si="0"/>
        <v>7</v>
      </c>
      <c r="L20" s="158">
        <v>60</v>
      </c>
      <c r="M20" s="152">
        <v>400</v>
      </c>
      <c r="N20" s="159">
        <v>200</v>
      </c>
      <c r="O20" s="159">
        <v>300</v>
      </c>
      <c r="P20" s="152" t="s">
        <v>266</v>
      </c>
    </row>
    <row r="21" spans="11:16" ht="28.8" customHeight="1" x14ac:dyDescent="0.3">
      <c r="K21" s="152">
        <f t="shared" si="0"/>
        <v>8</v>
      </c>
      <c r="L21" s="158">
        <v>180</v>
      </c>
      <c r="M21" s="153">
        <v>2500</v>
      </c>
      <c r="N21" s="159">
        <v>800</v>
      </c>
      <c r="O21" s="159">
        <v>1200</v>
      </c>
      <c r="P21" s="152" t="s">
        <v>267</v>
      </c>
    </row>
    <row r="22" spans="11:16" ht="28.8" customHeight="1" x14ac:dyDescent="0.3">
      <c r="K22" s="152">
        <f t="shared" si="0"/>
        <v>9</v>
      </c>
      <c r="L22" s="158">
        <v>90</v>
      </c>
      <c r="M22" s="153">
        <v>1800</v>
      </c>
      <c r="N22" s="159">
        <v>550</v>
      </c>
      <c r="O22" s="159">
        <v>850</v>
      </c>
      <c r="P22" s="152" t="s">
        <v>268</v>
      </c>
    </row>
    <row r="23" spans="11:16" ht="28.8" customHeight="1" x14ac:dyDescent="0.3">
      <c r="K23" s="152">
        <f t="shared" si="0"/>
        <v>10</v>
      </c>
      <c r="L23" s="158">
        <v>40</v>
      </c>
      <c r="M23" s="152">
        <v>600</v>
      </c>
      <c r="N23" s="159">
        <v>300</v>
      </c>
      <c r="O23" s="159">
        <v>500</v>
      </c>
      <c r="P23" s="152" t="s">
        <v>269</v>
      </c>
    </row>
    <row r="24" spans="11:16" ht="28.8" customHeight="1" x14ac:dyDescent="0.3">
      <c r="K24" s="152">
        <f t="shared" si="0"/>
        <v>11</v>
      </c>
      <c r="L24" s="158">
        <v>150</v>
      </c>
      <c r="M24" s="153">
        <v>1000</v>
      </c>
      <c r="N24" s="159">
        <v>600</v>
      </c>
      <c r="O24" s="159">
        <v>950</v>
      </c>
      <c r="P24" s="152" t="s">
        <v>270</v>
      </c>
    </row>
    <row r="25" spans="11:16" ht="28.8" customHeight="1" x14ac:dyDescent="0.3">
      <c r="K25" s="152">
        <f t="shared" si="0"/>
        <v>12</v>
      </c>
      <c r="L25" s="158">
        <v>20</v>
      </c>
      <c r="M25" s="152">
        <v>700</v>
      </c>
      <c r="N25" s="159">
        <v>250</v>
      </c>
      <c r="O25" s="159">
        <v>400</v>
      </c>
      <c r="P25" s="152" t="s">
        <v>271</v>
      </c>
    </row>
    <row r="26" spans="11:16" ht="28.8" customHeight="1" x14ac:dyDescent="0.3">
      <c r="K26" s="152">
        <f t="shared" si="0"/>
        <v>13</v>
      </c>
      <c r="L26" s="158">
        <v>170</v>
      </c>
      <c r="M26" s="153">
        <v>2000</v>
      </c>
      <c r="N26" s="159">
        <v>750</v>
      </c>
      <c r="O26" s="159">
        <v>1150</v>
      </c>
      <c r="P26" s="152" t="s">
        <v>272</v>
      </c>
    </row>
    <row r="27" spans="11:16" ht="28.8" customHeight="1" x14ac:dyDescent="0.3">
      <c r="K27" s="152">
        <f t="shared" si="0"/>
        <v>14</v>
      </c>
      <c r="L27" s="158">
        <v>35</v>
      </c>
      <c r="M27" s="152">
        <v>900</v>
      </c>
      <c r="N27" s="159">
        <v>350</v>
      </c>
      <c r="O27" s="159">
        <v>550</v>
      </c>
      <c r="P27" s="152" t="s">
        <v>273</v>
      </c>
    </row>
    <row r="28" spans="11:16" ht="28.8" customHeight="1" x14ac:dyDescent="0.3">
      <c r="K28" s="152">
        <f t="shared" si="0"/>
        <v>15</v>
      </c>
      <c r="L28" s="158">
        <v>220</v>
      </c>
      <c r="M28" s="153">
        <v>2500</v>
      </c>
      <c r="N28" s="159">
        <v>900</v>
      </c>
      <c r="O28" s="159">
        <v>1400</v>
      </c>
      <c r="P28" s="152" t="s">
        <v>274</v>
      </c>
    </row>
    <row r="29" spans="11:16" ht="28.8" customHeight="1" x14ac:dyDescent="0.3">
      <c r="K29" s="152">
        <f t="shared" si="0"/>
        <v>16</v>
      </c>
      <c r="L29" s="158">
        <v>110</v>
      </c>
      <c r="M29" s="153">
        <v>1100</v>
      </c>
      <c r="N29" s="159">
        <v>450</v>
      </c>
      <c r="O29" s="159">
        <v>700</v>
      </c>
      <c r="P29" s="152" t="s">
        <v>275</v>
      </c>
    </row>
    <row r="30" spans="11:16" ht="28.8" customHeight="1" x14ac:dyDescent="0.3">
      <c r="K30" s="152">
        <f t="shared" si="0"/>
        <v>17</v>
      </c>
      <c r="L30" s="158">
        <v>75</v>
      </c>
      <c r="M30" s="153">
        <v>1300</v>
      </c>
      <c r="N30" s="159">
        <v>500</v>
      </c>
      <c r="O30" s="159">
        <v>750</v>
      </c>
      <c r="P30" s="152" t="s">
        <v>276</v>
      </c>
    </row>
    <row r="31" spans="11:16" ht="28.8" customHeight="1" x14ac:dyDescent="0.3">
      <c r="K31" s="152">
        <f t="shared" si="0"/>
        <v>18</v>
      </c>
      <c r="L31" s="158">
        <v>25</v>
      </c>
      <c r="M31" s="152">
        <v>950</v>
      </c>
      <c r="N31" s="159">
        <v>300</v>
      </c>
      <c r="O31" s="159">
        <v>450</v>
      </c>
      <c r="P31" s="152" t="s">
        <v>277</v>
      </c>
    </row>
    <row r="32" spans="11:16" ht="28.8" customHeight="1" x14ac:dyDescent="0.3">
      <c r="K32" s="152">
        <f t="shared" si="0"/>
        <v>19</v>
      </c>
      <c r="L32" s="158">
        <v>140</v>
      </c>
      <c r="M32" s="153">
        <v>1600</v>
      </c>
      <c r="N32" s="159">
        <v>650</v>
      </c>
      <c r="O32" s="159">
        <v>1000</v>
      </c>
      <c r="P32" s="152" t="s">
        <v>278</v>
      </c>
    </row>
    <row r="33" spans="11:16" ht="28.8" customHeight="1" x14ac:dyDescent="0.3">
      <c r="K33" s="152">
        <f t="shared" si="0"/>
        <v>20</v>
      </c>
      <c r="L33" s="158">
        <v>50</v>
      </c>
      <c r="M33" s="152">
        <v>850</v>
      </c>
      <c r="N33" s="159">
        <v>350</v>
      </c>
      <c r="O33" s="159">
        <v>550</v>
      </c>
      <c r="P33" s="152" t="s">
        <v>279</v>
      </c>
    </row>
    <row r="34" spans="11:16" ht="28.8" customHeight="1" x14ac:dyDescent="0.3"/>
    <row r="35" spans="11:16" ht="28.8" customHeight="1" x14ac:dyDescent="0.3"/>
    <row r="36" spans="11:16" ht="28.8" customHeight="1" x14ac:dyDescent="0.3"/>
    <row r="37" spans="11:16" ht="28.8" customHeight="1" x14ac:dyDescent="0.3"/>
    <row r="38" spans="11:16" ht="28.8" customHeight="1" x14ac:dyDescent="0.3"/>
    <row r="39" spans="11:16" ht="28.8" customHeight="1" x14ac:dyDescent="0.3"/>
    <row r="40" spans="11:16" ht="28.8" customHeight="1" x14ac:dyDescent="0.3"/>
    <row r="41" spans="11:16" ht="28.8" customHeight="1" x14ac:dyDescent="0.3"/>
    <row r="42" spans="11:16" ht="28.8" customHeight="1" x14ac:dyDescent="0.3"/>
    <row r="43" spans="11:16" ht="28.8" customHeight="1" x14ac:dyDescent="0.3"/>
    <row r="44" spans="11:16" ht="28.8" customHeight="1" x14ac:dyDescent="0.3"/>
    <row r="45" spans="11:16" ht="28.8" customHeight="1" x14ac:dyDescent="0.3"/>
    <row r="46" spans="11:16" ht="28.8" customHeight="1" x14ac:dyDescent="0.3"/>
    <row r="47" spans="11:16" ht="28.8" customHeight="1" x14ac:dyDescent="0.3"/>
    <row r="48" spans="11:16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F82DA-602F-43A8-84A9-755032734479}">
  <sheetPr codeName="Planilha32">
    <tabColor rgb="FFFFC000"/>
  </sheetPr>
  <dimension ref="A1:AY66"/>
  <sheetViews>
    <sheetView zoomScale="40" zoomScaleNormal="40" workbookViewId="0">
      <selection activeCell="P28" sqref="P28"/>
    </sheetView>
  </sheetViews>
  <sheetFormatPr defaultRowHeight="14.4" x14ac:dyDescent="0.3"/>
  <cols>
    <col min="1" max="4" width="8.88671875" style="100"/>
    <col min="5" max="5" width="4.5546875" style="100" bestFit="1" customWidth="1"/>
    <col min="6" max="6" width="21.88671875" style="100" bestFit="1" customWidth="1"/>
    <col min="7" max="7" width="26" style="100" bestFit="1" customWidth="1"/>
    <col min="8" max="8" width="19.44140625" style="100" bestFit="1" customWidth="1"/>
    <col min="9" max="9" width="12.109375" style="100" bestFit="1" customWidth="1"/>
    <col min="10" max="10" width="12.6640625" style="100" bestFit="1" customWidth="1"/>
    <col min="11" max="11" width="5.109375" style="100" bestFit="1" customWidth="1"/>
    <col min="12" max="12" width="25.44140625" style="100" customWidth="1"/>
    <col min="13" max="13" width="26.21875" style="100" customWidth="1"/>
    <col min="14" max="14" width="25.44140625" style="100" customWidth="1"/>
    <col min="15" max="15" width="24.33203125" style="100" customWidth="1"/>
    <col min="16" max="16" width="45.44140625" style="100" bestFit="1" customWidth="1"/>
    <col min="17" max="17" width="20.44140625" style="100" bestFit="1" customWidth="1"/>
    <col min="18" max="18" width="36" style="100" bestFit="1" customWidth="1"/>
    <col min="19" max="19" width="31.5546875" style="100" bestFit="1" customWidth="1"/>
    <col min="20" max="16384" width="8.88671875" style="100"/>
  </cols>
  <sheetData>
    <row r="1" spans="1:51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</row>
    <row r="2" spans="1:51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</row>
    <row r="3" spans="1:51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</row>
    <row r="4" spans="1:51" ht="46.2" customHeight="1" x14ac:dyDescent="0.3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  <c r="AV4" s="150"/>
      <c r="AW4" s="150"/>
      <c r="AX4" s="150"/>
      <c r="AY4" s="150"/>
    </row>
    <row r="5" spans="1:51" x14ac:dyDescent="0.3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  <c r="AV5" s="150"/>
      <c r="AW5" s="150"/>
      <c r="AX5" s="150"/>
      <c r="AY5" s="150"/>
    </row>
    <row r="6" spans="1:51" x14ac:dyDescent="0.3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  <c r="AV6" s="150"/>
      <c r="AW6" s="150"/>
      <c r="AX6" s="150"/>
      <c r="AY6" s="150"/>
    </row>
    <row r="7" spans="1:51" x14ac:dyDescent="0.3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  <c r="AX7" s="150"/>
      <c r="AY7" s="150"/>
    </row>
    <row r="8" spans="1:51" ht="28.8" customHeight="1" x14ac:dyDescent="0.3"/>
    <row r="9" spans="1:51" ht="28.8" customHeight="1" x14ac:dyDescent="0.3"/>
    <row r="10" spans="1:51" ht="28.8" customHeight="1" x14ac:dyDescent="0.3"/>
    <row r="11" spans="1:51" ht="28.8" customHeight="1" x14ac:dyDescent="0.3"/>
    <row r="12" spans="1:51" ht="28.8" customHeight="1" x14ac:dyDescent="0.3"/>
    <row r="13" spans="1:51" ht="28.8" customHeight="1" x14ac:dyDescent="0.3">
      <c r="K13" s="154" t="s">
        <v>220</v>
      </c>
      <c r="L13" s="154" t="s">
        <v>255</v>
      </c>
      <c r="M13" s="154" t="s">
        <v>256</v>
      </c>
      <c r="N13" s="154" t="s">
        <v>257</v>
      </c>
      <c r="O13" s="154" t="s">
        <v>258</v>
      </c>
      <c r="P13" s="154" t="s">
        <v>259</v>
      </c>
    </row>
    <row r="14" spans="1:51" ht="28.8" customHeight="1" x14ac:dyDescent="0.3">
      <c r="K14" s="152">
        <v>1</v>
      </c>
      <c r="L14" s="158">
        <v>50</v>
      </c>
      <c r="M14" s="153">
        <v>1000</v>
      </c>
      <c r="N14" s="159">
        <f>L14*M14</f>
        <v>50000</v>
      </c>
      <c r="O14" s="159">
        <f>L14*M14+N14</f>
        <v>100000</v>
      </c>
      <c r="P14" s="152" t="s">
        <v>260</v>
      </c>
    </row>
    <row r="15" spans="1:51" ht="28.8" customHeight="1" x14ac:dyDescent="0.3">
      <c r="K15" s="152">
        <f>K14+1</f>
        <v>2</v>
      </c>
      <c r="L15" s="158">
        <v>120</v>
      </c>
      <c r="M15" s="152">
        <v>800</v>
      </c>
      <c r="N15" s="159">
        <v>400</v>
      </c>
      <c r="O15" s="159">
        <v>600</v>
      </c>
      <c r="P15" s="152" t="s">
        <v>261</v>
      </c>
    </row>
    <row r="16" spans="1:51" ht="28.8" customHeight="1" x14ac:dyDescent="0.3">
      <c r="K16" s="152">
        <f t="shared" ref="K16:K33" si="0">K15+1</f>
        <v>3</v>
      </c>
      <c r="L16" s="158">
        <v>30</v>
      </c>
      <c r="M16" s="152">
        <v>500</v>
      </c>
      <c r="N16" s="159">
        <v>250</v>
      </c>
      <c r="O16" s="159">
        <v>400</v>
      </c>
      <c r="P16" s="152" t="s">
        <v>262</v>
      </c>
    </row>
    <row r="17" spans="11:16" ht="28.8" customHeight="1" x14ac:dyDescent="0.3">
      <c r="K17" s="152">
        <f t="shared" si="0"/>
        <v>4</v>
      </c>
      <c r="L17" s="158">
        <v>200</v>
      </c>
      <c r="M17" s="153">
        <v>1200</v>
      </c>
      <c r="N17" s="159">
        <v>600</v>
      </c>
      <c r="O17" s="159">
        <v>900</v>
      </c>
      <c r="P17" s="152" t="s">
        <v>263</v>
      </c>
    </row>
    <row r="18" spans="11:16" ht="28.8" customHeight="1" x14ac:dyDescent="0.3">
      <c r="K18" s="152">
        <f t="shared" si="0"/>
        <v>5</v>
      </c>
      <c r="L18" s="158">
        <v>15</v>
      </c>
      <c r="M18" s="153">
        <v>2000</v>
      </c>
      <c r="N18" s="159">
        <v>700</v>
      </c>
      <c r="O18" s="159">
        <v>1000</v>
      </c>
      <c r="P18" s="152" t="s">
        <v>264</v>
      </c>
    </row>
    <row r="19" spans="11:16" ht="28.8" customHeight="1" x14ac:dyDescent="0.3">
      <c r="K19" s="152">
        <f t="shared" si="0"/>
        <v>6</v>
      </c>
      <c r="L19" s="158">
        <v>80</v>
      </c>
      <c r="M19" s="153">
        <v>1500</v>
      </c>
      <c r="N19" s="159">
        <v>500</v>
      </c>
      <c r="O19" s="159">
        <v>800</v>
      </c>
      <c r="P19" s="152" t="s">
        <v>265</v>
      </c>
    </row>
    <row r="20" spans="11:16" ht="28.8" customHeight="1" x14ac:dyDescent="0.3">
      <c r="K20" s="152">
        <f t="shared" si="0"/>
        <v>7</v>
      </c>
      <c r="L20" s="158">
        <v>60</v>
      </c>
      <c r="M20" s="152">
        <v>400</v>
      </c>
      <c r="N20" s="159">
        <v>200</v>
      </c>
      <c r="O20" s="159">
        <v>300</v>
      </c>
      <c r="P20" s="152" t="s">
        <v>266</v>
      </c>
    </row>
    <row r="21" spans="11:16" ht="28.8" customHeight="1" x14ac:dyDescent="0.3">
      <c r="K21" s="152">
        <f t="shared" si="0"/>
        <v>8</v>
      </c>
      <c r="L21" s="158">
        <v>180</v>
      </c>
      <c r="M21" s="153">
        <v>2500</v>
      </c>
      <c r="N21" s="159">
        <v>800</v>
      </c>
      <c r="O21" s="159">
        <v>1200</v>
      </c>
      <c r="P21" s="152" t="s">
        <v>267</v>
      </c>
    </row>
    <row r="22" spans="11:16" ht="28.8" customHeight="1" x14ac:dyDescent="0.3">
      <c r="K22" s="152">
        <f t="shared" si="0"/>
        <v>9</v>
      </c>
      <c r="L22" s="158">
        <v>90</v>
      </c>
      <c r="M22" s="153">
        <v>1800</v>
      </c>
      <c r="N22" s="159">
        <v>550</v>
      </c>
      <c r="O22" s="159">
        <v>850</v>
      </c>
      <c r="P22" s="152" t="s">
        <v>268</v>
      </c>
    </row>
    <row r="23" spans="11:16" ht="28.8" customHeight="1" x14ac:dyDescent="0.3">
      <c r="K23" s="152">
        <f t="shared" si="0"/>
        <v>10</v>
      </c>
      <c r="L23" s="158">
        <v>40</v>
      </c>
      <c r="M23" s="152">
        <v>600</v>
      </c>
      <c r="N23" s="159">
        <v>300</v>
      </c>
      <c r="O23" s="159">
        <v>500</v>
      </c>
      <c r="P23" s="152" t="s">
        <v>269</v>
      </c>
    </row>
    <row r="24" spans="11:16" ht="28.8" customHeight="1" x14ac:dyDescent="0.3">
      <c r="K24" s="152">
        <f t="shared" si="0"/>
        <v>11</v>
      </c>
      <c r="L24" s="158">
        <v>150</v>
      </c>
      <c r="M24" s="153">
        <v>1000</v>
      </c>
      <c r="N24" s="159">
        <v>600</v>
      </c>
      <c r="O24" s="159">
        <v>950</v>
      </c>
      <c r="P24" s="152" t="s">
        <v>270</v>
      </c>
    </row>
    <row r="25" spans="11:16" ht="28.8" customHeight="1" x14ac:dyDescent="0.3">
      <c r="K25" s="152">
        <f t="shared" si="0"/>
        <v>12</v>
      </c>
      <c r="L25" s="158">
        <v>20</v>
      </c>
      <c r="M25" s="152">
        <v>700</v>
      </c>
      <c r="N25" s="159">
        <v>250</v>
      </c>
      <c r="O25" s="159">
        <v>400</v>
      </c>
      <c r="P25" s="152" t="s">
        <v>271</v>
      </c>
    </row>
    <row r="26" spans="11:16" ht="28.8" customHeight="1" x14ac:dyDescent="0.3">
      <c r="K26" s="152">
        <f t="shared" si="0"/>
        <v>13</v>
      </c>
      <c r="L26" s="158">
        <v>170</v>
      </c>
      <c r="M26" s="153">
        <v>2000</v>
      </c>
      <c r="N26" s="159">
        <v>750</v>
      </c>
      <c r="O26" s="159">
        <v>1150</v>
      </c>
      <c r="P26" s="152" t="s">
        <v>272</v>
      </c>
    </row>
    <row r="27" spans="11:16" ht="28.8" customHeight="1" x14ac:dyDescent="0.3">
      <c r="K27" s="152">
        <f t="shared" si="0"/>
        <v>14</v>
      </c>
      <c r="L27" s="158">
        <v>35</v>
      </c>
      <c r="M27" s="152">
        <v>900</v>
      </c>
      <c r="N27" s="159">
        <v>350</v>
      </c>
      <c r="O27" s="159">
        <v>550</v>
      </c>
      <c r="P27" s="152" t="s">
        <v>273</v>
      </c>
    </row>
    <row r="28" spans="11:16" ht="28.8" customHeight="1" x14ac:dyDescent="0.3">
      <c r="K28" s="152">
        <f t="shared" si="0"/>
        <v>15</v>
      </c>
      <c r="L28" s="158">
        <v>220</v>
      </c>
      <c r="M28" s="153">
        <v>2500</v>
      </c>
      <c r="N28" s="159">
        <v>900</v>
      </c>
      <c r="O28" s="159">
        <v>1400</v>
      </c>
      <c r="P28" s="152" t="s">
        <v>274</v>
      </c>
    </row>
    <row r="29" spans="11:16" ht="28.8" customHeight="1" x14ac:dyDescent="0.3">
      <c r="K29" s="152">
        <f t="shared" si="0"/>
        <v>16</v>
      </c>
      <c r="L29" s="158">
        <v>110</v>
      </c>
      <c r="M29" s="153">
        <v>1100</v>
      </c>
      <c r="N29" s="159">
        <v>450</v>
      </c>
      <c r="O29" s="159">
        <v>700</v>
      </c>
      <c r="P29" s="152" t="s">
        <v>275</v>
      </c>
    </row>
    <row r="30" spans="11:16" ht="28.8" customHeight="1" x14ac:dyDescent="0.3">
      <c r="K30" s="152">
        <f t="shared" si="0"/>
        <v>17</v>
      </c>
      <c r="L30" s="158">
        <v>75</v>
      </c>
      <c r="M30" s="153">
        <v>1300</v>
      </c>
      <c r="N30" s="159">
        <v>500</v>
      </c>
      <c r="O30" s="159">
        <v>750</v>
      </c>
      <c r="P30" s="152" t="s">
        <v>276</v>
      </c>
    </row>
    <row r="31" spans="11:16" ht="28.8" customHeight="1" x14ac:dyDescent="0.3">
      <c r="K31" s="152">
        <f t="shared" si="0"/>
        <v>18</v>
      </c>
      <c r="L31" s="158">
        <v>25</v>
      </c>
      <c r="M31" s="152">
        <v>950</v>
      </c>
      <c r="N31" s="159">
        <v>300</v>
      </c>
      <c r="O31" s="159">
        <v>450</v>
      </c>
      <c r="P31" s="152" t="s">
        <v>277</v>
      </c>
    </row>
    <row r="32" spans="11:16" ht="28.8" customHeight="1" x14ac:dyDescent="0.3">
      <c r="K32" s="152">
        <f t="shared" si="0"/>
        <v>19</v>
      </c>
      <c r="L32" s="158">
        <v>140</v>
      </c>
      <c r="M32" s="153">
        <v>1600</v>
      </c>
      <c r="N32" s="159">
        <v>650</v>
      </c>
      <c r="O32" s="159">
        <v>1000</v>
      </c>
      <c r="P32" s="152" t="s">
        <v>278</v>
      </c>
    </row>
    <row r="33" spans="11:16" ht="28.8" customHeight="1" x14ac:dyDescent="0.3">
      <c r="K33" s="152">
        <f t="shared" si="0"/>
        <v>20</v>
      </c>
      <c r="L33" s="158">
        <v>50</v>
      </c>
      <c r="M33" s="152">
        <v>850</v>
      </c>
      <c r="N33" s="159">
        <v>350</v>
      </c>
      <c r="O33" s="159">
        <v>550</v>
      </c>
      <c r="P33" s="152" t="s">
        <v>279</v>
      </c>
    </row>
    <row r="34" spans="11:16" ht="28.8" customHeight="1" x14ac:dyDescent="0.3"/>
    <row r="35" spans="11:16" ht="28.8" customHeight="1" x14ac:dyDescent="0.3"/>
    <row r="36" spans="11:16" ht="28.8" customHeight="1" x14ac:dyDescent="0.3"/>
    <row r="37" spans="11:16" ht="28.8" customHeight="1" x14ac:dyDescent="0.3"/>
    <row r="38" spans="11:16" ht="28.8" customHeight="1" x14ac:dyDescent="0.3"/>
    <row r="39" spans="11:16" ht="28.8" customHeight="1" x14ac:dyDescent="0.3"/>
    <row r="40" spans="11:16" ht="28.8" customHeight="1" x14ac:dyDescent="0.3"/>
    <row r="41" spans="11:16" ht="28.8" customHeight="1" x14ac:dyDescent="0.3"/>
    <row r="42" spans="11:16" ht="28.8" customHeight="1" x14ac:dyDescent="0.3"/>
    <row r="43" spans="11:16" ht="28.8" customHeight="1" x14ac:dyDescent="0.3"/>
    <row r="44" spans="11:16" ht="28.8" customHeight="1" x14ac:dyDescent="0.3"/>
    <row r="45" spans="11:16" ht="28.8" customHeight="1" x14ac:dyDescent="0.3"/>
    <row r="46" spans="11:16" ht="28.8" customHeight="1" x14ac:dyDescent="0.3"/>
    <row r="47" spans="11:16" ht="28.8" customHeight="1" x14ac:dyDescent="0.3"/>
    <row r="48" spans="11:16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E1C1C-4E7F-482C-BFF7-15473EC0951C}">
  <sheetPr codeName="Planilha33">
    <tabColor rgb="FFFFC000"/>
  </sheetPr>
  <dimension ref="A1:AY66"/>
  <sheetViews>
    <sheetView zoomScale="40" zoomScaleNormal="40" workbookViewId="0">
      <selection activeCell="Q25" sqref="Q25"/>
    </sheetView>
  </sheetViews>
  <sheetFormatPr defaultRowHeight="14.4" x14ac:dyDescent="0.3"/>
  <cols>
    <col min="1" max="4" width="8.88671875" style="100"/>
    <col min="5" max="5" width="4.5546875" style="100" bestFit="1" customWidth="1"/>
    <col min="6" max="6" width="21.88671875" style="100" bestFit="1" customWidth="1"/>
    <col min="7" max="7" width="26" style="100" bestFit="1" customWidth="1"/>
    <col min="8" max="8" width="19.44140625" style="100" bestFit="1" customWidth="1"/>
    <col min="9" max="9" width="12.109375" style="100" bestFit="1" customWidth="1"/>
    <col min="10" max="10" width="12.6640625" style="100" bestFit="1" customWidth="1"/>
    <col min="11" max="11" width="4.5546875" style="100" customWidth="1"/>
    <col min="12" max="12" width="25.44140625" style="100" customWidth="1"/>
    <col min="13" max="13" width="26.21875" style="100" customWidth="1"/>
    <col min="14" max="14" width="25.44140625" style="100" customWidth="1"/>
    <col min="15" max="15" width="24.33203125" style="100" customWidth="1"/>
    <col min="16" max="16" width="45.44140625" style="100" customWidth="1"/>
    <col min="17" max="17" width="20.44140625" style="100" bestFit="1" customWidth="1"/>
    <col min="18" max="18" width="36" style="100" bestFit="1" customWidth="1"/>
    <col min="19" max="19" width="31.5546875" style="100" bestFit="1" customWidth="1"/>
    <col min="20" max="16384" width="8.88671875" style="100"/>
  </cols>
  <sheetData>
    <row r="1" spans="1:51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</row>
    <row r="2" spans="1:51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</row>
    <row r="3" spans="1:51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</row>
    <row r="4" spans="1:51" ht="46.2" customHeight="1" x14ac:dyDescent="0.3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  <c r="AV4" s="150"/>
      <c r="AW4" s="150"/>
      <c r="AX4" s="150"/>
      <c r="AY4" s="150"/>
    </row>
    <row r="5" spans="1:51" x14ac:dyDescent="0.3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  <c r="AV5" s="150"/>
      <c r="AW5" s="150"/>
      <c r="AX5" s="150"/>
      <c r="AY5" s="150"/>
    </row>
    <row r="6" spans="1:51" x14ac:dyDescent="0.3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  <c r="AV6" s="150"/>
      <c r="AW6" s="150"/>
      <c r="AX6" s="150"/>
      <c r="AY6" s="150"/>
    </row>
    <row r="7" spans="1:51" x14ac:dyDescent="0.3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  <c r="AX7" s="150"/>
      <c r="AY7" s="150"/>
    </row>
    <row r="8" spans="1:51" ht="28.8" customHeight="1" x14ac:dyDescent="0.3"/>
    <row r="9" spans="1:51" ht="28.8" customHeight="1" x14ac:dyDescent="0.3"/>
    <row r="10" spans="1:51" ht="28.8" customHeight="1" x14ac:dyDescent="0.3"/>
    <row r="11" spans="1:51" ht="28.8" customHeight="1" x14ac:dyDescent="0.3"/>
    <row r="12" spans="1:51" ht="28.8" customHeight="1" x14ac:dyDescent="0.3"/>
    <row r="13" spans="1:51" ht="28.8" customHeight="1" x14ac:dyDescent="0.3">
      <c r="K13" s="154" t="s">
        <v>220</v>
      </c>
      <c r="L13" s="154" t="s">
        <v>255</v>
      </c>
      <c r="M13" s="154" t="s">
        <v>256</v>
      </c>
      <c r="N13" s="154" t="s">
        <v>257</v>
      </c>
      <c r="O13" s="154" t="s">
        <v>258</v>
      </c>
      <c r="P13" s="154" t="s">
        <v>259</v>
      </c>
    </row>
    <row r="14" spans="1:51" ht="28.8" customHeight="1" x14ac:dyDescent="0.3">
      <c r="K14" s="152">
        <v>1</v>
      </c>
      <c r="L14" s="158">
        <v>50</v>
      </c>
      <c r="M14" s="153">
        <v>1000</v>
      </c>
      <c r="N14" s="159">
        <f>L14*M14</f>
        <v>50000</v>
      </c>
      <c r="O14" s="159">
        <f>L14*M14+N14</f>
        <v>100000</v>
      </c>
      <c r="P14" s="152" t="s">
        <v>260</v>
      </c>
    </row>
    <row r="15" spans="1:51" ht="28.8" customHeight="1" x14ac:dyDescent="0.3">
      <c r="K15" s="152">
        <f>K14+1</f>
        <v>2</v>
      </c>
      <c r="L15" s="158">
        <v>120</v>
      </c>
      <c r="M15" s="152">
        <v>800</v>
      </c>
      <c r="N15" s="159">
        <v>400</v>
      </c>
      <c r="O15" s="159">
        <v>600</v>
      </c>
      <c r="P15" s="152" t="s">
        <v>261</v>
      </c>
    </row>
    <row r="16" spans="1:51" ht="28.8" customHeight="1" x14ac:dyDescent="0.3">
      <c r="K16" s="152">
        <f t="shared" ref="K16:K33" si="0">K15+1</f>
        <v>3</v>
      </c>
      <c r="L16" s="158">
        <v>30</v>
      </c>
      <c r="M16" s="152">
        <v>500</v>
      </c>
      <c r="N16" s="159">
        <v>250</v>
      </c>
      <c r="O16" s="159">
        <v>400</v>
      </c>
      <c r="P16" s="152" t="s">
        <v>262</v>
      </c>
    </row>
    <row r="17" spans="11:16" ht="28.8" customHeight="1" x14ac:dyDescent="0.3">
      <c r="K17" s="152">
        <f t="shared" si="0"/>
        <v>4</v>
      </c>
      <c r="L17" s="158">
        <v>200</v>
      </c>
      <c r="M17" s="153">
        <v>1200</v>
      </c>
      <c r="N17" s="159">
        <v>600</v>
      </c>
      <c r="O17" s="159">
        <v>900</v>
      </c>
      <c r="P17" s="152" t="s">
        <v>263</v>
      </c>
    </row>
    <row r="18" spans="11:16" ht="28.8" customHeight="1" x14ac:dyDescent="0.3">
      <c r="K18" s="152">
        <f t="shared" si="0"/>
        <v>5</v>
      </c>
      <c r="L18" s="158">
        <v>15</v>
      </c>
      <c r="M18" s="153">
        <v>2000</v>
      </c>
      <c r="N18" s="159">
        <v>700</v>
      </c>
      <c r="O18" s="159">
        <v>1000</v>
      </c>
      <c r="P18" s="152" t="s">
        <v>264</v>
      </c>
    </row>
    <row r="19" spans="11:16" ht="28.8" customHeight="1" x14ac:dyDescent="0.3">
      <c r="K19" s="152">
        <f t="shared" si="0"/>
        <v>6</v>
      </c>
      <c r="L19" s="158">
        <v>80</v>
      </c>
      <c r="M19" s="153">
        <v>1500</v>
      </c>
      <c r="N19" s="159">
        <v>500</v>
      </c>
      <c r="O19" s="159">
        <v>800</v>
      </c>
      <c r="P19" s="152" t="s">
        <v>265</v>
      </c>
    </row>
    <row r="20" spans="11:16" ht="28.8" customHeight="1" x14ac:dyDescent="0.3">
      <c r="K20" s="152">
        <f t="shared" si="0"/>
        <v>7</v>
      </c>
      <c r="L20" s="158">
        <v>60</v>
      </c>
      <c r="M20" s="152">
        <v>400</v>
      </c>
      <c r="N20" s="159">
        <v>200</v>
      </c>
      <c r="O20" s="159">
        <v>300</v>
      </c>
      <c r="P20" s="152" t="s">
        <v>266</v>
      </c>
    </row>
    <row r="21" spans="11:16" ht="28.8" customHeight="1" x14ac:dyDescent="0.3">
      <c r="K21" s="152">
        <f t="shared" si="0"/>
        <v>8</v>
      </c>
      <c r="L21" s="158">
        <v>180</v>
      </c>
      <c r="M21" s="153">
        <v>2500</v>
      </c>
      <c r="N21" s="159">
        <v>800</v>
      </c>
      <c r="O21" s="159">
        <v>1200</v>
      </c>
      <c r="P21" s="152" t="s">
        <v>267</v>
      </c>
    </row>
    <row r="22" spans="11:16" ht="28.8" customHeight="1" x14ac:dyDescent="0.3">
      <c r="K22" s="152">
        <f t="shared" si="0"/>
        <v>9</v>
      </c>
      <c r="L22" s="158">
        <v>90</v>
      </c>
      <c r="M22" s="153">
        <v>1800</v>
      </c>
      <c r="N22" s="159">
        <v>550</v>
      </c>
      <c r="O22" s="159">
        <v>850</v>
      </c>
      <c r="P22" s="152" t="s">
        <v>268</v>
      </c>
    </row>
    <row r="23" spans="11:16" ht="28.8" customHeight="1" x14ac:dyDescent="0.3">
      <c r="K23" s="152">
        <f t="shared" si="0"/>
        <v>10</v>
      </c>
      <c r="L23" s="158">
        <v>40</v>
      </c>
      <c r="M23" s="152">
        <v>600</v>
      </c>
      <c r="N23" s="159">
        <v>300</v>
      </c>
      <c r="O23" s="159">
        <v>500</v>
      </c>
      <c r="P23" s="152" t="s">
        <v>269</v>
      </c>
    </row>
    <row r="24" spans="11:16" ht="28.8" customHeight="1" x14ac:dyDescent="0.3">
      <c r="K24" s="152">
        <f t="shared" si="0"/>
        <v>11</v>
      </c>
      <c r="L24" s="158">
        <v>150</v>
      </c>
      <c r="M24" s="153">
        <v>1000</v>
      </c>
      <c r="N24" s="159">
        <v>600</v>
      </c>
      <c r="O24" s="159">
        <v>950</v>
      </c>
      <c r="P24" s="152" t="s">
        <v>270</v>
      </c>
    </row>
    <row r="25" spans="11:16" ht="28.8" customHeight="1" x14ac:dyDescent="0.3">
      <c r="K25" s="152">
        <f t="shared" si="0"/>
        <v>12</v>
      </c>
      <c r="L25" s="158">
        <v>20</v>
      </c>
      <c r="M25" s="152">
        <v>700</v>
      </c>
      <c r="N25" s="159">
        <v>250</v>
      </c>
      <c r="O25" s="159">
        <v>400</v>
      </c>
      <c r="P25" s="152" t="s">
        <v>271</v>
      </c>
    </row>
    <row r="26" spans="11:16" ht="28.8" customHeight="1" x14ac:dyDescent="0.3">
      <c r="K26" s="152">
        <f t="shared" si="0"/>
        <v>13</v>
      </c>
      <c r="L26" s="158">
        <v>170</v>
      </c>
      <c r="M26" s="153">
        <v>2000</v>
      </c>
      <c r="N26" s="159">
        <v>750</v>
      </c>
      <c r="O26" s="159">
        <v>1150</v>
      </c>
      <c r="P26" s="152" t="s">
        <v>272</v>
      </c>
    </row>
    <row r="27" spans="11:16" ht="28.8" customHeight="1" x14ac:dyDescent="0.3">
      <c r="K27" s="152">
        <f t="shared" si="0"/>
        <v>14</v>
      </c>
      <c r="L27" s="158">
        <v>35</v>
      </c>
      <c r="M27" s="152">
        <v>900</v>
      </c>
      <c r="N27" s="159">
        <v>350</v>
      </c>
      <c r="O27" s="159">
        <v>550</v>
      </c>
      <c r="P27" s="152" t="s">
        <v>273</v>
      </c>
    </row>
    <row r="28" spans="11:16" ht="28.8" customHeight="1" x14ac:dyDescent="0.3">
      <c r="K28" s="152">
        <f t="shared" si="0"/>
        <v>15</v>
      </c>
      <c r="L28" s="158">
        <v>220</v>
      </c>
      <c r="M28" s="153">
        <v>2500</v>
      </c>
      <c r="N28" s="159">
        <v>900</v>
      </c>
      <c r="O28" s="159">
        <v>1400</v>
      </c>
      <c r="P28" s="152" t="s">
        <v>274</v>
      </c>
    </row>
    <row r="29" spans="11:16" ht="28.8" customHeight="1" x14ac:dyDescent="0.3">
      <c r="K29" s="152">
        <f t="shared" si="0"/>
        <v>16</v>
      </c>
      <c r="L29" s="158">
        <v>110</v>
      </c>
      <c r="M29" s="153">
        <v>1100</v>
      </c>
      <c r="N29" s="159">
        <v>450</v>
      </c>
      <c r="O29" s="159">
        <v>700</v>
      </c>
      <c r="P29" s="152" t="s">
        <v>275</v>
      </c>
    </row>
    <row r="30" spans="11:16" ht="28.8" customHeight="1" x14ac:dyDescent="0.3">
      <c r="K30" s="152">
        <f t="shared" si="0"/>
        <v>17</v>
      </c>
      <c r="L30" s="158">
        <v>75</v>
      </c>
      <c r="M30" s="153">
        <v>1300</v>
      </c>
      <c r="N30" s="159">
        <v>500</v>
      </c>
      <c r="O30" s="159">
        <v>750</v>
      </c>
      <c r="P30" s="152" t="s">
        <v>276</v>
      </c>
    </row>
    <row r="31" spans="11:16" ht="28.8" customHeight="1" x14ac:dyDescent="0.3">
      <c r="K31" s="152">
        <f t="shared" si="0"/>
        <v>18</v>
      </c>
      <c r="L31" s="158">
        <v>25</v>
      </c>
      <c r="M31" s="152">
        <v>950</v>
      </c>
      <c r="N31" s="159">
        <v>300</v>
      </c>
      <c r="O31" s="159">
        <v>450</v>
      </c>
      <c r="P31" s="152" t="s">
        <v>277</v>
      </c>
    </row>
    <row r="32" spans="11:16" ht="28.8" customHeight="1" x14ac:dyDescent="0.3">
      <c r="K32" s="152">
        <f t="shared" si="0"/>
        <v>19</v>
      </c>
      <c r="L32" s="158">
        <v>140</v>
      </c>
      <c r="M32" s="153">
        <v>1600</v>
      </c>
      <c r="N32" s="159">
        <v>650</v>
      </c>
      <c r="O32" s="159">
        <v>1000</v>
      </c>
      <c r="P32" s="152" t="s">
        <v>278</v>
      </c>
    </row>
    <row r="33" spans="11:16" ht="28.8" customHeight="1" x14ac:dyDescent="0.3">
      <c r="K33" s="152">
        <f t="shared" si="0"/>
        <v>20</v>
      </c>
      <c r="L33" s="158">
        <v>50</v>
      </c>
      <c r="M33" s="152">
        <v>850</v>
      </c>
      <c r="N33" s="159">
        <v>350</v>
      </c>
      <c r="O33" s="159">
        <v>550</v>
      </c>
      <c r="P33" s="152" t="s">
        <v>279</v>
      </c>
    </row>
    <row r="34" spans="11:16" ht="28.8" customHeight="1" x14ac:dyDescent="0.3"/>
    <row r="35" spans="11:16" ht="28.8" customHeight="1" x14ac:dyDescent="0.3"/>
    <row r="36" spans="11:16" ht="28.8" customHeight="1" x14ac:dyDescent="0.3"/>
    <row r="37" spans="11:16" ht="28.8" customHeight="1" x14ac:dyDescent="0.3"/>
    <row r="38" spans="11:16" ht="28.8" customHeight="1" x14ac:dyDescent="0.3"/>
    <row r="39" spans="11:16" ht="28.8" customHeight="1" x14ac:dyDescent="0.3"/>
    <row r="40" spans="11:16" ht="28.8" customHeight="1" x14ac:dyDescent="0.3"/>
    <row r="41" spans="11:16" ht="28.8" customHeight="1" x14ac:dyDescent="0.3"/>
    <row r="42" spans="11:16" ht="28.8" customHeight="1" x14ac:dyDescent="0.3"/>
    <row r="43" spans="11:16" ht="28.8" customHeight="1" x14ac:dyDescent="0.3"/>
    <row r="44" spans="11:16" ht="28.8" customHeight="1" x14ac:dyDescent="0.3"/>
    <row r="45" spans="11:16" ht="28.8" customHeight="1" x14ac:dyDescent="0.3"/>
    <row r="46" spans="11:16" ht="28.8" customHeight="1" x14ac:dyDescent="0.3"/>
    <row r="47" spans="11:16" ht="28.8" customHeight="1" x14ac:dyDescent="0.3"/>
    <row r="48" spans="11:16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1AB1F-2926-4669-9EC2-12A373849C81}">
  <sheetPr codeName="Planilha34">
    <tabColor rgb="FFFFC000"/>
  </sheetPr>
  <dimension ref="A1:AY66"/>
  <sheetViews>
    <sheetView zoomScale="40" zoomScaleNormal="40" workbookViewId="0">
      <selection activeCell="O13" sqref="O13"/>
    </sheetView>
  </sheetViews>
  <sheetFormatPr defaultRowHeight="14.4" x14ac:dyDescent="0.3"/>
  <cols>
    <col min="1" max="4" width="8.88671875" style="100"/>
    <col min="5" max="5" width="4.5546875" style="100" bestFit="1" customWidth="1"/>
    <col min="6" max="6" width="21.88671875" style="100" bestFit="1" customWidth="1"/>
    <col min="7" max="7" width="26" style="100" bestFit="1" customWidth="1"/>
    <col min="8" max="8" width="19.44140625" style="100" bestFit="1" customWidth="1"/>
    <col min="9" max="9" width="12.109375" style="100" bestFit="1" customWidth="1"/>
    <col min="10" max="10" width="12.6640625" style="100" bestFit="1" customWidth="1"/>
    <col min="11" max="11" width="4.5546875" style="100" customWidth="1"/>
    <col min="12" max="12" width="25.44140625" style="100" customWidth="1"/>
    <col min="13" max="13" width="26.21875" style="100" customWidth="1"/>
    <col min="14" max="14" width="25.44140625" style="100" customWidth="1"/>
    <col min="15" max="15" width="24.33203125" style="100" customWidth="1"/>
    <col min="16" max="16" width="45.44140625" style="100" customWidth="1"/>
    <col min="17" max="17" width="20.44140625" style="100" bestFit="1" customWidth="1"/>
    <col min="18" max="18" width="36" style="100" bestFit="1" customWidth="1"/>
    <col min="19" max="19" width="31.5546875" style="100" bestFit="1" customWidth="1"/>
    <col min="20" max="16384" width="8.88671875" style="100"/>
  </cols>
  <sheetData>
    <row r="1" spans="1:51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</row>
    <row r="2" spans="1:51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</row>
    <row r="3" spans="1:51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</row>
    <row r="4" spans="1:51" ht="46.2" customHeight="1" x14ac:dyDescent="0.3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  <c r="AV4" s="150"/>
      <c r="AW4" s="150"/>
      <c r="AX4" s="150"/>
      <c r="AY4" s="150"/>
    </row>
    <row r="5" spans="1:51" x14ac:dyDescent="0.3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  <c r="AV5" s="150"/>
      <c r="AW5" s="150"/>
      <c r="AX5" s="150"/>
      <c r="AY5" s="150"/>
    </row>
    <row r="6" spans="1:51" x14ac:dyDescent="0.3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  <c r="AV6" s="150"/>
      <c r="AW6" s="150"/>
      <c r="AX6" s="150"/>
      <c r="AY6" s="150"/>
    </row>
    <row r="7" spans="1:51" x14ac:dyDescent="0.3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  <c r="AX7" s="150"/>
      <c r="AY7" s="150"/>
    </row>
    <row r="8" spans="1:51" ht="28.8" customHeight="1" x14ac:dyDescent="0.3"/>
    <row r="9" spans="1:51" ht="28.8" customHeight="1" x14ac:dyDescent="0.3"/>
    <row r="10" spans="1:51" ht="28.8" customHeight="1" x14ac:dyDescent="0.3"/>
    <row r="11" spans="1:51" ht="28.8" customHeight="1" x14ac:dyDescent="0.3"/>
    <row r="12" spans="1:51" ht="28.8" customHeight="1" x14ac:dyDescent="0.3"/>
    <row r="13" spans="1:51" ht="28.8" customHeight="1" x14ac:dyDescent="0.3">
      <c r="K13" s="154" t="s">
        <v>220</v>
      </c>
      <c r="L13" s="154" t="s">
        <v>255</v>
      </c>
      <c r="M13" s="154" t="s">
        <v>256</v>
      </c>
      <c r="N13" s="154" t="s">
        <v>257</v>
      </c>
      <c r="O13" s="154" t="s">
        <v>258</v>
      </c>
      <c r="P13" s="154" t="s">
        <v>259</v>
      </c>
    </row>
    <row r="14" spans="1:51" ht="28.8" customHeight="1" x14ac:dyDescent="0.3">
      <c r="K14" s="152">
        <v>1</v>
      </c>
      <c r="L14" s="158">
        <v>50</v>
      </c>
      <c r="M14" s="153">
        <v>1000</v>
      </c>
      <c r="N14" s="159">
        <f>L14*M14</f>
        <v>50000</v>
      </c>
      <c r="O14" s="159">
        <f>L14*M14+N14</f>
        <v>100000</v>
      </c>
      <c r="P14" s="152" t="s">
        <v>260</v>
      </c>
    </row>
    <row r="15" spans="1:51" ht="28.8" customHeight="1" x14ac:dyDescent="0.3">
      <c r="K15" s="152">
        <f>K14+1</f>
        <v>2</v>
      </c>
      <c r="L15" s="158">
        <v>120</v>
      </c>
      <c r="M15" s="152">
        <v>800</v>
      </c>
      <c r="N15" s="159">
        <v>400</v>
      </c>
      <c r="O15" s="159">
        <v>600</v>
      </c>
      <c r="P15" s="152" t="s">
        <v>261</v>
      </c>
    </row>
    <row r="16" spans="1:51" ht="28.8" customHeight="1" x14ac:dyDescent="0.3">
      <c r="K16" s="152">
        <f t="shared" ref="K16:K33" si="0">K15+1</f>
        <v>3</v>
      </c>
      <c r="L16" s="158">
        <v>30</v>
      </c>
      <c r="M16" s="152">
        <v>500</v>
      </c>
      <c r="N16" s="159">
        <v>250</v>
      </c>
      <c r="O16" s="159">
        <v>400</v>
      </c>
      <c r="P16" s="152" t="s">
        <v>262</v>
      </c>
    </row>
    <row r="17" spans="11:16" ht="28.8" customHeight="1" x14ac:dyDescent="0.3">
      <c r="K17" s="152">
        <f t="shared" si="0"/>
        <v>4</v>
      </c>
      <c r="L17" s="158">
        <v>200</v>
      </c>
      <c r="M17" s="153">
        <v>1200</v>
      </c>
      <c r="N17" s="159">
        <v>600</v>
      </c>
      <c r="O17" s="159">
        <v>900</v>
      </c>
      <c r="P17" s="152" t="s">
        <v>263</v>
      </c>
    </row>
    <row r="18" spans="11:16" ht="28.8" customHeight="1" x14ac:dyDescent="0.3">
      <c r="K18" s="152">
        <f t="shared" si="0"/>
        <v>5</v>
      </c>
      <c r="L18" s="158">
        <v>15</v>
      </c>
      <c r="M18" s="153">
        <v>2000</v>
      </c>
      <c r="N18" s="159">
        <v>700</v>
      </c>
      <c r="O18" s="159">
        <v>1000</v>
      </c>
      <c r="P18" s="152" t="s">
        <v>264</v>
      </c>
    </row>
    <row r="19" spans="11:16" ht="28.8" customHeight="1" x14ac:dyDescent="0.3">
      <c r="K19" s="152">
        <f t="shared" si="0"/>
        <v>6</v>
      </c>
      <c r="L19" s="158">
        <v>80</v>
      </c>
      <c r="M19" s="153">
        <v>1500</v>
      </c>
      <c r="N19" s="159">
        <v>500</v>
      </c>
      <c r="O19" s="159">
        <v>800</v>
      </c>
      <c r="P19" s="152" t="s">
        <v>265</v>
      </c>
    </row>
    <row r="20" spans="11:16" ht="28.8" customHeight="1" x14ac:dyDescent="0.3">
      <c r="K20" s="152">
        <f t="shared" si="0"/>
        <v>7</v>
      </c>
      <c r="L20" s="158">
        <v>60</v>
      </c>
      <c r="M20" s="152">
        <v>400</v>
      </c>
      <c r="N20" s="159">
        <v>200</v>
      </c>
      <c r="O20" s="159">
        <v>300</v>
      </c>
      <c r="P20" s="152" t="s">
        <v>266</v>
      </c>
    </row>
    <row r="21" spans="11:16" ht="28.8" customHeight="1" x14ac:dyDescent="0.3">
      <c r="K21" s="152">
        <f t="shared" si="0"/>
        <v>8</v>
      </c>
      <c r="L21" s="158">
        <v>180</v>
      </c>
      <c r="M21" s="153">
        <v>2500</v>
      </c>
      <c r="N21" s="159">
        <v>800</v>
      </c>
      <c r="O21" s="159">
        <v>1200</v>
      </c>
      <c r="P21" s="152" t="s">
        <v>267</v>
      </c>
    </row>
    <row r="22" spans="11:16" ht="28.8" customHeight="1" x14ac:dyDescent="0.3">
      <c r="K22" s="152">
        <f t="shared" si="0"/>
        <v>9</v>
      </c>
      <c r="L22" s="158">
        <v>90</v>
      </c>
      <c r="M22" s="153">
        <v>1800</v>
      </c>
      <c r="N22" s="159">
        <v>550</v>
      </c>
      <c r="O22" s="159">
        <v>850</v>
      </c>
      <c r="P22" s="152" t="s">
        <v>268</v>
      </c>
    </row>
    <row r="23" spans="11:16" ht="28.8" customHeight="1" x14ac:dyDescent="0.3">
      <c r="K23" s="152">
        <f t="shared" si="0"/>
        <v>10</v>
      </c>
      <c r="L23" s="158">
        <v>40</v>
      </c>
      <c r="M23" s="152">
        <v>600</v>
      </c>
      <c r="N23" s="159">
        <v>300</v>
      </c>
      <c r="O23" s="159">
        <v>500</v>
      </c>
      <c r="P23" s="152" t="s">
        <v>269</v>
      </c>
    </row>
    <row r="24" spans="11:16" ht="28.8" customHeight="1" x14ac:dyDescent="0.3">
      <c r="K24" s="152">
        <f t="shared" si="0"/>
        <v>11</v>
      </c>
      <c r="L24" s="158">
        <v>150</v>
      </c>
      <c r="M24" s="153">
        <v>1000</v>
      </c>
      <c r="N24" s="159">
        <v>600</v>
      </c>
      <c r="O24" s="159">
        <v>950</v>
      </c>
      <c r="P24" s="152" t="s">
        <v>270</v>
      </c>
    </row>
    <row r="25" spans="11:16" ht="28.8" customHeight="1" x14ac:dyDescent="0.3">
      <c r="K25" s="152">
        <f t="shared" si="0"/>
        <v>12</v>
      </c>
      <c r="L25" s="158">
        <v>20</v>
      </c>
      <c r="M25" s="152">
        <v>700</v>
      </c>
      <c r="N25" s="159">
        <v>250</v>
      </c>
      <c r="O25" s="159">
        <v>400</v>
      </c>
      <c r="P25" s="152" t="s">
        <v>271</v>
      </c>
    </row>
    <row r="26" spans="11:16" ht="28.8" customHeight="1" x14ac:dyDescent="0.3">
      <c r="K26" s="152">
        <f t="shared" si="0"/>
        <v>13</v>
      </c>
      <c r="L26" s="158">
        <v>170</v>
      </c>
      <c r="M26" s="153">
        <v>2000</v>
      </c>
      <c r="N26" s="159">
        <v>750</v>
      </c>
      <c r="O26" s="159">
        <v>1150</v>
      </c>
      <c r="P26" s="152" t="s">
        <v>272</v>
      </c>
    </row>
    <row r="27" spans="11:16" ht="28.8" customHeight="1" x14ac:dyDescent="0.3">
      <c r="K27" s="152">
        <f t="shared" si="0"/>
        <v>14</v>
      </c>
      <c r="L27" s="158">
        <v>35</v>
      </c>
      <c r="M27" s="152">
        <v>900</v>
      </c>
      <c r="N27" s="159">
        <v>350</v>
      </c>
      <c r="O27" s="159">
        <v>550</v>
      </c>
      <c r="P27" s="152" t="s">
        <v>273</v>
      </c>
    </row>
    <row r="28" spans="11:16" ht="28.8" customHeight="1" x14ac:dyDescent="0.3">
      <c r="K28" s="152">
        <f t="shared" si="0"/>
        <v>15</v>
      </c>
      <c r="L28" s="158">
        <v>220</v>
      </c>
      <c r="M28" s="153">
        <v>2500</v>
      </c>
      <c r="N28" s="159">
        <v>900</v>
      </c>
      <c r="O28" s="159">
        <v>1400</v>
      </c>
      <c r="P28" s="152" t="s">
        <v>274</v>
      </c>
    </row>
    <row r="29" spans="11:16" ht="28.8" customHeight="1" x14ac:dyDescent="0.3">
      <c r="K29" s="152">
        <f t="shared" si="0"/>
        <v>16</v>
      </c>
      <c r="L29" s="158">
        <v>110</v>
      </c>
      <c r="M29" s="153">
        <v>1100</v>
      </c>
      <c r="N29" s="159">
        <v>450</v>
      </c>
      <c r="O29" s="159">
        <v>700</v>
      </c>
      <c r="P29" s="152" t="s">
        <v>275</v>
      </c>
    </row>
    <row r="30" spans="11:16" ht="28.8" customHeight="1" x14ac:dyDescent="0.3">
      <c r="K30" s="152">
        <f t="shared" si="0"/>
        <v>17</v>
      </c>
      <c r="L30" s="158">
        <v>75</v>
      </c>
      <c r="M30" s="153">
        <v>1300</v>
      </c>
      <c r="N30" s="159">
        <v>500</v>
      </c>
      <c r="O30" s="159">
        <v>750</v>
      </c>
      <c r="P30" s="152" t="s">
        <v>276</v>
      </c>
    </row>
    <row r="31" spans="11:16" ht="28.8" customHeight="1" x14ac:dyDescent="0.3">
      <c r="K31" s="152">
        <f t="shared" si="0"/>
        <v>18</v>
      </c>
      <c r="L31" s="158">
        <v>25</v>
      </c>
      <c r="M31" s="152">
        <v>950</v>
      </c>
      <c r="N31" s="159">
        <v>300</v>
      </c>
      <c r="O31" s="159">
        <v>450</v>
      </c>
      <c r="P31" s="152" t="s">
        <v>277</v>
      </c>
    </row>
    <row r="32" spans="11:16" ht="28.8" customHeight="1" x14ac:dyDescent="0.3">
      <c r="K32" s="152">
        <f t="shared" si="0"/>
        <v>19</v>
      </c>
      <c r="L32" s="158">
        <v>140</v>
      </c>
      <c r="M32" s="153">
        <v>1600</v>
      </c>
      <c r="N32" s="159">
        <v>650</v>
      </c>
      <c r="O32" s="159">
        <v>1000</v>
      </c>
      <c r="P32" s="152" t="s">
        <v>278</v>
      </c>
    </row>
    <row r="33" spans="11:16" ht="28.8" customHeight="1" x14ac:dyDescent="0.3">
      <c r="K33" s="152">
        <f t="shared" si="0"/>
        <v>20</v>
      </c>
      <c r="L33" s="158">
        <v>50</v>
      </c>
      <c r="M33" s="152">
        <v>850</v>
      </c>
      <c r="N33" s="159">
        <v>350</v>
      </c>
      <c r="O33" s="159">
        <v>550</v>
      </c>
      <c r="P33" s="152" t="s">
        <v>279</v>
      </c>
    </row>
    <row r="34" spans="11:16" ht="28.8" customHeight="1" x14ac:dyDescent="0.3"/>
    <row r="35" spans="11:16" ht="28.8" customHeight="1" x14ac:dyDescent="0.3"/>
    <row r="36" spans="11:16" ht="28.8" customHeight="1" x14ac:dyDescent="0.3"/>
    <row r="37" spans="11:16" ht="28.8" customHeight="1" x14ac:dyDescent="0.3"/>
    <row r="38" spans="11:16" ht="28.8" customHeight="1" x14ac:dyDescent="0.3"/>
    <row r="39" spans="11:16" ht="28.8" customHeight="1" x14ac:dyDescent="0.3"/>
    <row r="40" spans="11:16" ht="28.8" customHeight="1" x14ac:dyDescent="0.3"/>
    <row r="41" spans="11:16" ht="28.8" customHeight="1" x14ac:dyDescent="0.3"/>
    <row r="42" spans="11:16" ht="28.8" customHeight="1" x14ac:dyDescent="0.3"/>
    <row r="43" spans="11:16" ht="28.8" customHeight="1" x14ac:dyDescent="0.3"/>
    <row r="44" spans="11:16" ht="28.8" customHeight="1" x14ac:dyDescent="0.3"/>
    <row r="45" spans="11:16" ht="28.8" customHeight="1" x14ac:dyDescent="0.3"/>
    <row r="46" spans="11:16" ht="28.8" customHeight="1" x14ac:dyDescent="0.3"/>
    <row r="47" spans="11:16" ht="28.8" customHeight="1" x14ac:dyDescent="0.3"/>
    <row r="48" spans="11:16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E09DCF-86B6-4F04-9FD0-451F4A5F58DB}">
  <sheetPr codeName="Planilha60">
    <tabColor rgb="FFC00000"/>
  </sheetPr>
  <dimension ref="A1:AY66"/>
  <sheetViews>
    <sheetView zoomScale="40" zoomScaleNormal="40" workbookViewId="0"/>
  </sheetViews>
  <sheetFormatPr defaultRowHeight="14.4" x14ac:dyDescent="0.3"/>
  <cols>
    <col min="1" max="4" width="8.88671875" style="100"/>
    <col min="5" max="5" width="4.5546875" style="100" bestFit="1" customWidth="1"/>
    <col min="6" max="6" width="21.88671875" style="100" bestFit="1" customWidth="1"/>
    <col min="7" max="7" width="26" style="100" bestFit="1" customWidth="1"/>
    <col min="8" max="8" width="19.44140625" style="100" bestFit="1" customWidth="1"/>
    <col min="9" max="9" width="12.109375" style="100" bestFit="1" customWidth="1"/>
    <col min="10" max="10" width="12.6640625" style="100" bestFit="1" customWidth="1"/>
    <col min="11" max="11" width="4.5546875" style="100" customWidth="1"/>
    <col min="12" max="12" width="25.44140625" style="100" customWidth="1"/>
    <col min="13" max="13" width="26.21875" style="100" customWidth="1"/>
    <col min="14" max="14" width="2.6640625" style="100" bestFit="1" customWidth="1"/>
    <col min="15" max="15" width="47.6640625" style="100" customWidth="1"/>
    <col min="16" max="16" width="2.6640625" style="100" bestFit="1" customWidth="1"/>
    <col min="17" max="17" width="20.44140625" style="100" bestFit="1" customWidth="1"/>
    <col min="18" max="18" width="2.6640625" style="100" bestFit="1" customWidth="1"/>
    <col min="19" max="19" width="46.88671875" style="100" customWidth="1"/>
    <col min="20" max="23" width="8.88671875" style="100"/>
    <col min="24" max="24" width="23.44140625" style="100" bestFit="1" customWidth="1"/>
    <col min="25" max="25" width="2.6640625" style="100" bestFit="1" customWidth="1"/>
    <col min="26" max="26" width="51.109375" style="100" customWidth="1"/>
    <col min="27" max="16384" width="8.88671875" style="100"/>
  </cols>
  <sheetData>
    <row r="1" spans="1:51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</row>
    <row r="2" spans="1:51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</row>
    <row r="3" spans="1:51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</row>
    <row r="4" spans="1:51" ht="46.2" customHeight="1" x14ac:dyDescent="0.3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  <c r="AV4" s="150"/>
      <c r="AW4" s="150"/>
      <c r="AX4" s="150"/>
      <c r="AY4" s="150"/>
    </row>
    <row r="5" spans="1:51" x14ac:dyDescent="0.3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  <c r="AV5" s="150"/>
      <c r="AW5" s="150"/>
      <c r="AX5" s="150"/>
      <c r="AY5" s="150"/>
    </row>
    <row r="6" spans="1:51" x14ac:dyDescent="0.3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  <c r="AV6" s="150"/>
      <c r="AW6" s="150"/>
      <c r="AX6" s="150"/>
      <c r="AY6" s="150"/>
    </row>
    <row r="7" spans="1:51" x14ac:dyDescent="0.3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  <c r="AX7" s="150"/>
      <c r="AY7" s="150"/>
    </row>
    <row r="8" spans="1:51" ht="28.8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</row>
    <row r="9" spans="1:51" ht="28.8" customHeight="1" x14ac:dyDescent="0.3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</row>
    <row r="10" spans="1:51" ht="28.8" customHeight="1" x14ac:dyDescent="0.3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</row>
    <row r="11" spans="1:51" ht="28.8" customHeight="1" x14ac:dyDescent="0.3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</row>
    <row r="12" spans="1:51" ht="28.8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</row>
    <row r="13" spans="1:51" ht="28.8" customHeight="1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</row>
    <row r="14" spans="1:51" ht="28.8" customHeight="1" x14ac:dyDescent="0.3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</row>
    <row r="15" spans="1:51" ht="28.8" customHeight="1" x14ac:dyDescent="0.3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</row>
    <row r="16" spans="1:51" ht="28.8" customHeight="1" x14ac:dyDescent="0.3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25"/>
      <c r="AJ16" s="25"/>
      <c r="AK16" s="25"/>
      <c r="AL16" s="25"/>
      <c r="AM16" s="25"/>
      <c r="AN16" s="25"/>
      <c r="AO16" s="25"/>
      <c r="AP16" s="25"/>
    </row>
    <row r="17" spans="1:42" ht="28.8" customHeight="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</row>
    <row r="18" spans="1:42" ht="28.8" customHeight="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</row>
    <row r="19" spans="1:42" ht="28.8" customHeight="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</row>
    <row r="20" spans="1:42" ht="28.8" customHeight="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</row>
    <row r="21" spans="1:42" ht="28.8" customHeight="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</row>
    <row r="22" spans="1:42" ht="28.8" customHeight="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</row>
    <row r="23" spans="1:42" ht="28.8" customHeight="1" x14ac:dyDescent="0.3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</row>
    <row r="24" spans="1:42" ht="28.8" customHeight="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</row>
    <row r="25" spans="1:42" ht="28.8" customHeight="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  <c r="AH25" s="25"/>
      <c r="AI25" s="25"/>
      <c r="AJ25" s="25"/>
      <c r="AK25" s="25"/>
      <c r="AL25" s="25"/>
      <c r="AM25" s="25"/>
      <c r="AN25" s="25"/>
      <c r="AO25" s="25"/>
      <c r="AP25" s="25"/>
    </row>
    <row r="26" spans="1:42" ht="28.8" customHeight="1" x14ac:dyDescent="0.3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</row>
    <row r="27" spans="1:42" ht="28.8" customHeight="1" x14ac:dyDescent="0.3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</row>
    <row r="28" spans="1:42" ht="28.8" customHeight="1" x14ac:dyDescent="0.3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</row>
    <row r="29" spans="1:42" ht="28.8" customHeight="1" x14ac:dyDescent="0.3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</row>
    <row r="30" spans="1:42" ht="28.8" customHeight="1" x14ac:dyDescent="0.3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</row>
    <row r="31" spans="1:42" ht="28.8" customHeight="1" x14ac:dyDescent="0.3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</row>
    <row r="32" spans="1:42" ht="28.8" customHeight="1" x14ac:dyDescent="0.3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</row>
    <row r="33" spans="1:42" ht="28.8" customHeight="1" x14ac:dyDescent="0.3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</row>
    <row r="34" spans="1:42" ht="28.8" customHeight="1" x14ac:dyDescent="0.3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</row>
    <row r="35" spans="1:42" ht="28.8" customHeight="1" x14ac:dyDescent="0.3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</row>
    <row r="36" spans="1:42" ht="28.8" customHeight="1" x14ac:dyDescent="0.3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</row>
    <row r="37" spans="1:42" ht="28.8" customHeight="1" x14ac:dyDescent="0.3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</row>
    <row r="38" spans="1:42" ht="28.8" customHeight="1" x14ac:dyDescent="0.3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</row>
    <row r="39" spans="1:42" ht="28.8" customHeight="1" x14ac:dyDescent="0.3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</row>
    <row r="40" spans="1:42" ht="28.8" customHeight="1" x14ac:dyDescent="0.3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</row>
    <row r="41" spans="1:42" ht="28.8" customHeight="1" x14ac:dyDescent="0.3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</row>
    <row r="42" spans="1:42" ht="28.8" customHeight="1" x14ac:dyDescent="0.3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</row>
    <row r="43" spans="1:42" ht="28.8" customHeight="1" x14ac:dyDescent="0.3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</row>
    <row r="44" spans="1:42" ht="28.8" customHeight="1" x14ac:dyDescent="0.3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</row>
    <row r="45" spans="1:42" ht="28.8" customHeight="1" x14ac:dyDescent="0.3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</row>
    <row r="46" spans="1:42" ht="28.8" customHeight="1" x14ac:dyDescent="0.3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</row>
    <row r="47" spans="1:42" ht="28.8" customHeight="1" x14ac:dyDescent="0.3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</row>
    <row r="48" spans="1:42" ht="28.8" customHeight="1" x14ac:dyDescent="0.3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</row>
    <row r="49" spans="1:42" ht="28.8" customHeight="1" x14ac:dyDescent="0.3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</row>
    <row r="50" spans="1:42" ht="28.8" customHeight="1" x14ac:dyDescent="0.3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</row>
    <row r="51" spans="1:42" ht="28.8" customHeight="1" x14ac:dyDescent="0.3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</row>
    <row r="52" spans="1:42" ht="28.8" customHeight="1" x14ac:dyDescent="0.3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</row>
    <row r="53" spans="1:42" ht="28.8" customHeight="1" x14ac:dyDescent="0.3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</row>
    <row r="54" spans="1:42" ht="28.8" customHeight="1" x14ac:dyDescent="0.3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</row>
    <row r="55" spans="1:42" ht="28.8" customHeight="1" x14ac:dyDescent="0.3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</row>
    <row r="56" spans="1:42" ht="28.8" customHeight="1" x14ac:dyDescent="0.3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</row>
    <row r="57" spans="1:42" ht="28.8" customHeight="1" x14ac:dyDescent="0.3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</row>
    <row r="58" spans="1:42" ht="28.8" customHeight="1" x14ac:dyDescent="0.3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</row>
    <row r="59" spans="1:42" ht="28.8" customHeight="1" x14ac:dyDescent="0.3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</row>
    <row r="60" spans="1:42" ht="28.8" customHeight="1" x14ac:dyDescent="0.3"/>
    <row r="61" spans="1:42" ht="28.8" customHeight="1" x14ac:dyDescent="0.3"/>
    <row r="62" spans="1:42" ht="28.8" customHeight="1" x14ac:dyDescent="0.3"/>
    <row r="63" spans="1:42" ht="28.8" customHeight="1" x14ac:dyDescent="0.3"/>
    <row r="64" spans="1:42" ht="28.8" customHeight="1" x14ac:dyDescent="0.3"/>
    <row r="65" ht="28.8" customHeight="1" x14ac:dyDescent="0.3"/>
    <row r="66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A7624-8143-4CFA-ABF8-6AB5E39AAA64}">
  <sheetPr codeName="Planilha35">
    <tabColor rgb="FFC00000"/>
  </sheetPr>
  <dimension ref="A1:AY66"/>
  <sheetViews>
    <sheetView zoomScale="40" zoomScaleNormal="40" workbookViewId="0">
      <selection activeCell="S33" sqref="S33"/>
    </sheetView>
  </sheetViews>
  <sheetFormatPr defaultRowHeight="14.4" x14ac:dyDescent="0.3"/>
  <cols>
    <col min="1" max="4" width="8.88671875" style="100"/>
    <col min="5" max="5" width="4.5546875" style="100" bestFit="1" customWidth="1"/>
    <col min="6" max="6" width="21.88671875" style="100" bestFit="1" customWidth="1"/>
    <col min="7" max="7" width="26" style="100" bestFit="1" customWidth="1"/>
    <col min="8" max="8" width="19.44140625" style="100" bestFit="1" customWidth="1"/>
    <col min="9" max="9" width="12.109375" style="100" bestFit="1" customWidth="1"/>
    <col min="10" max="10" width="12.6640625" style="100" bestFit="1" customWidth="1"/>
    <col min="11" max="11" width="4.5546875" style="100" customWidth="1"/>
    <col min="12" max="12" width="25.44140625" style="100" customWidth="1"/>
    <col min="13" max="13" width="26.21875" style="100" customWidth="1"/>
    <col min="14" max="14" width="2.6640625" style="100" bestFit="1" customWidth="1"/>
    <col min="15" max="15" width="47.6640625" style="100" customWidth="1"/>
    <col min="16" max="16" width="2.6640625" style="100" bestFit="1" customWidth="1"/>
    <col min="17" max="17" width="20.44140625" style="100" bestFit="1" customWidth="1"/>
    <col min="18" max="18" width="2.6640625" style="100" bestFit="1" customWidth="1"/>
    <col min="19" max="19" width="46.88671875" style="100" customWidth="1"/>
    <col min="20" max="23" width="8.88671875" style="100"/>
    <col min="24" max="24" width="23.44140625" style="100" bestFit="1" customWidth="1"/>
    <col min="25" max="25" width="2.6640625" style="100" bestFit="1" customWidth="1"/>
    <col min="26" max="26" width="51.109375" style="100" customWidth="1"/>
    <col min="27" max="16384" width="8.88671875" style="100"/>
  </cols>
  <sheetData>
    <row r="1" spans="1:51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</row>
    <row r="2" spans="1:51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</row>
    <row r="3" spans="1:51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</row>
    <row r="4" spans="1:51" ht="46.2" customHeight="1" x14ac:dyDescent="0.3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  <c r="AV4" s="150"/>
      <c r="AW4" s="150"/>
      <c r="AX4" s="150"/>
      <c r="AY4" s="150"/>
    </row>
    <row r="5" spans="1:51" x14ac:dyDescent="0.3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  <c r="AV5" s="150"/>
      <c r="AW5" s="150"/>
      <c r="AX5" s="150"/>
      <c r="AY5" s="150"/>
    </row>
    <row r="6" spans="1:51" x14ac:dyDescent="0.3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  <c r="AV6" s="150"/>
      <c r="AW6" s="150"/>
      <c r="AX6" s="150"/>
      <c r="AY6" s="150"/>
    </row>
    <row r="7" spans="1:51" x14ac:dyDescent="0.3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  <c r="AX7" s="150"/>
      <c r="AY7" s="150"/>
    </row>
    <row r="8" spans="1:51" ht="28.8" customHeight="1" x14ac:dyDescent="0.3"/>
    <row r="9" spans="1:51" ht="28.8" customHeight="1" x14ac:dyDescent="0.3"/>
    <row r="10" spans="1:51" ht="28.8" customHeight="1" x14ac:dyDescent="0.3"/>
    <row r="11" spans="1:51" ht="28.8" customHeight="1" x14ac:dyDescent="0.3"/>
    <row r="12" spans="1:51" ht="28.8" customHeight="1" x14ac:dyDescent="0.3"/>
    <row r="13" spans="1:51" ht="28.8" customHeight="1" thickBot="1" x14ac:dyDescent="0.35"/>
    <row r="14" spans="1:51" ht="28.8" customHeight="1" x14ac:dyDescent="0.3">
      <c r="N14" s="271" t="s">
        <v>280</v>
      </c>
      <c r="O14" s="272"/>
      <c r="P14" s="272"/>
      <c r="Q14" s="272"/>
      <c r="R14" s="272"/>
      <c r="S14" s="272"/>
      <c r="T14" s="273"/>
      <c r="W14" s="293" t="s">
        <v>281</v>
      </c>
      <c r="X14" s="294"/>
      <c r="Y14" s="294"/>
      <c r="Z14" s="294"/>
      <c r="AA14" s="295"/>
    </row>
    <row r="15" spans="1:51" ht="28.8" customHeight="1" x14ac:dyDescent="0.3">
      <c r="N15" s="274"/>
      <c r="O15" s="275"/>
      <c r="P15" s="275"/>
      <c r="Q15" s="275"/>
      <c r="R15" s="275"/>
      <c r="S15" s="275"/>
      <c r="T15" s="276"/>
      <c r="W15" s="296"/>
      <c r="X15" s="297"/>
      <c r="Y15" s="297"/>
      <c r="Z15" s="297"/>
      <c r="AA15" s="298"/>
    </row>
    <row r="16" spans="1:51" ht="28.8" customHeight="1" x14ac:dyDescent="0.3">
      <c r="N16" s="274"/>
      <c r="O16" s="275"/>
      <c r="P16" s="275"/>
      <c r="Q16" s="275"/>
      <c r="R16" s="275"/>
      <c r="S16" s="275"/>
      <c r="T16" s="276"/>
      <c r="W16" s="296"/>
      <c r="X16" s="297"/>
      <c r="Y16" s="297"/>
      <c r="Z16" s="297"/>
      <c r="AA16" s="298"/>
    </row>
    <row r="17" spans="14:27" ht="28.8" customHeight="1" x14ac:dyDescent="0.55000000000000004">
      <c r="N17" s="17" t="s">
        <v>13</v>
      </c>
      <c r="O17" s="43" t="s">
        <v>13</v>
      </c>
      <c r="P17" s="43" t="s">
        <v>13</v>
      </c>
      <c r="Q17" s="43" t="s">
        <v>13</v>
      </c>
      <c r="R17" s="43" t="s">
        <v>13</v>
      </c>
      <c r="S17" s="45" t="s">
        <v>13</v>
      </c>
      <c r="T17" s="128" t="s">
        <v>13</v>
      </c>
      <c r="W17" s="29" t="s">
        <v>13</v>
      </c>
      <c r="X17" s="26" t="s">
        <v>13</v>
      </c>
      <c r="Y17" s="27" t="s">
        <v>13</v>
      </c>
      <c r="Z17" s="27" t="s">
        <v>13</v>
      </c>
      <c r="AA17" s="30" t="s">
        <v>13</v>
      </c>
    </row>
    <row r="18" spans="14:27" ht="28.8" customHeight="1" x14ac:dyDescent="0.55000000000000004">
      <c r="N18" s="17" t="s">
        <v>13</v>
      </c>
      <c r="O18" s="138" t="s">
        <v>3</v>
      </c>
      <c r="P18" s="44"/>
      <c r="Q18" s="43" t="s">
        <v>13</v>
      </c>
      <c r="R18" s="43" t="s">
        <v>13</v>
      </c>
      <c r="S18" s="514">
        <v>1</v>
      </c>
      <c r="T18" s="128" t="s">
        <v>13</v>
      </c>
      <c r="W18" s="29" t="s">
        <v>13</v>
      </c>
      <c r="X18" s="164" t="s">
        <v>282</v>
      </c>
      <c r="Y18" s="28"/>
      <c r="Z18" s="102"/>
      <c r="AA18" s="31" t="s">
        <v>13</v>
      </c>
    </row>
    <row r="19" spans="14:27" ht="28.8" customHeight="1" x14ac:dyDescent="0.55000000000000004">
      <c r="N19" s="17" t="s">
        <v>13</v>
      </c>
      <c r="O19" s="43" t="s">
        <v>13</v>
      </c>
      <c r="P19" s="43" t="s">
        <v>13</v>
      </c>
      <c r="Q19" s="43" t="s">
        <v>13</v>
      </c>
      <c r="R19" s="43" t="s">
        <v>13</v>
      </c>
      <c r="S19" s="515" t="s">
        <v>13</v>
      </c>
      <c r="T19" s="13" t="s">
        <v>13</v>
      </c>
      <c r="W19" s="29" t="s">
        <v>13</v>
      </c>
      <c r="X19" s="83"/>
      <c r="Y19" s="27"/>
      <c r="Z19" s="27"/>
      <c r="AA19" s="30" t="s">
        <v>13</v>
      </c>
    </row>
    <row r="20" spans="14:27" ht="28.8" customHeight="1" x14ac:dyDescent="0.55000000000000004">
      <c r="N20" s="17" t="s">
        <v>13</v>
      </c>
      <c r="O20" s="160" t="s">
        <v>4</v>
      </c>
      <c r="P20" s="44"/>
      <c r="Q20" s="43" t="s">
        <v>13</v>
      </c>
      <c r="R20" s="43" t="s">
        <v>13</v>
      </c>
      <c r="S20" s="514">
        <v>1</v>
      </c>
      <c r="T20" s="128" t="s">
        <v>13</v>
      </c>
      <c r="W20" s="29" t="s">
        <v>13</v>
      </c>
      <c r="X20" s="164" t="s">
        <v>283</v>
      </c>
      <c r="Y20" s="28"/>
      <c r="Z20" s="102"/>
      <c r="AA20" s="31" t="s">
        <v>13</v>
      </c>
    </row>
    <row r="21" spans="14:27" ht="28.8" customHeight="1" x14ac:dyDescent="0.55000000000000004">
      <c r="N21" s="17" t="s">
        <v>13</v>
      </c>
      <c r="O21" s="161"/>
      <c r="P21" s="43" t="s">
        <v>13</v>
      </c>
      <c r="Q21" s="43" t="s">
        <v>13</v>
      </c>
      <c r="R21" s="43" t="s">
        <v>13</v>
      </c>
      <c r="S21" s="515" t="s">
        <v>13</v>
      </c>
      <c r="T21" s="128" t="s">
        <v>13</v>
      </c>
      <c r="W21" s="29" t="s">
        <v>13</v>
      </c>
      <c r="X21" s="28"/>
      <c r="Y21" s="27"/>
      <c r="Z21" s="27"/>
      <c r="AA21" s="30" t="s">
        <v>13</v>
      </c>
    </row>
    <row r="22" spans="14:27" ht="28.8" customHeight="1" x14ac:dyDescent="0.55000000000000004">
      <c r="N22" s="17" t="s">
        <v>13</v>
      </c>
      <c r="O22" s="160" t="s">
        <v>5</v>
      </c>
      <c r="P22" s="43" t="s">
        <v>13</v>
      </c>
      <c r="Q22" s="43" t="s">
        <v>13</v>
      </c>
      <c r="R22" s="43" t="s">
        <v>13</v>
      </c>
      <c r="S22" s="516">
        <v>5</v>
      </c>
      <c r="T22" s="128" t="s">
        <v>13</v>
      </c>
      <c r="W22" s="29" t="s">
        <v>13</v>
      </c>
      <c r="X22" s="28"/>
      <c r="Y22" s="28"/>
      <c r="Z22" s="28"/>
      <c r="AA22" s="31" t="s">
        <v>13</v>
      </c>
    </row>
    <row r="23" spans="14:27" ht="28.8" customHeight="1" x14ac:dyDescent="0.55000000000000004">
      <c r="N23" s="17" t="s">
        <v>13</v>
      </c>
      <c r="O23" s="161"/>
      <c r="P23" s="43" t="s">
        <v>13</v>
      </c>
      <c r="Q23" s="43" t="s">
        <v>13</v>
      </c>
      <c r="R23" s="43" t="s">
        <v>13</v>
      </c>
      <c r="S23" s="515" t="s">
        <v>13</v>
      </c>
      <c r="T23" s="128" t="s">
        <v>13</v>
      </c>
      <c r="W23" s="29" t="s">
        <v>13</v>
      </c>
      <c r="X23" s="28"/>
      <c r="Y23" s="27"/>
      <c r="Z23" s="27"/>
      <c r="AA23" s="30" t="s">
        <v>13</v>
      </c>
    </row>
    <row r="24" spans="14:27" ht="28.8" customHeight="1" x14ac:dyDescent="0.55000000000000004">
      <c r="N24" s="17" t="s">
        <v>13</v>
      </c>
      <c r="O24" s="160" t="s">
        <v>6</v>
      </c>
      <c r="P24" s="43" t="s">
        <v>13</v>
      </c>
      <c r="Q24" s="43" t="s">
        <v>13</v>
      </c>
      <c r="R24" s="43" t="s">
        <v>13</v>
      </c>
      <c r="S24" s="516">
        <v>3</v>
      </c>
      <c r="T24" s="128" t="s">
        <v>13</v>
      </c>
      <c r="W24" s="29" t="s">
        <v>13</v>
      </c>
      <c r="X24" s="28"/>
      <c r="Y24" s="28"/>
      <c r="Z24" s="28"/>
      <c r="AA24" s="30" t="s">
        <v>13</v>
      </c>
    </row>
    <row r="25" spans="14:27" ht="28.8" customHeight="1" x14ac:dyDescent="0.55000000000000004">
      <c r="N25" s="17" t="s">
        <v>13</v>
      </c>
      <c r="O25" s="161"/>
      <c r="P25" s="43" t="s">
        <v>13</v>
      </c>
      <c r="Q25" s="43" t="s">
        <v>13</v>
      </c>
      <c r="R25" s="43" t="s">
        <v>13</v>
      </c>
      <c r="S25" s="515" t="s">
        <v>13</v>
      </c>
      <c r="T25" s="128" t="s">
        <v>13</v>
      </c>
      <c r="W25" s="29" t="s">
        <v>13</v>
      </c>
      <c r="X25" s="28"/>
      <c r="Y25" s="28"/>
      <c r="Z25" s="27"/>
      <c r="AA25" s="30" t="s">
        <v>13</v>
      </c>
    </row>
    <row r="26" spans="14:27" ht="28.8" customHeight="1" x14ac:dyDescent="0.55000000000000004">
      <c r="N26" s="61"/>
      <c r="O26" s="160" t="s">
        <v>7</v>
      </c>
      <c r="P26" s="72"/>
      <c r="Q26" s="72"/>
      <c r="R26" s="72"/>
      <c r="S26" s="517">
        <v>2</v>
      </c>
      <c r="T26" s="7"/>
      <c r="W26" s="29" t="s">
        <v>13</v>
      </c>
      <c r="X26" s="28"/>
      <c r="Y26" s="28"/>
      <c r="Z26" s="28"/>
      <c r="AA26" s="30" t="s">
        <v>13</v>
      </c>
    </row>
    <row r="27" spans="14:27" ht="28.8" customHeight="1" thickBot="1" x14ac:dyDescent="0.6">
      <c r="N27" s="61"/>
      <c r="O27" s="72"/>
      <c r="P27" s="72"/>
      <c r="Q27" s="72"/>
      <c r="R27" s="72"/>
      <c r="S27" s="72"/>
      <c r="T27" s="7"/>
      <c r="W27" s="32" t="s">
        <v>13</v>
      </c>
      <c r="X27" s="34" t="s">
        <v>13</v>
      </c>
      <c r="Y27" s="35" t="s">
        <v>13</v>
      </c>
      <c r="Z27" s="33" t="s">
        <v>13</v>
      </c>
      <c r="AA27" s="36" t="s">
        <v>13</v>
      </c>
    </row>
    <row r="28" spans="14:27" ht="28.8" customHeight="1" x14ac:dyDescent="0.3">
      <c r="N28" s="61"/>
      <c r="O28" s="72"/>
      <c r="P28" s="72"/>
      <c r="Q28" s="72"/>
      <c r="R28" s="72"/>
      <c r="S28" s="72"/>
      <c r="T28" s="7"/>
    </row>
    <row r="29" spans="14:27" ht="28.8" customHeight="1" x14ac:dyDescent="0.3">
      <c r="N29" s="61"/>
      <c r="O29" s="72"/>
      <c r="P29" s="72"/>
      <c r="Q29" s="72"/>
      <c r="R29" s="72"/>
      <c r="S29" s="72"/>
      <c r="T29" s="7"/>
    </row>
    <row r="30" spans="14:27" ht="28.8" customHeight="1" x14ac:dyDescent="0.3">
      <c r="N30" s="61"/>
      <c r="O30" s="72"/>
      <c r="P30" s="72"/>
      <c r="Q30" s="72"/>
      <c r="R30" s="72"/>
      <c r="S30" s="72"/>
      <c r="T30" s="7"/>
    </row>
    <row r="31" spans="14:27" ht="28.8" customHeight="1" thickBot="1" x14ac:dyDescent="0.35">
      <c r="N31" s="73"/>
      <c r="O31" s="74"/>
      <c r="P31" s="74"/>
      <c r="Q31" s="74"/>
      <c r="R31" s="74"/>
      <c r="S31" s="74"/>
      <c r="T31" s="75"/>
    </row>
    <row r="32" spans="14:27" ht="28.8" customHeight="1" x14ac:dyDescent="0.3"/>
    <row r="33" ht="28.8" customHeight="1" x14ac:dyDescent="0.3"/>
    <row r="34" ht="28.8" customHeight="1" x14ac:dyDescent="0.3"/>
    <row r="35" ht="28.8" customHeight="1" x14ac:dyDescent="0.3"/>
    <row r="36" ht="28.8" customHeight="1" x14ac:dyDescent="0.3"/>
    <row r="37" ht="28.8" customHeight="1" x14ac:dyDescent="0.3"/>
    <row r="38" ht="28.8" customHeight="1" x14ac:dyDescent="0.3"/>
    <row r="39" ht="28.8" customHeight="1" x14ac:dyDescent="0.3"/>
    <row r="40" ht="28.8" customHeight="1" x14ac:dyDescent="0.3"/>
    <row r="41" ht="28.8" customHeight="1" x14ac:dyDescent="0.3"/>
    <row r="42" ht="28.8" customHeight="1" x14ac:dyDescent="0.3"/>
    <row r="43" ht="28.8" customHeight="1" x14ac:dyDescent="0.3"/>
    <row r="44" ht="28.8" customHeight="1" x14ac:dyDescent="0.3"/>
    <row r="45" ht="28.8" customHeight="1" x14ac:dyDescent="0.3"/>
    <row r="46" ht="28.8" customHeight="1" x14ac:dyDescent="0.3"/>
    <row r="47" ht="28.8" customHeight="1" x14ac:dyDescent="0.3"/>
    <row r="48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2">
    <mergeCell ref="N14:T16"/>
    <mergeCell ref="W14:AA1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D8A9E-38FA-4653-989A-67569D16AA89}">
  <sheetPr codeName="Planilha36">
    <tabColor rgb="FFC00000"/>
  </sheetPr>
  <dimension ref="A1:AY66"/>
  <sheetViews>
    <sheetView zoomScale="40" zoomScaleNormal="40" workbookViewId="0">
      <selection activeCell="X30" sqref="X30"/>
    </sheetView>
  </sheetViews>
  <sheetFormatPr defaultRowHeight="14.4" x14ac:dyDescent="0.3"/>
  <cols>
    <col min="1" max="4" width="8.88671875" style="100"/>
    <col min="5" max="5" width="4.5546875" style="100" bestFit="1" customWidth="1"/>
    <col min="6" max="6" width="21.88671875" style="100" bestFit="1" customWidth="1"/>
    <col min="7" max="7" width="26" style="100" bestFit="1" customWidth="1"/>
    <col min="8" max="8" width="19.44140625" style="100" bestFit="1" customWidth="1"/>
    <col min="9" max="9" width="12.109375" style="100" bestFit="1" customWidth="1"/>
    <col min="10" max="10" width="12.6640625" style="100" bestFit="1" customWidth="1"/>
    <col min="11" max="11" width="4.5546875" style="100" customWidth="1"/>
    <col min="12" max="12" width="25.44140625" style="100" customWidth="1"/>
    <col min="13" max="13" width="26.21875" style="100" customWidth="1"/>
    <col min="14" max="14" width="2.6640625" style="100" bestFit="1" customWidth="1"/>
    <col min="15" max="15" width="47.6640625" style="100" customWidth="1"/>
    <col min="16" max="16" width="2.6640625" style="100" bestFit="1" customWidth="1"/>
    <col min="17" max="17" width="20.44140625" style="100" bestFit="1" customWidth="1"/>
    <col min="18" max="18" width="2.6640625" style="100" bestFit="1" customWidth="1"/>
    <col min="19" max="19" width="31.33203125" style="100" customWidth="1"/>
    <col min="20" max="23" width="8.88671875" style="100"/>
    <col min="24" max="24" width="23.44140625" style="100" bestFit="1" customWidth="1"/>
    <col min="25" max="25" width="2.6640625" style="100" bestFit="1" customWidth="1"/>
    <col min="26" max="26" width="51.109375" style="100" customWidth="1"/>
    <col min="27" max="16384" width="8.88671875" style="100"/>
  </cols>
  <sheetData>
    <row r="1" spans="1:51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</row>
    <row r="2" spans="1:51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  <c r="AX2" s="101"/>
      <c r="AY2" s="101"/>
    </row>
    <row r="3" spans="1:51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</row>
    <row r="4" spans="1:51" ht="46.2" customHeight="1" x14ac:dyDescent="0.3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  <c r="AV4" s="150"/>
      <c r="AW4" s="150"/>
      <c r="AX4" s="150"/>
      <c r="AY4" s="150"/>
    </row>
    <row r="5" spans="1:51" x14ac:dyDescent="0.3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  <c r="AV5" s="150"/>
      <c r="AW5" s="150"/>
      <c r="AX5" s="150"/>
      <c r="AY5" s="150"/>
    </row>
    <row r="6" spans="1:51" x14ac:dyDescent="0.3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  <c r="AV6" s="150"/>
      <c r="AW6" s="150"/>
      <c r="AX6" s="150"/>
      <c r="AY6" s="150"/>
    </row>
    <row r="7" spans="1:51" x14ac:dyDescent="0.3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  <c r="AX7" s="150"/>
      <c r="AY7" s="150"/>
    </row>
    <row r="8" spans="1:51" ht="28.8" customHeight="1" x14ac:dyDescent="0.3"/>
    <row r="9" spans="1:51" ht="28.8" customHeight="1" x14ac:dyDescent="0.3"/>
    <row r="10" spans="1:51" ht="28.8" customHeight="1" x14ac:dyDescent="0.3"/>
    <row r="11" spans="1:51" ht="28.8" customHeight="1" x14ac:dyDescent="0.3"/>
    <row r="12" spans="1:51" ht="28.8" customHeight="1" x14ac:dyDescent="0.3"/>
    <row r="13" spans="1:51" ht="28.8" customHeight="1" thickBot="1" x14ac:dyDescent="0.35"/>
    <row r="14" spans="1:51" ht="28.8" customHeight="1" x14ac:dyDescent="0.3">
      <c r="N14" s="271" t="s">
        <v>280</v>
      </c>
      <c r="O14" s="272"/>
      <c r="P14" s="272"/>
      <c r="Q14" s="272"/>
      <c r="R14" s="272"/>
      <c r="S14" s="272"/>
      <c r="T14" s="273"/>
    </row>
    <row r="15" spans="1:51" ht="28.8" customHeight="1" x14ac:dyDescent="0.3">
      <c r="N15" s="274"/>
      <c r="O15" s="275"/>
      <c r="P15" s="275"/>
      <c r="Q15" s="275"/>
      <c r="R15" s="275"/>
      <c r="S15" s="275"/>
      <c r="T15" s="276"/>
    </row>
    <row r="16" spans="1:51" ht="28.8" customHeight="1" x14ac:dyDescent="0.3">
      <c r="N16" s="274"/>
      <c r="O16" s="275"/>
      <c r="P16" s="275"/>
      <c r="Q16" s="275"/>
      <c r="R16" s="275"/>
      <c r="S16" s="275"/>
      <c r="T16" s="276"/>
    </row>
    <row r="17" spans="14:20" ht="28.8" customHeight="1" x14ac:dyDescent="0.55000000000000004">
      <c r="N17" s="17" t="s">
        <v>13</v>
      </c>
      <c r="O17" s="43" t="s">
        <v>13</v>
      </c>
      <c r="P17" s="43" t="s">
        <v>13</v>
      </c>
      <c r="Q17" s="43" t="s">
        <v>13</v>
      </c>
      <c r="R17" s="43" t="s">
        <v>13</v>
      </c>
      <c r="S17" s="45" t="s">
        <v>13</v>
      </c>
      <c r="T17" s="128" t="s">
        <v>13</v>
      </c>
    </row>
    <row r="18" spans="14:20" ht="28.8" customHeight="1" x14ac:dyDescent="0.55000000000000004">
      <c r="N18" s="17" t="s">
        <v>13</v>
      </c>
      <c r="O18" s="138" t="s">
        <v>3</v>
      </c>
      <c r="P18" s="44"/>
      <c r="Q18" s="43" t="s">
        <v>13</v>
      </c>
      <c r="R18" s="43" t="s">
        <v>13</v>
      </c>
      <c r="S18" s="123"/>
      <c r="T18" s="128" t="s">
        <v>13</v>
      </c>
    </row>
    <row r="19" spans="14:20" ht="28.8" customHeight="1" x14ac:dyDescent="0.55000000000000004">
      <c r="N19" s="17" t="s">
        <v>13</v>
      </c>
      <c r="O19" s="43" t="s">
        <v>13</v>
      </c>
      <c r="P19" s="43" t="s">
        <v>13</v>
      </c>
      <c r="Q19" s="43" t="s">
        <v>13</v>
      </c>
      <c r="R19" s="43" t="s">
        <v>13</v>
      </c>
      <c r="S19" s="45" t="s">
        <v>13</v>
      </c>
      <c r="T19" s="13" t="s">
        <v>13</v>
      </c>
    </row>
    <row r="20" spans="14:20" ht="28.8" customHeight="1" x14ac:dyDescent="0.55000000000000004">
      <c r="N20" s="17" t="s">
        <v>13</v>
      </c>
      <c r="O20" s="160" t="s">
        <v>4</v>
      </c>
      <c r="P20" s="44"/>
      <c r="Q20" s="43" t="s">
        <v>13</v>
      </c>
      <c r="R20" s="43" t="s">
        <v>13</v>
      </c>
      <c r="S20" s="123"/>
      <c r="T20" s="128" t="s">
        <v>13</v>
      </c>
    </row>
    <row r="21" spans="14:20" ht="28.8" customHeight="1" x14ac:dyDescent="0.55000000000000004">
      <c r="N21" s="17" t="s">
        <v>13</v>
      </c>
      <c r="O21" s="161"/>
      <c r="P21" s="43" t="s">
        <v>13</v>
      </c>
      <c r="Q21" s="43" t="s">
        <v>13</v>
      </c>
      <c r="R21" s="43" t="s">
        <v>13</v>
      </c>
      <c r="S21" s="137" t="s">
        <v>13</v>
      </c>
      <c r="T21" s="128" t="s">
        <v>13</v>
      </c>
    </row>
    <row r="22" spans="14:20" ht="28.8" customHeight="1" x14ac:dyDescent="0.55000000000000004">
      <c r="N22" s="17" t="s">
        <v>13</v>
      </c>
      <c r="O22" s="160" t="s">
        <v>5</v>
      </c>
      <c r="P22" s="43" t="s">
        <v>13</v>
      </c>
      <c r="Q22" s="43" t="s">
        <v>13</v>
      </c>
      <c r="R22" s="43" t="s">
        <v>13</v>
      </c>
      <c r="S22" s="162" t="s">
        <v>13</v>
      </c>
      <c r="T22" s="128" t="s">
        <v>13</v>
      </c>
    </row>
    <row r="23" spans="14:20" ht="28.8" customHeight="1" x14ac:dyDescent="0.55000000000000004">
      <c r="N23" s="17" t="s">
        <v>13</v>
      </c>
      <c r="O23" s="161"/>
      <c r="P23" s="43" t="s">
        <v>13</v>
      </c>
      <c r="Q23" s="43" t="s">
        <v>13</v>
      </c>
      <c r="R23" s="43" t="s">
        <v>13</v>
      </c>
      <c r="S23" s="137" t="s">
        <v>13</v>
      </c>
      <c r="T23" s="128" t="s">
        <v>13</v>
      </c>
    </row>
    <row r="24" spans="14:20" ht="28.8" customHeight="1" x14ac:dyDescent="0.55000000000000004">
      <c r="N24" s="17" t="s">
        <v>13</v>
      </c>
      <c r="O24" s="160" t="s">
        <v>6</v>
      </c>
      <c r="P24" s="43" t="s">
        <v>13</v>
      </c>
      <c r="Q24" s="43" t="s">
        <v>13</v>
      </c>
      <c r="R24" s="43" t="s">
        <v>13</v>
      </c>
      <c r="S24" s="162" t="s">
        <v>13</v>
      </c>
      <c r="T24" s="128" t="s">
        <v>13</v>
      </c>
    </row>
    <row r="25" spans="14:20" ht="28.8" customHeight="1" x14ac:dyDescent="0.55000000000000004">
      <c r="N25" s="17" t="s">
        <v>13</v>
      </c>
      <c r="O25" s="161"/>
      <c r="P25" s="43" t="s">
        <v>13</v>
      </c>
      <c r="Q25" s="43" t="s">
        <v>13</v>
      </c>
      <c r="R25" s="43" t="s">
        <v>13</v>
      </c>
      <c r="S25" s="137" t="s">
        <v>13</v>
      </c>
      <c r="T25" s="128" t="s">
        <v>13</v>
      </c>
    </row>
    <row r="26" spans="14:20" ht="28.8" customHeight="1" x14ac:dyDescent="0.3">
      <c r="N26" s="61"/>
      <c r="O26" s="160" t="s">
        <v>7</v>
      </c>
      <c r="P26" s="72"/>
      <c r="Q26" s="72"/>
      <c r="R26" s="72"/>
      <c r="S26" s="163"/>
      <c r="T26" s="7"/>
    </row>
    <row r="27" spans="14:20" ht="28.8" customHeight="1" x14ac:dyDescent="0.3">
      <c r="N27" s="61"/>
      <c r="O27" s="72"/>
      <c r="P27" s="72"/>
      <c r="Q27" s="72"/>
      <c r="R27" s="72"/>
      <c r="S27" s="72"/>
      <c r="T27" s="7"/>
    </row>
    <row r="28" spans="14:20" ht="28.8" customHeight="1" x14ac:dyDescent="0.3">
      <c r="N28" s="61"/>
      <c r="O28" s="72"/>
      <c r="P28" s="72"/>
      <c r="Q28" s="72"/>
      <c r="R28" s="72"/>
      <c r="S28" s="72"/>
      <c r="T28" s="7"/>
    </row>
    <row r="29" spans="14:20" ht="28.8" customHeight="1" x14ac:dyDescent="0.3">
      <c r="N29" s="61"/>
      <c r="O29" s="72"/>
      <c r="P29" s="72"/>
      <c r="Q29" s="72"/>
      <c r="R29" s="72"/>
      <c r="S29" s="72"/>
      <c r="T29" s="7"/>
    </row>
    <row r="30" spans="14:20" ht="28.8" customHeight="1" x14ac:dyDescent="0.3">
      <c r="N30" s="61"/>
      <c r="O30" s="72"/>
      <c r="P30" s="72"/>
      <c r="Q30" s="72"/>
      <c r="R30" s="72"/>
      <c r="S30" s="72"/>
      <c r="T30" s="7"/>
    </row>
    <row r="31" spans="14:20" ht="28.8" customHeight="1" thickBot="1" x14ac:dyDescent="0.35">
      <c r="N31" s="73"/>
      <c r="O31" s="74"/>
      <c r="P31" s="74"/>
      <c r="Q31" s="74"/>
      <c r="R31" s="74"/>
      <c r="S31" s="74"/>
      <c r="T31" s="75"/>
    </row>
    <row r="32" spans="14:20" ht="28.8" customHeight="1" x14ac:dyDescent="0.3"/>
    <row r="33" ht="28.8" customHeight="1" x14ac:dyDescent="0.3"/>
    <row r="34" ht="28.8" customHeight="1" x14ac:dyDescent="0.3"/>
    <row r="35" ht="28.8" customHeight="1" x14ac:dyDescent="0.3"/>
    <row r="36" ht="28.8" customHeight="1" x14ac:dyDescent="0.3"/>
    <row r="37" ht="28.8" customHeight="1" x14ac:dyDescent="0.3"/>
    <row r="38" ht="28.8" customHeight="1" x14ac:dyDescent="0.3"/>
    <row r="39" ht="28.8" customHeight="1" x14ac:dyDescent="0.3"/>
    <row r="40" ht="28.8" customHeight="1" x14ac:dyDescent="0.3"/>
    <row r="41" ht="28.8" customHeight="1" x14ac:dyDescent="0.3"/>
    <row r="42" ht="28.8" customHeight="1" x14ac:dyDescent="0.3"/>
    <row r="43" ht="28.8" customHeight="1" x14ac:dyDescent="0.3"/>
    <row r="44" ht="28.8" customHeight="1" x14ac:dyDescent="0.3"/>
    <row r="45" ht="28.8" customHeight="1" x14ac:dyDescent="0.3"/>
    <row r="46" ht="28.8" customHeight="1" x14ac:dyDescent="0.3"/>
    <row r="47" ht="28.8" customHeight="1" x14ac:dyDescent="0.3"/>
    <row r="48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1">
    <mergeCell ref="N14:T1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8E33B-D879-4247-9767-FBD5E77595A7}">
  <sheetPr codeName="Planilha61">
    <tabColor rgb="FF00B050"/>
  </sheetPr>
  <dimension ref="A1:AW66"/>
  <sheetViews>
    <sheetView zoomScale="40" zoomScaleNormal="40" workbookViewId="0">
      <selection activeCell="X35" sqref="X35"/>
    </sheetView>
  </sheetViews>
  <sheetFormatPr defaultRowHeight="14.4" x14ac:dyDescent="0.3"/>
  <cols>
    <col min="1" max="4" width="8.88671875" style="100"/>
    <col min="5" max="5" width="4.5546875" style="100" bestFit="1" customWidth="1"/>
    <col min="6" max="6" width="21.88671875" style="100" bestFit="1" customWidth="1"/>
    <col min="7" max="7" width="26" style="100" bestFit="1" customWidth="1"/>
    <col min="8" max="8" width="19.44140625" style="100" bestFit="1" customWidth="1"/>
    <col min="9" max="9" width="12.109375" style="100" bestFit="1" customWidth="1"/>
    <col min="10" max="10" width="12.6640625" style="100" bestFit="1" customWidth="1"/>
    <col min="11" max="11" width="4.5546875" style="100" customWidth="1"/>
    <col min="12" max="12" width="25.44140625" style="100" customWidth="1"/>
    <col min="13" max="13" width="26.21875" style="100" customWidth="1"/>
    <col min="14" max="14" width="2.6640625" style="100" bestFit="1" customWidth="1"/>
    <col min="15" max="15" width="99.33203125" style="100" bestFit="1" customWidth="1"/>
    <col min="16" max="16" width="11.21875" style="100" customWidth="1"/>
    <col min="17" max="17" width="56.1093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  <c r="AV4" s="150"/>
      <c r="AW4" s="150"/>
    </row>
    <row r="5" spans="1:49" x14ac:dyDescent="0.3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  <c r="AV5" s="150"/>
      <c r="AW5" s="150"/>
    </row>
    <row r="6" spans="1:49" x14ac:dyDescent="0.3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  <c r="AV6" s="150"/>
      <c r="AW6" s="150"/>
    </row>
    <row r="7" spans="1:49" x14ac:dyDescent="0.3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</row>
    <row r="8" spans="1:49" ht="28.8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</row>
    <row r="9" spans="1:49" ht="28.8" customHeight="1" x14ac:dyDescent="0.3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</row>
    <row r="10" spans="1:49" ht="28.8" customHeight="1" x14ac:dyDescent="0.3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</row>
    <row r="11" spans="1:49" ht="28.8" customHeight="1" x14ac:dyDescent="0.3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</row>
    <row r="12" spans="1:49" ht="28.8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</row>
    <row r="13" spans="1:49" ht="28.8" customHeight="1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</row>
    <row r="14" spans="1:49" ht="28.8" customHeight="1" x14ac:dyDescent="0.3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</row>
    <row r="15" spans="1:49" ht="28.8" customHeight="1" x14ac:dyDescent="0.3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</row>
    <row r="16" spans="1:49" ht="28.8" customHeight="1" x14ac:dyDescent="0.3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25"/>
      <c r="AJ16" s="25"/>
      <c r="AK16" s="25"/>
    </row>
    <row r="17" spans="1:37" ht="28.8" customHeight="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</row>
    <row r="18" spans="1:37" ht="28.8" customHeight="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</row>
    <row r="19" spans="1:37" ht="28.8" customHeight="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</row>
    <row r="20" spans="1:37" ht="28.8" customHeight="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</row>
    <row r="21" spans="1:37" ht="28.8" customHeight="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</row>
    <row r="22" spans="1:37" ht="28.8" customHeight="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</row>
    <row r="23" spans="1:37" ht="28.8" customHeight="1" x14ac:dyDescent="0.3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</row>
    <row r="24" spans="1:37" ht="28.8" customHeight="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</row>
    <row r="25" spans="1:37" ht="28.8" customHeight="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  <c r="AH25" s="25"/>
      <c r="AI25" s="25"/>
      <c r="AJ25" s="25"/>
      <c r="AK25" s="25"/>
    </row>
    <row r="26" spans="1:37" ht="28.8" customHeight="1" x14ac:dyDescent="0.3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</row>
    <row r="27" spans="1:37" ht="28.8" customHeight="1" x14ac:dyDescent="0.3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  <c r="AH27" s="25"/>
      <c r="AI27" s="25"/>
      <c r="AJ27" s="25"/>
      <c r="AK27" s="25"/>
    </row>
    <row r="28" spans="1:37" ht="28.8" customHeight="1" x14ac:dyDescent="0.3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</row>
    <row r="29" spans="1:37" ht="28.8" customHeight="1" x14ac:dyDescent="0.3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</row>
    <row r="30" spans="1:37" ht="28.8" customHeight="1" x14ac:dyDescent="0.3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</row>
    <row r="31" spans="1:37" ht="28.8" customHeight="1" x14ac:dyDescent="0.3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</row>
    <row r="32" spans="1:37" ht="28.8" customHeight="1" x14ac:dyDescent="0.3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</row>
    <row r="33" spans="1:37" ht="28.8" customHeight="1" x14ac:dyDescent="0.3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</row>
    <row r="34" spans="1:37" ht="28.8" customHeight="1" x14ac:dyDescent="0.3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</row>
    <row r="35" spans="1:37" ht="28.8" customHeight="1" x14ac:dyDescent="0.3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</row>
    <row r="36" spans="1:37" ht="28.8" customHeight="1" x14ac:dyDescent="0.3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</row>
    <row r="37" spans="1:37" ht="28.8" customHeight="1" x14ac:dyDescent="0.3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</row>
    <row r="38" spans="1:37" ht="28.8" customHeight="1" x14ac:dyDescent="0.3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</row>
    <row r="39" spans="1:37" ht="28.8" customHeight="1" x14ac:dyDescent="0.3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</row>
    <row r="40" spans="1:37" ht="28.8" customHeight="1" x14ac:dyDescent="0.3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</row>
    <row r="41" spans="1:37" ht="28.8" customHeight="1" x14ac:dyDescent="0.3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</row>
    <row r="42" spans="1:37" ht="28.8" customHeight="1" x14ac:dyDescent="0.3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</row>
    <row r="43" spans="1:37" ht="28.8" customHeight="1" x14ac:dyDescent="0.3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</row>
    <row r="44" spans="1:37" ht="28.8" customHeight="1" x14ac:dyDescent="0.3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</row>
    <row r="45" spans="1:37" ht="28.8" customHeight="1" x14ac:dyDescent="0.3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</row>
    <row r="46" spans="1:37" ht="28.8" customHeight="1" x14ac:dyDescent="0.3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</row>
    <row r="47" spans="1:37" ht="28.8" customHeight="1" x14ac:dyDescent="0.3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</row>
    <row r="48" spans="1:37" ht="28.8" customHeight="1" x14ac:dyDescent="0.3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</row>
    <row r="49" spans="1:37" ht="28.8" customHeight="1" x14ac:dyDescent="0.3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</row>
    <row r="50" spans="1:37" ht="28.8" customHeight="1" x14ac:dyDescent="0.3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</row>
    <row r="51" spans="1:37" ht="28.8" customHeight="1" x14ac:dyDescent="0.3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</row>
    <row r="52" spans="1:37" ht="28.8" customHeight="1" x14ac:dyDescent="0.3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</row>
    <row r="53" spans="1:37" ht="28.8" customHeight="1" x14ac:dyDescent="0.3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</row>
    <row r="54" spans="1:37" ht="28.8" customHeight="1" x14ac:dyDescent="0.3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</row>
    <row r="55" spans="1:37" ht="28.8" customHeight="1" x14ac:dyDescent="0.3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</row>
    <row r="56" spans="1:37" ht="28.8" customHeight="1" x14ac:dyDescent="0.3"/>
    <row r="57" spans="1:37" ht="28.8" customHeight="1" x14ac:dyDescent="0.3"/>
    <row r="58" spans="1:37" ht="28.8" customHeight="1" x14ac:dyDescent="0.3"/>
    <row r="59" spans="1:37" ht="28.8" customHeight="1" x14ac:dyDescent="0.3"/>
    <row r="60" spans="1:37" ht="28.8" customHeight="1" x14ac:dyDescent="0.3"/>
    <row r="61" spans="1:37" ht="28.8" customHeight="1" x14ac:dyDescent="0.3"/>
    <row r="62" spans="1:37" ht="28.8" customHeight="1" x14ac:dyDescent="0.3"/>
    <row r="63" spans="1:37" ht="28.8" customHeight="1" x14ac:dyDescent="0.3"/>
    <row r="64" spans="1:37" ht="28.8" customHeight="1" x14ac:dyDescent="0.3"/>
    <row r="65" ht="28.8" customHeight="1" x14ac:dyDescent="0.3"/>
    <row r="66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4C65B-976F-4821-8648-7AD25197BDE0}">
  <sheetPr codeName="Planilha37">
    <tabColor rgb="FF00B050"/>
  </sheetPr>
  <dimension ref="A1:AW66"/>
  <sheetViews>
    <sheetView zoomScale="40" zoomScaleNormal="40" workbookViewId="0">
      <selection activeCell="V24" sqref="V24"/>
    </sheetView>
  </sheetViews>
  <sheetFormatPr defaultRowHeight="14.4" x14ac:dyDescent="0.3"/>
  <cols>
    <col min="1" max="4" width="8.88671875" style="100"/>
    <col min="5" max="5" width="4.5546875" style="100" bestFit="1" customWidth="1"/>
    <col min="6" max="6" width="21.88671875" style="100" bestFit="1" customWidth="1"/>
    <col min="7" max="7" width="26" style="100" bestFit="1" customWidth="1"/>
    <col min="8" max="8" width="19.44140625" style="100" bestFit="1" customWidth="1"/>
    <col min="9" max="9" width="12.109375" style="100" bestFit="1" customWidth="1"/>
    <col min="10" max="10" width="12.6640625" style="100" bestFit="1" customWidth="1"/>
    <col min="11" max="11" width="4.5546875" style="100" customWidth="1"/>
    <col min="12" max="12" width="25.44140625" style="100" customWidth="1"/>
    <col min="13" max="13" width="26.21875" style="100" customWidth="1"/>
    <col min="14" max="14" width="2.6640625" style="100" bestFit="1" customWidth="1"/>
    <col min="15" max="15" width="99.33203125" style="100" bestFit="1" customWidth="1"/>
    <col min="16" max="16" width="11.21875" style="100" customWidth="1"/>
    <col min="17" max="17" width="56.1093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  <c r="AV4" s="150"/>
      <c r="AW4" s="150"/>
    </row>
    <row r="5" spans="1:49" x14ac:dyDescent="0.3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  <c r="AV5" s="150"/>
      <c r="AW5" s="150"/>
    </row>
    <row r="6" spans="1:49" x14ac:dyDescent="0.3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  <c r="AV6" s="150"/>
      <c r="AW6" s="150"/>
    </row>
    <row r="7" spans="1:49" x14ac:dyDescent="0.3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</row>
    <row r="8" spans="1:49" ht="28.8" customHeight="1" x14ac:dyDescent="0.3"/>
    <row r="9" spans="1:49" ht="28.8" customHeight="1" x14ac:dyDescent="0.3"/>
    <row r="10" spans="1:49" ht="28.8" customHeight="1" x14ac:dyDescent="0.3"/>
    <row r="11" spans="1:49" ht="28.8" customHeight="1" x14ac:dyDescent="0.3"/>
    <row r="12" spans="1:49" ht="28.8" customHeight="1" x14ac:dyDescent="0.3"/>
    <row r="13" spans="1:49" ht="28.8" customHeight="1" thickBot="1" x14ac:dyDescent="0.35"/>
    <row r="14" spans="1:49" ht="28.8" customHeight="1" x14ac:dyDescent="0.3">
      <c r="N14" s="271" t="s">
        <v>654</v>
      </c>
      <c r="O14" s="272"/>
      <c r="P14" s="272"/>
      <c r="Q14" s="272"/>
      <c r="R14" s="273"/>
    </row>
    <row r="15" spans="1:49" ht="28.8" customHeight="1" x14ac:dyDescent="0.3">
      <c r="N15" s="274"/>
      <c r="O15" s="275"/>
      <c r="P15" s="275"/>
      <c r="Q15" s="275"/>
      <c r="R15" s="276"/>
    </row>
    <row r="16" spans="1:49" ht="28.8" customHeight="1" x14ac:dyDescent="0.3">
      <c r="N16" s="274"/>
      <c r="O16" s="275"/>
      <c r="P16" s="275"/>
      <c r="Q16" s="275"/>
      <c r="R16" s="276"/>
    </row>
    <row r="17" spans="14:18" ht="28.8" customHeight="1" x14ac:dyDescent="0.55000000000000004">
      <c r="N17" s="17" t="s">
        <v>13</v>
      </c>
      <c r="O17" s="43" t="s">
        <v>13</v>
      </c>
      <c r="P17" s="43" t="s">
        <v>13</v>
      </c>
      <c r="Q17" s="45" t="s">
        <v>13</v>
      </c>
      <c r="R17" s="128" t="s">
        <v>13</v>
      </c>
    </row>
    <row r="18" spans="14:18" ht="28.8" customHeight="1" x14ac:dyDescent="0.55000000000000004">
      <c r="N18" s="17" t="s">
        <v>13</v>
      </c>
      <c r="O18" s="138" t="s">
        <v>284</v>
      </c>
      <c r="P18" s="43" t="s">
        <v>13</v>
      </c>
      <c r="Q18" s="165"/>
      <c r="R18" s="128" t="s">
        <v>13</v>
      </c>
    </row>
    <row r="19" spans="14:18" ht="28.8" customHeight="1" x14ac:dyDescent="0.55000000000000004">
      <c r="N19" s="17" t="s">
        <v>13</v>
      </c>
      <c r="O19" s="43" t="s">
        <v>13</v>
      </c>
      <c r="P19" s="43" t="s">
        <v>13</v>
      </c>
      <c r="Q19" s="45" t="s">
        <v>13</v>
      </c>
      <c r="R19" s="13" t="s">
        <v>13</v>
      </c>
    </row>
    <row r="20" spans="14:18" ht="28.8" customHeight="1" x14ac:dyDescent="0.55000000000000004">
      <c r="N20" s="17" t="s">
        <v>13</v>
      </c>
      <c r="O20" s="160" t="s">
        <v>285</v>
      </c>
      <c r="P20" s="43" t="s">
        <v>13</v>
      </c>
      <c r="Q20" s="165"/>
      <c r="R20" s="128" t="s">
        <v>13</v>
      </c>
    </row>
    <row r="21" spans="14:18" ht="28.8" customHeight="1" x14ac:dyDescent="0.55000000000000004">
      <c r="N21" s="17" t="s">
        <v>13</v>
      </c>
      <c r="O21" s="161"/>
      <c r="P21" s="43" t="s">
        <v>13</v>
      </c>
      <c r="Q21" s="137" t="s">
        <v>13</v>
      </c>
      <c r="R21" s="128" t="s">
        <v>13</v>
      </c>
    </row>
    <row r="22" spans="14:18" ht="28.8" customHeight="1" x14ac:dyDescent="0.55000000000000004">
      <c r="N22" s="17" t="s">
        <v>13</v>
      </c>
      <c r="O22" s="72"/>
      <c r="P22" s="72"/>
      <c r="Q22" s="72"/>
      <c r="R22" s="128" t="s">
        <v>13</v>
      </c>
    </row>
    <row r="23" spans="14:18" ht="28.8" customHeight="1" x14ac:dyDescent="0.55000000000000004">
      <c r="N23" s="17" t="s">
        <v>13</v>
      </c>
      <c r="O23" s="72"/>
      <c r="P23" s="72"/>
      <c r="Q23" s="72"/>
      <c r="R23" s="128" t="s">
        <v>13</v>
      </c>
    </row>
    <row r="24" spans="14:18" ht="28.8" customHeight="1" x14ac:dyDescent="0.55000000000000004">
      <c r="N24" s="17" t="s">
        <v>13</v>
      </c>
      <c r="O24" s="72"/>
      <c r="P24" s="72"/>
      <c r="Q24" s="72"/>
      <c r="R24" s="128" t="s">
        <v>13</v>
      </c>
    </row>
    <row r="25" spans="14:18" ht="28.8" customHeight="1" x14ac:dyDescent="0.55000000000000004">
      <c r="N25" s="17" t="s">
        <v>13</v>
      </c>
      <c r="O25" s="72"/>
      <c r="P25" s="72"/>
      <c r="Q25" s="72"/>
      <c r="R25" s="128" t="s">
        <v>13</v>
      </c>
    </row>
    <row r="26" spans="14:18" ht="28.8" customHeight="1" thickBot="1" x14ac:dyDescent="0.35">
      <c r="N26" s="73"/>
      <c r="O26" s="74"/>
      <c r="P26" s="74"/>
      <c r="Q26" s="74"/>
      <c r="R26" s="75"/>
    </row>
    <row r="27" spans="14:18" ht="28.8" customHeight="1" x14ac:dyDescent="0.3"/>
    <row r="28" spans="14:18" ht="28.8" customHeight="1" thickBot="1" x14ac:dyDescent="0.35"/>
    <row r="29" spans="14:18" ht="28.8" customHeight="1" x14ac:dyDescent="0.3">
      <c r="N29" s="271" t="s">
        <v>651</v>
      </c>
      <c r="O29" s="272"/>
      <c r="P29" s="272"/>
      <c r="Q29" s="272"/>
      <c r="R29" s="273"/>
    </row>
    <row r="30" spans="14:18" ht="28.8" customHeight="1" x14ac:dyDescent="0.3">
      <c r="N30" s="274"/>
      <c r="O30" s="461"/>
      <c r="P30" s="461"/>
      <c r="Q30" s="461"/>
      <c r="R30" s="276"/>
    </row>
    <row r="31" spans="14:18" ht="28.8" customHeight="1" x14ac:dyDescent="0.3">
      <c r="N31" s="274"/>
      <c r="O31" s="461"/>
      <c r="P31" s="461"/>
      <c r="Q31" s="461"/>
      <c r="R31" s="276"/>
    </row>
    <row r="32" spans="14:18" ht="28.8" customHeight="1" x14ac:dyDescent="0.55000000000000004">
      <c r="N32" s="17" t="s">
        <v>13</v>
      </c>
      <c r="O32" s="19" t="s">
        <v>13</v>
      </c>
      <c r="P32" s="19" t="s">
        <v>13</v>
      </c>
      <c r="Q32" s="12" t="s">
        <v>13</v>
      </c>
      <c r="R32" s="13" t="s">
        <v>13</v>
      </c>
    </row>
    <row r="33" spans="14:18" ht="28.8" customHeight="1" x14ac:dyDescent="0.55000000000000004">
      <c r="N33" s="17" t="s">
        <v>13</v>
      </c>
      <c r="O33" s="126" t="s">
        <v>652</v>
      </c>
      <c r="P33" s="19" t="s">
        <v>13</v>
      </c>
      <c r="Q33" s="165"/>
      <c r="R33" s="13" t="s">
        <v>13</v>
      </c>
    </row>
    <row r="34" spans="14:18" ht="28.8" customHeight="1" x14ac:dyDescent="0.55000000000000004">
      <c r="N34" s="17" t="s">
        <v>13</v>
      </c>
      <c r="O34" s="19" t="s">
        <v>13</v>
      </c>
      <c r="P34" s="19" t="s">
        <v>13</v>
      </c>
      <c r="Q34" s="12" t="s">
        <v>13</v>
      </c>
      <c r="R34" s="13" t="s">
        <v>13</v>
      </c>
    </row>
    <row r="35" spans="14:18" ht="28.8" customHeight="1" x14ac:dyDescent="0.55000000000000004">
      <c r="N35" s="17" t="s">
        <v>13</v>
      </c>
      <c r="O35" s="462" t="s">
        <v>653</v>
      </c>
      <c r="P35" s="19" t="s">
        <v>13</v>
      </c>
      <c r="Q35" s="165"/>
      <c r="R35" s="13" t="s">
        <v>13</v>
      </c>
    </row>
    <row r="36" spans="14:18" ht="28.8" customHeight="1" x14ac:dyDescent="0.55000000000000004">
      <c r="N36" s="17" t="s">
        <v>13</v>
      </c>
      <c r="O36" s="463"/>
      <c r="P36" s="19" t="s">
        <v>13</v>
      </c>
      <c r="Q36" s="12" t="s">
        <v>13</v>
      </c>
      <c r="R36" s="13" t="s">
        <v>13</v>
      </c>
    </row>
    <row r="37" spans="14:18" ht="28.8" customHeight="1" x14ac:dyDescent="0.55000000000000004">
      <c r="N37" s="17" t="s">
        <v>13</v>
      </c>
      <c r="O37" s="313"/>
      <c r="P37" s="313"/>
      <c r="Q37" s="313"/>
      <c r="R37" s="13" t="s">
        <v>13</v>
      </c>
    </row>
    <row r="38" spans="14:18" ht="28.8" customHeight="1" x14ac:dyDescent="0.55000000000000004">
      <c r="N38" s="17" t="s">
        <v>13</v>
      </c>
      <c r="O38" s="313"/>
      <c r="P38" s="313"/>
      <c r="Q38" s="313"/>
      <c r="R38" s="13" t="s">
        <v>13</v>
      </c>
    </row>
    <row r="39" spans="14:18" ht="28.8" customHeight="1" x14ac:dyDescent="0.55000000000000004">
      <c r="N39" s="17" t="s">
        <v>13</v>
      </c>
      <c r="O39" s="313"/>
      <c r="P39" s="313"/>
      <c r="Q39" s="313"/>
      <c r="R39" s="13" t="s">
        <v>13</v>
      </c>
    </row>
    <row r="40" spans="14:18" ht="28.8" customHeight="1" x14ac:dyDescent="0.55000000000000004">
      <c r="N40" s="17" t="s">
        <v>13</v>
      </c>
      <c r="O40" s="313"/>
      <c r="P40" s="313"/>
      <c r="Q40" s="313"/>
      <c r="R40" s="13" t="s">
        <v>13</v>
      </c>
    </row>
    <row r="41" spans="14:18" ht="28.8" customHeight="1" thickBot="1" x14ac:dyDescent="0.35">
      <c r="N41" s="73"/>
      <c r="O41" s="74"/>
      <c r="P41" s="74"/>
      <c r="Q41" s="74"/>
      <c r="R41" s="75"/>
    </row>
    <row r="42" spans="14:18" ht="28.8" customHeight="1" x14ac:dyDescent="0.3"/>
    <row r="43" spans="14:18" ht="28.8" customHeight="1" x14ac:dyDescent="0.3"/>
    <row r="44" spans="14:18" ht="28.8" customHeight="1" x14ac:dyDescent="0.3"/>
    <row r="45" spans="14:18" ht="28.8" customHeight="1" x14ac:dyDescent="0.3"/>
    <row r="46" spans="14:18" ht="28.8" customHeight="1" x14ac:dyDescent="0.3"/>
    <row r="47" spans="14:18" ht="28.8" customHeight="1" x14ac:dyDescent="0.3"/>
    <row r="48" spans="14:18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2">
    <mergeCell ref="N14:R16"/>
    <mergeCell ref="N29:R3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3C90F-34AD-404D-B4DA-B6EDB56960A3}">
  <sheetPr codeName="Planilha38">
    <tabColor rgb="FF00B050"/>
  </sheetPr>
  <dimension ref="A1:AW66"/>
  <sheetViews>
    <sheetView zoomScale="40" zoomScaleNormal="40" workbookViewId="0">
      <selection activeCell="I40" sqref="I40"/>
    </sheetView>
  </sheetViews>
  <sheetFormatPr defaultRowHeight="14.4" x14ac:dyDescent="0.3"/>
  <cols>
    <col min="1" max="4" width="8.88671875" style="100"/>
    <col min="5" max="5" width="4.5546875" style="100" bestFit="1" customWidth="1"/>
    <col min="6" max="6" width="21.88671875" style="100" bestFit="1" customWidth="1"/>
    <col min="7" max="7" width="26" style="100" bestFit="1" customWidth="1"/>
    <col min="8" max="8" width="19.44140625" style="100" bestFit="1" customWidth="1"/>
    <col min="9" max="9" width="12.109375" style="100" bestFit="1" customWidth="1"/>
    <col min="10" max="10" width="12.6640625" style="100" bestFit="1" customWidth="1"/>
    <col min="11" max="11" width="4.5546875" style="100" customWidth="1"/>
    <col min="12" max="12" width="25.44140625" style="100" customWidth="1"/>
    <col min="13" max="13" width="9" style="100" customWidth="1"/>
    <col min="14" max="14" width="30.6640625" style="100" bestFit="1" customWidth="1"/>
    <col min="15" max="15" width="29.33203125" style="100" customWidth="1"/>
    <col min="16" max="16" width="73.44140625" style="100" customWidth="1"/>
    <col min="17" max="17" width="15.55468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  <c r="AV4" s="150"/>
      <c r="AW4" s="150"/>
    </row>
    <row r="5" spans="1:49" x14ac:dyDescent="0.3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  <c r="AV5" s="150"/>
      <c r="AW5" s="150"/>
    </row>
    <row r="6" spans="1:49" x14ac:dyDescent="0.3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  <c r="AV6" s="150"/>
      <c r="AW6" s="150"/>
    </row>
    <row r="7" spans="1:49" x14ac:dyDescent="0.3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</row>
    <row r="8" spans="1:49" ht="28.8" customHeight="1" x14ac:dyDescent="0.3"/>
    <row r="9" spans="1:49" ht="28.8" customHeight="1" x14ac:dyDescent="0.3"/>
    <row r="10" spans="1:49" ht="28.8" customHeight="1" x14ac:dyDescent="0.3"/>
    <row r="11" spans="1:49" ht="28.8" customHeight="1" x14ac:dyDescent="0.3"/>
    <row r="12" spans="1:49" ht="28.8" customHeight="1" thickBot="1" x14ac:dyDescent="0.35"/>
    <row r="13" spans="1:49" ht="28.8" customHeight="1" x14ac:dyDescent="0.3">
      <c r="M13" s="299" t="s">
        <v>286</v>
      </c>
      <c r="N13" s="300"/>
      <c r="O13" s="300"/>
      <c r="P13" s="300"/>
      <c r="Q13" s="301"/>
    </row>
    <row r="14" spans="1:49" ht="28.8" customHeight="1" thickBot="1" x14ac:dyDescent="0.35">
      <c r="M14" s="302"/>
      <c r="N14" s="303"/>
      <c r="O14" s="303"/>
      <c r="P14" s="303"/>
      <c r="Q14" s="304"/>
    </row>
    <row r="15" spans="1:49" ht="28.8" customHeight="1" thickBot="1" x14ac:dyDescent="0.35">
      <c r="M15" s="8"/>
      <c r="N15" s="49"/>
      <c r="O15" s="49"/>
      <c r="P15" s="49"/>
      <c r="Q15" s="50"/>
    </row>
    <row r="16" spans="1:49" ht="28.8" customHeight="1" thickBot="1" x14ac:dyDescent="0.35">
      <c r="M16" s="8"/>
      <c r="N16" s="166" t="s">
        <v>287</v>
      </c>
      <c r="O16" s="49"/>
      <c r="P16" s="47"/>
      <c r="Q16" s="50"/>
    </row>
    <row r="17" spans="13:17" ht="28.8" customHeight="1" thickBot="1" x14ac:dyDescent="0.35">
      <c r="M17" s="8"/>
      <c r="N17" s="166"/>
      <c r="O17" s="49"/>
      <c r="P17" s="49"/>
      <c r="Q17" s="50"/>
    </row>
    <row r="18" spans="13:17" ht="28.8" customHeight="1" thickBot="1" x14ac:dyDescent="0.35">
      <c r="M18" s="8"/>
      <c r="N18" s="166" t="s">
        <v>288</v>
      </c>
      <c r="O18" s="49"/>
      <c r="P18" s="47"/>
      <c r="Q18" s="50"/>
    </row>
    <row r="19" spans="13:17" ht="28.8" customHeight="1" thickBot="1" x14ac:dyDescent="0.35">
      <c r="M19" s="8"/>
      <c r="N19" s="166"/>
      <c r="O19" s="49"/>
      <c r="P19" s="49"/>
      <c r="Q19" s="50"/>
    </row>
    <row r="20" spans="13:17" ht="28.8" customHeight="1" thickBot="1" x14ac:dyDescent="0.35">
      <c r="M20" s="8"/>
      <c r="N20" s="166" t="s">
        <v>289</v>
      </c>
      <c r="O20" s="49"/>
      <c r="P20" s="47"/>
      <c r="Q20" s="50"/>
    </row>
    <row r="21" spans="13:17" ht="28.8" customHeight="1" thickBot="1" x14ac:dyDescent="0.35">
      <c r="M21" s="8"/>
      <c r="N21" s="166"/>
      <c r="O21" s="49"/>
      <c r="P21" s="49"/>
      <c r="Q21" s="50"/>
    </row>
    <row r="22" spans="13:17" ht="28.8" customHeight="1" thickBot="1" x14ac:dyDescent="0.35">
      <c r="M22" s="8"/>
      <c r="N22" s="166" t="s">
        <v>290</v>
      </c>
      <c r="O22" s="49"/>
      <c r="P22" s="47"/>
      <c r="Q22" s="50"/>
    </row>
    <row r="23" spans="13:17" ht="28.8" customHeight="1" thickBot="1" x14ac:dyDescent="0.35">
      <c r="M23" s="8"/>
      <c r="N23" s="166"/>
      <c r="O23" s="49"/>
      <c r="P23" s="49"/>
      <c r="Q23" s="50"/>
    </row>
    <row r="24" spans="13:17" ht="28.8" customHeight="1" thickBot="1" x14ac:dyDescent="0.35">
      <c r="M24" s="8"/>
      <c r="N24" s="166" t="s">
        <v>291</v>
      </c>
      <c r="O24" s="49"/>
      <c r="P24" s="47"/>
      <c r="Q24" s="50"/>
    </row>
    <row r="25" spans="13:17" ht="28.8" customHeight="1" thickBot="1" x14ac:dyDescent="0.35">
      <c r="M25" s="8"/>
      <c r="N25" s="166"/>
      <c r="O25" s="49"/>
      <c r="P25" s="49"/>
      <c r="Q25" s="50"/>
    </row>
    <row r="26" spans="13:17" ht="28.8" customHeight="1" thickBot="1" x14ac:dyDescent="0.35">
      <c r="M26" s="8"/>
      <c r="N26" s="166" t="s">
        <v>292</v>
      </c>
      <c r="O26" s="49"/>
      <c r="P26" s="47"/>
      <c r="Q26" s="50"/>
    </row>
    <row r="27" spans="13:17" ht="28.8" customHeight="1" thickBot="1" x14ac:dyDescent="0.35">
      <c r="M27" s="8"/>
      <c r="N27" s="166"/>
      <c r="O27" s="49"/>
      <c r="P27" s="49"/>
      <c r="Q27" s="50"/>
    </row>
    <row r="28" spans="13:17" ht="28.8" customHeight="1" thickBot="1" x14ac:dyDescent="0.35">
      <c r="M28" s="8"/>
      <c r="N28" s="166" t="s">
        <v>293</v>
      </c>
      <c r="O28" s="49"/>
      <c r="P28" s="47"/>
      <c r="Q28" s="50"/>
    </row>
    <row r="29" spans="13:17" ht="28.8" customHeight="1" thickBot="1" x14ac:dyDescent="0.35">
      <c r="M29" s="8"/>
      <c r="N29" s="166"/>
      <c r="O29" s="49"/>
      <c r="P29" s="49"/>
      <c r="Q29" s="50"/>
    </row>
    <row r="30" spans="13:17" ht="28.8" customHeight="1" thickBot="1" x14ac:dyDescent="0.35">
      <c r="M30" s="8"/>
      <c r="N30" s="166" t="s">
        <v>294</v>
      </c>
      <c r="O30" s="49"/>
      <c r="P30" s="47"/>
      <c r="Q30" s="50"/>
    </row>
    <row r="31" spans="13:17" ht="28.8" customHeight="1" thickBot="1" x14ac:dyDescent="0.35">
      <c r="M31" s="8"/>
      <c r="N31" s="166"/>
      <c r="O31" s="49"/>
      <c r="P31" s="49"/>
      <c r="Q31" s="50"/>
    </row>
    <row r="32" spans="13:17" ht="28.8" customHeight="1" thickBot="1" x14ac:dyDescent="0.35">
      <c r="M32" s="8"/>
      <c r="N32" s="166" t="s">
        <v>295</v>
      </c>
      <c r="O32" s="49"/>
      <c r="P32" s="47"/>
      <c r="Q32" s="50"/>
    </row>
    <row r="33" spans="13:17" ht="28.8" customHeight="1" thickBot="1" x14ac:dyDescent="0.35">
      <c r="M33" s="8"/>
      <c r="N33" s="167"/>
      <c r="O33" s="49"/>
      <c r="P33" s="49"/>
      <c r="Q33" s="50"/>
    </row>
    <row r="34" spans="13:17" ht="28.8" customHeight="1" thickBot="1" x14ac:dyDescent="0.35">
      <c r="M34" s="8"/>
      <c r="N34" s="166" t="s">
        <v>296</v>
      </c>
      <c r="O34" s="49"/>
      <c r="P34" s="47"/>
      <c r="Q34" s="50"/>
    </row>
    <row r="35" spans="13:17" ht="28.8" customHeight="1" thickBot="1" x14ac:dyDescent="0.35">
      <c r="M35" s="8"/>
      <c r="N35" s="167"/>
      <c r="O35" s="49"/>
      <c r="P35" s="49"/>
      <c r="Q35" s="50"/>
    </row>
    <row r="36" spans="13:17" ht="28.8" customHeight="1" thickBot="1" x14ac:dyDescent="0.35">
      <c r="M36" s="8"/>
      <c r="N36" s="166" t="s">
        <v>297</v>
      </c>
      <c r="O36" s="49"/>
      <c r="P36" s="48"/>
      <c r="Q36" s="50"/>
    </row>
    <row r="37" spans="13:17" ht="28.8" customHeight="1" thickBot="1" x14ac:dyDescent="0.35">
      <c r="M37" s="8"/>
      <c r="N37" s="167"/>
      <c r="O37" s="49"/>
      <c r="P37" s="49"/>
      <c r="Q37" s="50"/>
    </row>
    <row r="38" spans="13:17" ht="28.8" customHeight="1" thickBot="1" x14ac:dyDescent="0.45">
      <c r="M38" s="8"/>
      <c r="N38" s="166" t="s">
        <v>298</v>
      </c>
      <c r="O38" s="49"/>
      <c r="P38" s="168" t="s">
        <v>300</v>
      </c>
      <c r="Q38" s="50"/>
    </row>
    <row r="39" spans="13:17" ht="28.8" customHeight="1" thickBot="1" x14ac:dyDescent="0.35">
      <c r="M39" s="8"/>
      <c r="N39" s="167"/>
      <c r="O39" s="49"/>
      <c r="P39" s="49"/>
      <c r="Q39" s="50"/>
    </row>
    <row r="40" spans="13:17" ht="28.8" customHeight="1" thickBot="1" x14ac:dyDescent="0.35">
      <c r="M40" s="8"/>
      <c r="N40" s="166" t="s">
        <v>299</v>
      </c>
      <c r="O40" s="49"/>
      <c r="P40" s="47"/>
      <c r="Q40" s="50"/>
    </row>
    <row r="41" spans="13:17" ht="28.8" customHeight="1" x14ac:dyDescent="0.3">
      <c r="M41" s="8"/>
      <c r="N41" s="49"/>
      <c r="O41" s="49"/>
      <c r="P41" s="49"/>
      <c r="Q41" s="50"/>
    </row>
    <row r="42" spans="13:17" ht="28.8" customHeight="1" x14ac:dyDescent="0.3">
      <c r="M42" s="8"/>
      <c r="N42" s="49"/>
      <c r="O42" s="49"/>
      <c r="P42" s="49"/>
      <c r="Q42" s="50"/>
    </row>
    <row r="43" spans="13:17" ht="28.8" customHeight="1" x14ac:dyDescent="0.3">
      <c r="M43" s="8"/>
      <c r="N43" s="49"/>
      <c r="O43" s="49"/>
      <c r="P43" s="49"/>
      <c r="Q43" s="50"/>
    </row>
    <row r="44" spans="13:17" ht="28.8" customHeight="1" x14ac:dyDescent="0.3">
      <c r="M44" s="8"/>
      <c r="N44" s="49"/>
      <c r="O44" s="49"/>
      <c r="P44" s="49"/>
      <c r="Q44" s="50"/>
    </row>
    <row r="45" spans="13:17" ht="28.8" customHeight="1" x14ac:dyDescent="0.3">
      <c r="M45" s="8"/>
      <c r="N45" s="49"/>
      <c r="O45" s="49"/>
      <c r="P45" s="49"/>
      <c r="Q45" s="50"/>
    </row>
    <row r="46" spans="13:17" ht="28.8" customHeight="1" thickBot="1" x14ac:dyDescent="0.35">
      <c r="M46" s="51"/>
      <c r="N46" s="52"/>
      <c r="O46" s="52"/>
      <c r="P46" s="52"/>
      <c r="Q46" s="53"/>
    </row>
    <row r="47" spans="13:17" ht="28.8" customHeight="1" x14ac:dyDescent="0.3"/>
    <row r="48" spans="13:17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1">
    <mergeCell ref="M13:Q14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BF768-0A6B-464C-ADF2-C292B4AC449F}">
  <sheetPr codeName="Planilha39">
    <tabColor rgb="FF00B050"/>
  </sheetPr>
  <dimension ref="A1:AW66"/>
  <sheetViews>
    <sheetView zoomScale="40" zoomScaleNormal="40" workbookViewId="0">
      <selection activeCell="N47" sqref="N47"/>
    </sheetView>
  </sheetViews>
  <sheetFormatPr defaultRowHeight="14.4" x14ac:dyDescent="0.3"/>
  <cols>
    <col min="1" max="4" width="8.88671875" style="100"/>
    <col min="5" max="5" width="72.33203125" style="100" bestFit="1" customWidth="1"/>
    <col min="6" max="6" width="11.21875" style="100" customWidth="1"/>
    <col min="7" max="7" width="26" style="100" bestFit="1" customWidth="1"/>
    <col min="8" max="8" width="19.44140625" style="100" bestFit="1" customWidth="1"/>
    <col min="9" max="9" width="104.33203125" style="100" bestFit="1" customWidth="1"/>
    <col min="10" max="10" width="12.6640625" style="100" customWidth="1"/>
    <col min="11" max="11" width="4.5546875" style="100" customWidth="1"/>
    <col min="12" max="12" width="25.44140625" style="100" bestFit="1" customWidth="1"/>
    <col min="13" max="13" width="29" style="100" bestFit="1" customWidth="1"/>
    <col min="14" max="14" width="47.88671875" style="100" bestFit="1" customWidth="1"/>
    <col min="15" max="15" width="29.33203125" style="100" customWidth="1"/>
    <col min="16" max="16" width="73.44140625" style="100" customWidth="1"/>
    <col min="17" max="17" width="15.55468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  <c r="AV4" s="150"/>
      <c r="AW4" s="150"/>
    </row>
    <row r="5" spans="1:49" x14ac:dyDescent="0.3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  <c r="AV5" s="150"/>
      <c r="AW5" s="150"/>
    </row>
    <row r="6" spans="1:49" x14ac:dyDescent="0.3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  <c r="AV6" s="150"/>
      <c r="AW6" s="150"/>
    </row>
    <row r="7" spans="1:49" x14ac:dyDescent="0.3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</row>
    <row r="8" spans="1:49" ht="28.8" customHeight="1" x14ac:dyDescent="0.3"/>
    <row r="9" spans="1:49" ht="28.8" customHeight="1" thickBot="1" x14ac:dyDescent="0.35"/>
    <row r="10" spans="1:49" ht="28.8" customHeight="1" x14ac:dyDescent="0.3">
      <c r="D10" s="299" t="s">
        <v>301</v>
      </c>
      <c r="E10" s="300"/>
      <c r="F10" s="301"/>
      <c r="H10" s="173"/>
      <c r="I10" s="174"/>
      <c r="J10" s="174"/>
      <c r="K10" s="174"/>
      <c r="L10" s="174"/>
      <c r="M10" s="174"/>
      <c r="N10" s="174"/>
      <c r="O10" s="174"/>
      <c r="P10" s="175"/>
    </row>
    <row r="11" spans="1:49" ht="28.8" customHeight="1" x14ac:dyDescent="0.3">
      <c r="D11" s="305"/>
      <c r="E11" s="306"/>
      <c r="F11" s="307"/>
      <c r="H11" s="176"/>
      <c r="I11" s="170" t="s">
        <v>401</v>
      </c>
      <c r="J11" s="177"/>
      <c r="K11" s="177"/>
      <c r="L11" s="177"/>
      <c r="M11" s="177"/>
      <c r="N11" s="178" t="s">
        <v>306</v>
      </c>
      <c r="O11" s="177"/>
      <c r="P11" s="179"/>
    </row>
    <row r="12" spans="1:49" ht="28.8" customHeight="1" x14ac:dyDescent="0.5">
      <c r="D12" s="305"/>
      <c r="E12" s="306"/>
      <c r="F12" s="307"/>
      <c r="H12" s="176"/>
      <c r="I12" s="180" t="s">
        <v>307</v>
      </c>
      <c r="J12" s="177"/>
      <c r="K12" s="177"/>
      <c r="L12" s="177"/>
      <c r="M12" s="177"/>
      <c r="N12" s="172" t="s">
        <v>308</v>
      </c>
      <c r="O12" s="177"/>
      <c r="P12" s="179"/>
    </row>
    <row r="13" spans="1:49" ht="28.8" customHeight="1" x14ac:dyDescent="0.35">
      <c r="D13" s="65"/>
      <c r="E13" s="66"/>
      <c r="F13" s="67"/>
      <c r="H13" s="176"/>
      <c r="I13" s="180" t="s">
        <v>309</v>
      </c>
      <c r="J13" s="177"/>
      <c r="K13" s="177"/>
      <c r="L13" s="177"/>
      <c r="M13" s="177"/>
      <c r="N13" s="181"/>
      <c r="O13" s="177"/>
      <c r="P13" s="179"/>
    </row>
    <row r="14" spans="1:49" ht="28.8" customHeight="1" x14ac:dyDescent="0.3">
      <c r="D14" s="68"/>
      <c r="E14" s="169" t="s">
        <v>302</v>
      </c>
      <c r="F14" s="69"/>
      <c r="H14" s="182"/>
      <c r="I14" s="183"/>
      <c r="J14" s="183"/>
      <c r="K14" s="183"/>
      <c r="L14" s="183"/>
      <c r="M14" s="183"/>
      <c r="N14" s="183"/>
      <c r="O14" s="183"/>
      <c r="P14" s="184"/>
    </row>
    <row r="15" spans="1:49" ht="28.8" customHeight="1" thickBot="1" x14ac:dyDescent="0.35">
      <c r="D15" s="70"/>
      <c r="E15" s="71"/>
      <c r="F15" s="69"/>
      <c r="H15" s="185"/>
      <c r="I15" s="186"/>
      <c r="J15" s="186"/>
      <c r="K15" s="186"/>
      <c r="L15" s="186"/>
      <c r="M15" s="186"/>
      <c r="N15" s="186"/>
      <c r="O15" s="186"/>
      <c r="P15" s="187"/>
    </row>
    <row r="16" spans="1:49" ht="28.8" customHeight="1" thickBot="1" x14ac:dyDescent="0.55000000000000004">
      <c r="D16" s="64"/>
      <c r="E16" s="37"/>
      <c r="F16" s="7"/>
      <c r="H16" s="188"/>
      <c r="I16" s="211" t="s">
        <v>310</v>
      </c>
      <c r="J16" s="189"/>
      <c r="K16" s="189"/>
      <c r="L16" s="189"/>
      <c r="M16" s="189"/>
      <c r="N16" s="171" t="s">
        <v>311</v>
      </c>
      <c r="O16" s="189"/>
      <c r="P16" s="190"/>
    </row>
    <row r="17" spans="4:16" ht="28.8" customHeight="1" x14ac:dyDescent="0.3">
      <c r="D17" s="64"/>
      <c r="E17" s="63"/>
      <c r="F17" s="7"/>
      <c r="H17" s="188"/>
      <c r="I17" s="191"/>
      <c r="J17" s="189"/>
      <c r="K17" s="189"/>
      <c r="L17" s="189"/>
      <c r="M17" s="189"/>
      <c r="N17" s="191"/>
      <c r="O17" s="189"/>
      <c r="P17" s="190"/>
    </row>
    <row r="18" spans="4:16" ht="28.8" customHeight="1" x14ac:dyDescent="0.3">
      <c r="D18" s="61"/>
      <c r="E18" s="169" t="s">
        <v>303</v>
      </c>
      <c r="F18" s="7"/>
      <c r="H18" s="188"/>
      <c r="I18" s="192"/>
      <c r="J18" s="192"/>
      <c r="K18" s="192"/>
      <c r="L18" s="192"/>
      <c r="M18" s="192"/>
      <c r="N18" s="192"/>
      <c r="O18" s="192"/>
      <c r="P18" s="193"/>
    </row>
    <row r="19" spans="4:16" ht="28.8" customHeight="1" thickBot="1" x14ac:dyDescent="0.45">
      <c r="D19" s="61"/>
      <c r="E19" s="63"/>
      <c r="F19" s="7"/>
      <c r="H19" s="194"/>
      <c r="I19" s="212" t="s">
        <v>312</v>
      </c>
      <c r="J19" s="195"/>
      <c r="K19" s="195"/>
      <c r="L19" s="215" t="s">
        <v>313</v>
      </c>
      <c r="M19" s="215" t="s">
        <v>314</v>
      </c>
      <c r="N19" s="196"/>
      <c r="O19" s="212" t="s">
        <v>315</v>
      </c>
      <c r="P19" s="196"/>
    </row>
    <row r="20" spans="4:16" ht="28.8" customHeight="1" thickBot="1" x14ac:dyDescent="0.35">
      <c r="D20" s="61"/>
      <c r="E20" s="38"/>
      <c r="F20" s="7"/>
      <c r="H20" s="197"/>
      <c r="I20" s="213" t="s">
        <v>316</v>
      </c>
      <c r="J20" s="195"/>
      <c r="K20" s="195"/>
      <c r="L20" s="198"/>
      <c r="M20" s="198"/>
      <c r="N20" s="196"/>
      <c r="O20" s="195"/>
      <c r="P20" s="196"/>
    </row>
    <row r="21" spans="4:16" ht="28.8" customHeight="1" x14ac:dyDescent="0.3">
      <c r="D21" s="61"/>
      <c r="E21" s="63"/>
      <c r="F21" s="7"/>
      <c r="H21" s="197"/>
      <c r="I21" s="214" t="s">
        <v>317</v>
      </c>
      <c r="J21" s="199"/>
      <c r="K21" s="199"/>
      <c r="L21" s="197"/>
      <c r="M21" s="197"/>
      <c r="N21" s="200"/>
      <c r="O21" s="199"/>
      <c r="P21" s="200"/>
    </row>
    <row r="22" spans="4:16" ht="28.8" customHeight="1" x14ac:dyDescent="0.3">
      <c r="D22" s="61"/>
      <c r="E22" s="169" t="s">
        <v>304</v>
      </c>
      <c r="F22" s="57"/>
      <c r="H22" s="197"/>
      <c r="I22" s="213" t="s">
        <v>318</v>
      </c>
      <c r="J22" s="195"/>
      <c r="K22" s="195"/>
      <c r="L22" s="198"/>
      <c r="M22" s="198"/>
      <c r="N22" s="196"/>
      <c r="O22" s="195"/>
      <c r="P22" s="196"/>
    </row>
    <row r="23" spans="4:16" ht="28.8" customHeight="1" thickBot="1" x14ac:dyDescent="0.35">
      <c r="D23" s="61"/>
      <c r="E23" s="62"/>
      <c r="F23" s="57"/>
      <c r="H23" s="197"/>
      <c r="I23" s="214" t="s">
        <v>319</v>
      </c>
      <c r="J23" s="199"/>
      <c r="K23" s="199"/>
      <c r="L23" s="197"/>
      <c r="M23" s="197"/>
      <c r="N23" s="200"/>
      <c r="O23" s="199"/>
      <c r="P23" s="200"/>
    </row>
    <row r="24" spans="4:16" ht="28.8" customHeight="1" thickBot="1" x14ac:dyDescent="0.35">
      <c r="D24" s="61"/>
      <c r="E24" s="54"/>
      <c r="F24" s="57"/>
      <c r="H24" s="197"/>
      <c r="I24" s="213" t="s">
        <v>320</v>
      </c>
      <c r="J24" s="195"/>
      <c r="K24" s="195"/>
      <c r="L24" s="198"/>
      <c r="M24" s="198"/>
      <c r="N24" s="196"/>
      <c r="O24" s="195"/>
      <c r="P24" s="196"/>
    </row>
    <row r="25" spans="4:16" ht="28.8" customHeight="1" x14ac:dyDescent="0.3">
      <c r="D25" s="61"/>
      <c r="E25" s="62"/>
      <c r="F25" s="57"/>
      <c r="H25" s="201"/>
      <c r="I25" s="201"/>
      <c r="J25" s="202"/>
      <c r="K25" s="202"/>
      <c r="L25" s="201"/>
      <c r="M25" s="201"/>
      <c r="N25" s="203"/>
      <c r="O25" s="202"/>
      <c r="P25" s="203"/>
    </row>
    <row r="26" spans="4:16" ht="28.8" customHeight="1" x14ac:dyDescent="0.4">
      <c r="D26" s="61"/>
      <c r="E26" s="169" t="s">
        <v>305</v>
      </c>
      <c r="F26" s="57"/>
      <c r="H26" s="197"/>
      <c r="I26" s="216" t="s">
        <v>321</v>
      </c>
      <c r="J26" s="199"/>
      <c r="K26" s="199"/>
      <c r="L26" s="199"/>
      <c r="M26" s="216" t="s">
        <v>322</v>
      </c>
      <c r="N26" s="200"/>
      <c r="O26" s="219" t="s">
        <v>323</v>
      </c>
      <c r="P26" s="200"/>
    </row>
    <row r="27" spans="4:16" ht="28.8" customHeight="1" thickBot="1" x14ac:dyDescent="0.35">
      <c r="D27" s="61"/>
      <c r="E27" s="62"/>
      <c r="F27" s="57"/>
      <c r="H27" s="197"/>
      <c r="I27" s="197"/>
      <c r="J27" s="199"/>
      <c r="K27" s="199"/>
      <c r="L27" s="199"/>
      <c r="M27" s="197"/>
      <c r="N27" s="200"/>
      <c r="O27" s="199"/>
      <c r="P27" s="200"/>
    </row>
    <row r="28" spans="4:16" ht="28.8" customHeight="1" thickBot="1" x14ac:dyDescent="0.35">
      <c r="D28" s="61"/>
      <c r="E28" s="54"/>
      <c r="F28" s="57"/>
      <c r="H28" s="197"/>
      <c r="I28" s="197"/>
      <c r="J28" s="199"/>
      <c r="K28" s="199"/>
      <c r="L28" s="199"/>
      <c r="M28" s="197"/>
      <c r="N28" s="200"/>
      <c r="O28" s="199"/>
      <c r="P28" s="200"/>
    </row>
    <row r="29" spans="4:16" ht="28.8" customHeight="1" x14ac:dyDescent="0.3">
      <c r="D29" s="55"/>
      <c r="E29" s="56"/>
      <c r="F29" s="57"/>
      <c r="H29" s="197"/>
      <c r="I29" s="197"/>
      <c r="J29" s="199"/>
      <c r="K29" s="199"/>
      <c r="L29" s="199"/>
      <c r="M29" s="197"/>
      <c r="N29" s="200"/>
      <c r="O29" s="199"/>
      <c r="P29" s="200"/>
    </row>
    <row r="30" spans="4:16" ht="28.8" customHeight="1" x14ac:dyDescent="0.3">
      <c r="D30" s="55"/>
      <c r="E30" s="56"/>
      <c r="F30" s="57"/>
      <c r="H30" s="197"/>
      <c r="I30" s="201"/>
      <c r="J30" s="202"/>
      <c r="K30" s="202"/>
      <c r="L30" s="202"/>
      <c r="M30" s="197"/>
      <c r="N30" s="200"/>
      <c r="O30" s="199"/>
      <c r="P30" s="200"/>
    </row>
    <row r="31" spans="4:16" ht="28.8" customHeight="1" x14ac:dyDescent="0.3">
      <c r="D31" s="55"/>
      <c r="E31" s="56"/>
      <c r="F31" s="57"/>
      <c r="H31" s="185"/>
      <c r="I31" s="186"/>
      <c r="J31" s="186"/>
      <c r="K31" s="186"/>
      <c r="L31" s="186"/>
      <c r="M31" s="186"/>
      <c r="N31" s="186"/>
      <c r="O31" s="186"/>
      <c r="P31" s="187"/>
    </row>
    <row r="32" spans="4:16" ht="28.8" customHeight="1" x14ac:dyDescent="0.4">
      <c r="D32" s="55"/>
      <c r="E32" s="56"/>
      <c r="F32" s="57"/>
      <c r="H32" s="188"/>
      <c r="I32" s="220" t="s">
        <v>316</v>
      </c>
      <c r="J32" s="204"/>
      <c r="K32" s="205"/>
      <c r="L32" s="205"/>
      <c r="M32" s="205"/>
      <c r="N32" s="205"/>
      <c r="O32" s="206"/>
      <c r="P32" s="190"/>
    </row>
    <row r="33" spans="1:16" ht="28.8" customHeight="1" x14ac:dyDescent="0.4">
      <c r="D33" s="55"/>
      <c r="E33" s="56"/>
      <c r="F33" s="57"/>
      <c r="H33" s="188"/>
      <c r="I33" s="220" t="s">
        <v>324</v>
      </c>
      <c r="J33" s="204"/>
      <c r="K33" s="205"/>
      <c r="L33" s="205"/>
      <c r="M33" s="205"/>
      <c r="N33" s="205"/>
      <c r="O33" s="206"/>
      <c r="P33" s="190"/>
    </row>
    <row r="34" spans="1:16" ht="28.8" customHeight="1" thickBot="1" x14ac:dyDescent="0.45">
      <c r="D34" s="58"/>
      <c r="E34" s="59"/>
      <c r="F34" s="60"/>
      <c r="H34" s="188"/>
      <c r="I34" s="220" t="s">
        <v>325</v>
      </c>
      <c r="J34" s="204"/>
      <c r="K34" s="205"/>
      <c r="L34" s="205"/>
      <c r="M34" s="205"/>
      <c r="N34" s="205"/>
      <c r="O34" s="206"/>
      <c r="P34" s="190"/>
    </row>
    <row r="35" spans="1:16" ht="28.8" customHeight="1" x14ac:dyDescent="0.4">
      <c r="H35" s="188"/>
      <c r="I35" s="220" t="s">
        <v>326</v>
      </c>
      <c r="J35" s="204"/>
      <c r="K35" s="205"/>
      <c r="L35" s="205"/>
      <c r="M35" s="205"/>
      <c r="N35" s="205"/>
      <c r="O35" s="206"/>
      <c r="P35" s="190"/>
    </row>
    <row r="36" spans="1:16" ht="28.8" customHeight="1" x14ac:dyDescent="0.3">
      <c r="H36" s="207"/>
      <c r="I36" s="192"/>
      <c r="J36" s="192"/>
      <c r="K36" s="192"/>
      <c r="L36" s="192"/>
      <c r="M36" s="192"/>
      <c r="N36" s="192"/>
      <c r="O36" s="192"/>
      <c r="P36" s="193"/>
    </row>
    <row r="37" spans="1:16" ht="28.8" customHeight="1" x14ac:dyDescent="0.3">
      <c r="H37" s="208"/>
      <c r="I37" s="209"/>
      <c r="J37" s="209"/>
      <c r="K37" s="209"/>
      <c r="L37" s="209"/>
      <c r="M37" s="209"/>
      <c r="N37" s="209"/>
      <c r="O37" s="209"/>
      <c r="P37" s="210"/>
    </row>
    <row r="38" spans="1:16" ht="28.8" customHeight="1" x14ac:dyDescent="0.4">
      <c r="H38" s="197"/>
      <c r="I38" s="218" t="s">
        <v>327</v>
      </c>
      <c r="J38" s="199"/>
      <c r="K38" s="199"/>
      <c r="L38" s="199"/>
      <c r="M38" s="199"/>
      <c r="N38" s="199"/>
      <c r="O38" s="199"/>
      <c r="P38" s="200"/>
    </row>
    <row r="39" spans="1:16" ht="28.8" customHeight="1" x14ac:dyDescent="0.3">
      <c r="H39" s="197"/>
      <c r="I39" s="199"/>
      <c r="J39" s="199"/>
      <c r="K39" s="199"/>
      <c r="L39" s="199"/>
      <c r="M39" s="199"/>
      <c r="N39" s="199"/>
      <c r="O39" s="199"/>
      <c r="P39" s="200"/>
    </row>
    <row r="40" spans="1:16" ht="28.8" customHeight="1" x14ac:dyDescent="0.3">
      <c r="H40" s="197"/>
      <c r="I40" s="202"/>
      <c r="J40" s="202"/>
      <c r="K40" s="202"/>
      <c r="L40" s="199"/>
      <c r="M40" s="202"/>
      <c r="N40" s="202"/>
      <c r="O40" s="202"/>
      <c r="P40" s="200"/>
    </row>
    <row r="41" spans="1:16" ht="28.8" customHeight="1" x14ac:dyDescent="0.4">
      <c r="H41" s="197"/>
      <c r="I41" s="217" t="s">
        <v>328</v>
      </c>
      <c r="J41" s="199"/>
      <c r="K41" s="199"/>
      <c r="L41" s="199"/>
      <c r="M41" s="221" t="s">
        <v>329</v>
      </c>
      <c r="N41" s="199"/>
      <c r="O41" s="199"/>
      <c r="P41" s="200"/>
    </row>
    <row r="42" spans="1:16" ht="28.8" customHeight="1" x14ac:dyDescent="0.3">
      <c r="H42" s="201"/>
      <c r="I42" s="202"/>
      <c r="J42" s="202"/>
      <c r="K42" s="202"/>
      <c r="L42" s="202"/>
      <c r="M42" s="202"/>
      <c r="N42" s="202"/>
      <c r="O42" s="202"/>
      <c r="P42" s="203"/>
    </row>
    <row r="43" spans="1:16" ht="28.8" customHeight="1" x14ac:dyDescent="0.3"/>
    <row r="44" spans="1:16" ht="28.8" customHeight="1" x14ac:dyDescent="0.3"/>
    <row r="45" spans="1:16" ht="28.8" customHeight="1" x14ac:dyDescent="0.3"/>
    <row r="46" spans="1:16" ht="28.8" customHeight="1" x14ac:dyDescent="0.3"/>
    <row r="47" spans="1:16" ht="28.8" customHeight="1" x14ac:dyDescent="0.3"/>
    <row r="48" spans="1:16" ht="28.8" customHeight="1" x14ac:dyDescent="0.3">
      <c r="A48" s="100" t="s">
        <v>402</v>
      </c>
    </row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1">
    <mergeCell ref="D10:F1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25B54-63D7-412B-AAD7-4CCFC6E91CA4}">
  <sheetPr codeName="Planilha40">
    <tabColor rgb="FF00B050"/>
  </sheetPr>
  <dimension ref="A1:AW66"/>
  <sheetViews>
    <sheetView tabSelected="1" zoomScale="40" zoomScaleNormal="40" workbookViewId="0">
      <selection activeCell="I31" sqref="I31"/>
    </sheetView>
  </sheetViews>
  <sheetFormatPr defaultRowHeight="14.4" x14ac:dyDescent="0.3"/>
  <cols>
    <col min="1" max="4" width="8.88671875" style="100"/>
    <col min="5" max="5" width="72.33203125" style="100" bestFit="1" customWidth="1"/>
    <col min="6" max="6" width="23.21875" style="100" bestFit="1" customWidth="1"/>
    <col min="7" max="7" width="26" style="100" bestFit="1" customWidth="1"/>
    <col min="8" max="8" width="25.6640625" style="100" bestFit="1" customWidth="1"/>
    <col min="9" max="9" width="22.88671875" style="100" bestFit="1" customWidth="1"/>
    <col min="10" max="10" width="27.88671875" style="100" bestFit="1" customWidth="1"/>
    <col min="11" max="11" width="36.77734375" style="100" bestFit="1" customWidth="1"/>
    <col min="12" max="12" width="25.44140625" style="100" bestFit="1" customWidth="1"/>
    <col min="13" max="13" width="29" style="100" bestFit="1" customWidth="1"/>
    <col min="14" max="14" width="47.88671875" style="100" bestFit="1" customWidth="1"/>
    <col min="15" max="15" width="29.33203125" style="100" customWidth="1"/>
    <col min="16" max="16" width="73.44140625" style="100" customWidth="1"/>
    <col min="17" max="17" width="15.55468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  <c r="AV4" s="150"/>
      <c r="AW4" s="150"/>
    </row>
    <row r="5" spans="1:49" x14ac:dyDescent="0.3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  <c r="AV5" s="150"/>
      <c r="AW5" s="150"/>
    </row>
    <row r="6" spans="1:49" x14ac:dyDescent="0.3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  <c r="AV6" s="150"/>
      <c r="AW6" s="150"/>
    </row>
    <row r="7" spans="1:49" x14ac:dyDescent="0.3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</row>
    <row r="8" spans="1:49" ht="28.8" customHeight="1" x14ac:dyDescent="0.3"/>
    <row r="9" spans="1:49" ht="28.8" customHeight="1" thickBot="1" x14ac:dyDescent="0.35"/>
    <row r="10" spans="1:49" ht="28.8" customHeight="1" x14ac:dyDescent="0.4">
      <c r="E10" s="224" t="s">
        <v>330</v>
      </c>
      <c r="F10" s="225" t="s">
        <v>297</v>
      </c>
      <c r="H10" s="308" t="s">
        <v>351</v>
      </c>
      <c r="I10" s="309"/>
      <c r="J10" s="309"/>
      <c r="K10" s="310"/>
    </row>
    <row r="11" spans="1:49" ht="28.8" customHeight="1" x14ac:dyDescent="0.3">
      <c r="E11" s="222" t="s">
        <v>331</v>
      </c>
      <c r="F11" s="226">
        <v>5000</v>
      </c>
      <c r="H11" s="311" t="s">
        <v>352</v>
      </c>
      <c r="I11" s="312"/>
      <c r="J11" s="228" t="s">
        <v>353</v>
      </c>
      <c r="K11" s="229" t="s">
        <v>354</v>
      </c>
    </row>
    <row r="12" spans="1:49" ht="28.8" customHeight="1" x14ac:dyDescent="0.35">
      <c r="E12" s="222" t="s">
        <v>332</v>
      </c>
      <c r="F12" s="226">
        <v>3000</v>
      </c>
      <c r="H12" s="231" t="s">
        <v>355</v>
      </c>
      <c r="I12" s="230">
        <v>2259.1999999999998</v>
      </c>
      <c r="J12" s="232">
        <v>0</v>
      </c>
      <c r="K12" s="233">
        <v>0</v>
      </c>
    </row>
    <row r="13" spans="1:49" ht="28.8" customHeight="1" x14ac:dyDescent="0.35">
      <c r="E13" s="222" t="s">
        <v>333</v>
      </c>
      <c r="F13" s="226">
        <v>2000</v>
      </c>
      <c r="H13" s="234">
        <f>I12</f>
        <v>2259.1999999999998</v>
      </c>
      <c r="I13" s="230">
        <v>2826.65</v>
      </c>
      <c r="J13" s="235">
        <v>7.4999999999999997E-2</v>
      </c>
      <c r="K13" s="233">
        <v>164.44</v>
      </c>
    </row>
    <row r="14" spans="1:49" ht="28.8" customHeight="1" x14ac:dyDescent="0.35">
      <c r="E14" s="222" t="s">
        <v>334</v>
      </c>
      <c r="F14" s="226">
        <v>5000</v>
      </c>
      <c r="H14" s="234">
        <f>I13</f>
        <v>2826.65</v>
      </c>
      <c r="I14" s="230">
        <v>3751.05</v>
      </c>
      <c r="J14" s="235">
        <v>0.15</v>
      </c>
      <c r="K14" s="233">
        <v>381.44</v>
      </c>
    </row>
    <row r="15" spans="1:49" ht="28.8" customHeight="1" x14ac:dyDescent="0.35">
      <c r="E15" s="222" t="s">
        <v>335</v>
      </c>
      <c r="F15" s="226">
        <v>3000</v>
      </c>
      <c r="H15" s="234">
        <f>I14</f>
        <v>3751.05</v>
      </c>
      <c r="I15" s="230">
        <v>4664.68</v>
      </c>
      <c r="J15" s="235">
        <v>0.22500000000000001</v>
      </c>
      <c r="K15" s="233">
        <v>662.77</v>
      </c>
    </row>
    <row r="16" spans="1:49" ht="28.8" customHeight="1" thickBot="1" x14ac:dyDescent="0.4">
      <c r="E16" s="222" t="s">
        <v>336</v>
      </c>
      <c r="F16" s="226">
        <v>2000</v>
      </c>
      <c r="H16" s="236" t="s">
        <v>356</v>
      </c>
      <c r="I16" s="237">
        <f>I15</f>
        <v>4664.68</v>
      </c>
      <c r="J16" s="238">
        <v>0.27500000000000002</v>
      </c>
      <c r="K16" s="239">
        <v>896</v>
      </c>
    </row>
    <row r="17" spans="5:11" ht="28.8" customHeight="1" thickBot="1" x14ac:dyDescent="0.35">
      <c r="E17" s="222" t="s">
        <v>337</v>
      </c>
      <c r="F17" s="226">
        <v>5000</v>
      </c>
    </row>
    <row r="18" spans="5:11" ht="28.8" customHeight="1" x14ac:dyDescent="0.3">
      <c r="E18" s="222" t="s">
        <v>338</v>
      </c>
      <c r="F18" s="226">
        <v>3000</v>
      </c>
      <c r="H18" s="308" t="s">
        <v>315</v>
      </c>
      <c r="I18" s="309"/>
      <c r="J18" s="309"/>
      <c r="K18" s="310"/>
    </row>
    <row r="19" spans="5:11" ht="28.8" customHeight="1" x14ac:dyDescent="0.3">
      <c r="E19" s="222" t="s">
        <v>14</v>
      </c>
      <c r="F19" s="226">
        <v>5000</v>
      </c>
      <c r="H19" s="222" t="s">
        <v>319</v>
      </c>
      <c r="I19" s="232">
        <v>0.11</v>
      </c>
      <c r="J19" s="240" t="s">
        <v>319</v>
      </c>
      <c r="K19" s="241">
        <v>0.11</v>
      </c>
    </row>
    <row r="20" spans="5:11" ht="28.8" customHeight="1" x14ac:dyDescent="0.3">
      <c r="E20" s="222" t="s">
        <v>339</v>
      </c>
      <c r="F20" s="226">
        <v>3000</v>
      </c>
      <c r="H20" s="222" t="s">
        <v>357</v>
      </c>
      <c r="I20" s="240" t="s">
        <v>358</v>
      </c>
      <c r="J20" s="240" t="s">
        <v>357</v>
      </c>
      <c r="K20" s="242" t="s">
        <v>358</v>
      </c>
    </row>
    <row r="21" spans="5:11" ht="28.8" customHeight="1" thickBot="1" x14ac:dyDescent="0.35">
      <c r="E21" s="222" t="s">
        <v>340</v>
      </c>
      <c r="F21" s="226">
        <v>2000</v>
      </c>
      <c r="H21" s="223" t="s">
        <v>359</v>
      </c>
      <c r="I21" s="238">
        <v>1.4999999999999999E-2</v>
      </c>
      <c r="J21" s="243" t="s">
        <v>359</v>
      </c>
      <c r="K21" s="244">
        <v>1.4999999999999999E-2</v>
      </c>
    </row>
    <row r="22" spans="5:11" ht="28.8" customHeight="1" thickBot="1" x14ac:dyDescent="0.35">
      <c r="E22" s="222" t="s">
        <v>341</v>
      </c>
      <c r="F22" s="226">
        <v>5000</v>
      </c>
    </row>
    <row r="23" spans="5:11" ht="28.8" customHeight="1" x14ac:dyDescent="0.4">
      <c r="E23" s="222" t="s">
        <v>342</v>
      </c>
      <c r="F23" s="226">
        <v>3000</v>
      </c>
      <c r="H23" s="245" t="s">
        <v>360</v>
      </c>
    </row>
    <row r="24" spans="5:11" ht="28.8" customHeight="1" thickBot="1" x14ac:dyDescent="0.4">
      <c r="E24" s="222" t="s">
        <v>343</v>
      </c>
      <c r="F24" s="226">
        <v>2000</v>
      </c>
      <c r="H24" s="246">
        <v>0.08</v>
      </c>
    </row>
    <row r="25" spans="5:11" ht="28.8" customHeight="1" x14ac:dyDescent="0.3">
      <c r="E25" s="222" t="s">
        <v>344</v>
      </c>
      <c r="F25" s="226">
        <v>5000</v>
      </c>
    </row>
    <row r="26" spans="5:11" ht="28.8" customHeight="1" x14ac:dyDescent="0.3">
      <c r="E26" s="222" t="s">
        <v>345</v>
      </c>
      <c r="F26" s="226">
        <v>4000</v>
      </c>
    </row>
    <row r="27" spans="5:11" ht="28.8" customHeight="1" x14ac:dyDescent="0.3">
      <c r="E27" s="222" t="s">
        <v>346</v>
      </c>
      <c r="F27" s="226">
        <v>3000</v>
      </c>
    </row>
    <row r="28" spans="5:11" ht="28.8" customHeight="1" x14ac:dyDescent="0.3">
      <c r="E28" s="222" t="s">
        <v>347</v>
      </c>
      <c r="F28" s="226">
        <v>2000</v>
      </c>
    </row>
    <row r="29" spans="5:11" ht="28.8" customHeight="1" x14ac:dyDescent="0.3">
      <c r="E29" s="222" t="s">
        <v>348</v>
      </c>
      <c r="F29" s="226">
        <v>5000</v>
      </c>
    </row>
    <row r="30" spans="5:11" ht="28.8" customHeight="1" x14ac:dyDescent="0.3">
      <c r="E30" s="222" t="s">
        <v>349</v>
      </c>
      <c r="F30" s="226">
        <v>3000</v>
      </c>
    </row>
    <row r="31" spans="5:11" ht="28.8" customHeight="1" thickBot="1" x14ac:dyDescent="0.35">
      <c r="E31" s="223" t="s">
        <v>350</v>
      </c>
      <c r="F31" s="227">
        <v>2000</v>
      </c>
    </row>
    <row r="32" spans="5:11" ht="28.8" customHeight="1" x14ac:dyDescent="0.3"/>
    <row r="33" ht="28.8" customHeight="1" x14ac:dyDescent="0.3"/>
    <row r="34" ht="28.8" customHeight="1" x14ac:dyDescent="0.3"/>
    <row r="35" ht="28.8" customHeight="1" x14ac:dyDescent="0.3"/>
    <row r="36" ht="28.8" customHeight="1" x14ac:dyDescent="0.3"/>
    <row r="37" ht="28.8" customHeight="1" x14ac:dyDescent="0.3"/>
    <row r="38" ht="28.8" customHeight="1" x14ac:dyDescent="0.3"/>
    <row r="39" ht="28.8" customHeight="1" x14ac:dyDescent="0.3"/>
    <row r="40" ht="28.8" customHeight="1" x14ac:dyDescent="0.3"/>
    <row r="41" ht="28.8" customHeight="1" x14ac:dyDescent="0.3"/>
    <row r="42" ht="28.8" customHeight="1" x14ac:dyDescent="0.3"/>
    <row r="43" ht="28.8" customHeight="1" x14ac:dyDescent="0.3"/>
    <row r="44" ht="28.8" customHeight="1" x14ac:dyDescent="0.3"/>
    <row r="45" ht="28.8" customHeight="1" x14ac:dyDescent="0.3"/>
    <row r="46" ht="28.8" customHeight="1" x14ac:dyDescent="0.3"/>
    <row r="47" ht="28.8" customHeight="1" x14ac:dyDescent="0.3"/>
    <row r="48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3">
    <mergeCell ref="H10:K10"/>
    <mergeCell ref="H11:I11"/>
    <mergeCell ref="H18:K18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5C7DF-70C3-45FB-8A0C-6117DF2FB04C}">
  <sheetPr codeName="Planilha62">
    <tabColor rgb="FF7030A0"/>
  </sheetPr>
  <dimension ref="A1:AW66"/>
  <sheetViews>
    <sheetView zoomScale="40" zoomScaleNormal="40" workbookViewId="0">
      <selection activeCell="E27" sqref="E27"/>
    </sheetView>
  </sheetViews>
  <sheetFormatPr defaultRowHeight="14.4" x14ac:dyDescent="0.3"/>
  <cols>
    <col min="1" max="4" width="8.88671875" style="100"/>
    <col min="5" max="5" width="72.33203125" style="100" bestFit="1" customWidth="1"/>
    <col min="6" max="6" width="23.21875" style="100" bestFit="1" customWidth="1"/>
    <col min="7" max="7" width="26" style="100" bestFit="1" customWidth="1"/>
    <col min="8" max="8" width="25.6640625" style="100" bestFit="1" customWidth="1"/>
    <col min="9" max="9" width="22.88671875" style="100" bestFit="1" customWidth="1"/>
    <col min="10" max="10" width="27.88671875" style="100" bestFit="1" customWidth="1"/>
    <col min="11" max="11" width="36.77734375" style="100" bestFit="1" customWidth="1"/>
    <col min="12" max="12" width="25.44140625" style="100" bestFit="1" customWidth="1"/>
    <col min="13" max="13" width="29" style="100" bestFit="1" customWidth="1"/>
    <col min="14" max="14" width="47.88671875" style="100" bestFit="1" customWidth="1"/>
    <col min="15" max="15" width="29.33203125" style="100" customWidth="1"/>
    <col min="16" max="16" width="73.44140625" style="100" customWidth="1"/>
    <col min="17" max="17" width="15.55468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  <c r="AV4" s="150"/>
      <c r="AW4" s="150"/>
    </row>
    <row r="5" spans="1:49" x14ac:dyDescent="0.3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  <c r="AV5" s="150"/>
      <c r="AW5" s="150"/>
    </row>
    <row r="6" spans="1:49" x14ac:dyDescent="0.3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  <c r="AV6" s="150"/>
      <c r="AW6" s="150"/>
    </row>
    <row r="7" spans="1:49" x14ac:dyDescent="0.3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</row>
    <row r="8" spans="1:49" ht="28.8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</row>
    <row r="9" spans="1:49" ht="28.8" customHeight="1" x14ac:dyDescent="0.3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</row>
    <row r="10" spans="1:49" ht="28.8" customHeight="1" x14ac:dyDescent="0.3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</row>
    <row r="11" spans="1:49" ht="28.8" customHeight="1" x14ac:dyDescent="0.3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</row>
    <row r="12" spans="1:49" ht="28.8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</row>
    <row r="13" spans="1:49" ht="28.8" customHeight="1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</row>
    <row r="14" spans="1:49" ht="28.8" customHeight="1" x14ac:dyDescent="0.3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</row>
    <row r="15" spans="1:49" ht="28.8" customHeight="1" x14ac:dyDescent="0.3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</row>
    <row r="16" spans="1:49" ht="28.8" customHeight="1" x14ac:dyDescent="0.3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</row>
    <row r="17" spans="1:22" ht="28.8" customHeight="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</row>
    <row r="18" spans="1:22" ht="28.8" customHeight="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</row>
    <row r="19" spans="1:22" ht="28.8" customHeight="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</row>
    <row r="20" spans="1:22" ht="28.8" customHeight="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</row>
    <row r="21" spans="1:22" ht="28.8" customHeight="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</row>
    <row r="22" spans="1:22" ht="28.8" customHeight="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</row>
    <row r="23" spans="1:22" ht="28.8" customHeight="1" x14ac:dyDescent="0.3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</row>
    <row r="24" spans="1:22" ht="28.8" customHeight="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</row>
    <row r="25" spans="1:22" ht="28.8" customHeight="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</row>
    <row r="26" spans="1:22" ht="28.8" customHeight="1" x14ac:dyDescent="0.3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</row>
    <row r="27" spans="1:22" ht="28.8" customHeight="1" x14ac:dyDescent="0.3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</row>
    <row r="28" spans="1:22" ht="28.8" customHeight="1" x14ac:dyDescent="0.3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</row>
    <row r="29" spans="1:22" ht="28.8" customHeight="1" x14ac:dyDescent="0.3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</row>
    <row r="30" spans="1:22" ht="28.8" customHeight="1" x14ac:dyDescent="0.3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</row>
    <row r="31" spans="1:22" ht="28.8" customHeight="1" x14ac:dyDescent="0.3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</row>
    <row r="32" spans="1:22" ht="28.8" customHeight="1" x14ac:dyDescent="0.3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</row>
    <row r="33" spans="1:22" ht="28.8" customHeight="1" x14ac:dyDescent="0.3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</row>
    <row r="34" spans="1:22" ht="28.8" customHeight="1" x14ac:dyDescent="0.3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</row>
    <row r="35" spans="1:22" ht="28.8" customHeight="1" x14ac:dyDescent="0.3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</row>
    <row r="36" spans="1:22" ht="28.8" customHeight="1" x14ac:dyDescent="0.3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</row>
    <row r="37" spans="1:22" ht="28.8" customHeight="1" x14ac:dyDescent="0.3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</row>
    <row r="38" spans="1:22" ht="28.8" customHeight="1" x14ac:dyDescent="0.3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</row>
    <row r="39" spans="1:22" ht="28.8" customHeight="1" x14ac:dyDescent="0.3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</row>
    <row r="40" spans="1:22" ht="28.8" customHeight="1" x14ac:dyDescent="0.3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</row>
    <row r="41" spans="1:22" ht="28.8" customHeight="1" x14ac:dyDescent="0.3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</row>
    <row r="42" spans="1:22" ht="28.8" customHeight="1" x14ac:dyDescent="0.3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</row>
    <row r="43" spans="1:22" ht="28.8" customHeight="1" x14ac:dyDescent="0.3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</row>
    <row r="44" spans="1:22" ht="28.8" customHeight="1" x14ac:dyDescent="0.3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</row>
    <row r="45" spans="1:22" ht="28.8" customHeight="1" x14ac:dyDescent="0.3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</row>
    <row r="46" spans="1:22" ht="28.8" customHeight="1" x14ac:dyDescent="0.3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</row>
    <row r="47" spans="1:22" ht="28.8" customHeight="1" x14ac:dyDescent="0.3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</row>
    <row r="48" spans="1:22" ht="28.8" customHeight="1" x14ac:dyDescent="0.3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</row>
    <row r="49" spans="1:22" ht="28.8" customHeight="1" x14ac:dyDescent="0.3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</row>
    <row r="50" spans="1:22" ht="28.8" customHeight="1" x14ac:dyDescent="0.3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</row>
    <row r="51" spans="1:22" ht="28.8" customHeight="1" x14ac:dyDescent="0.3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</row>
    <row r="52" spans="1:22" ht="28.8" customHeight="1" x14ac:dyDescent="0.3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</row>
    <row r="53" spans="1:22" ht="28.8" customHeight="1" x14ac:dyDescent="0.3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</row>
    <row r="54" spans="1:22" ht="28.8" customHeight="1" x14ac:dyDescent="0.3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</row>
    <row r="55" spans="1:22" ht="28.8" customHeight="1" x14ac:dyDescent="0.3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</row>
    <row r="56" spans="1:22" ht="28.8" customHeight="1" x14ac:dyDescent="0.3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</row>
    <row r="57" spans="1:22" ht="28.8" customHeight="1" x14ac:dyDescent="0.3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</row>
    <row r="58" spans="1:22" ht="28.8" customHeight="1" x14ac:dyDescent="0.3"/>
    <row r="59" spans="1:22" ht="28.8" customHeight="1" x14ac:dyDescent="0.3"/>
    <row r="60" spans="1:22" ht="28.8" customHeight="1" x14ac:dyDescent="0.3"/>
    <row r="61" spans="1:22" ht="28.8" customHeight="1" x14ac:dyDescent="0.3"/>
    <row r="62" spans="1:22" ht="28.8" customHeight="1" x14ac:dyDescent="0.3"/>
    <row r="63" spans="1:22" ht="28.8" customHeight="1" x14ac:dyDescent="0.3"/>
    <row r="64" spans="1:22" ht="28.8" customHeight="1" x14ac:dyDescent="0.3"/>
    <row r="65" ht="28.8" customHeight="1" x14ac:dyDescent="0.3"/>
    <row r="66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BE377-6EA1-44FD-94E7-529FBCDA72B5}">
  <sheetPr codeName="Planilha46">
    <tabColor rgb="FF7030A0"/>
  </sheetPr>
  <dimension ref="A1:AW66"/>
  <sheetViews>
    <sheetView topLeftCell="E1" zoomScale="40" zoomScaleNormal="40" workbookViewId="0">
      <selection activeCell="K15" sqref="K15"/>
    </sheetView>
  </sheetViews>
  <sheetFormatPr defaultColWidth="8.88671875" defaultRowHeight="14.4" x14ac:dyDescent="0.3"/>
  <cols>
    <col min="1" max="4" width="8.88671875" style="100"/>
    <col min="5" max="5" width="72.33203125" style="100" bestFit="1" customWidth="1"/>
    <col min="6" max="6" width="23.33203125" style="100" bestFit="1" customWidth="1"/>
    <col min="7" max="7" width="26" style="100" bestFit="1" customWidth="1"/>
    <col min="8" max="8" width="25.6640625" style="100" bestFit="1" customWidth="1"/>
    <col min="9" max="9" width="22.88671875" style="100" bestFit="1" customWidth="1"/>
    <col min="10" max="10" width="27.88671875" style="100" bestFit="1" customWidth="1"/>
    <col min="11" max="11" width="36.6640625" style="100" bestFit="1" customWidth="1"/>
    <col min="12" max="12" width="25.44140625" style="100" bestFit="1" customWidth="1"/>
    <col min="13" max="13" width="29" style="100" bestFit="1" customWidth="1"/>
    <col min="14" max="14" width="47.88671875" style="100" bestFit="1" customWidth="1"/>
    <col min="15" max="15" width="29.33203125" style="100" customWidth="1"/>
    <col min="16" max="16" width="73.44140625" style="100" customWidth="1"/>
    <col min="17" max="17" width="15.55468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464"/>
      <c r="B4" s="464"/>
      <c r="C4" s="464"/>
      <c r="D4" s="464"/>
      <c r="E4" s="464"/>
      <c r="F4" s="464"/>
      <c r="G4" s="464"/>
      <c r="H4" s="464"/>
      <c r="I4" s="464"/>
      <c r="J4" s="464"/>
      <c r="K4" s="464"/>
      <c r="L4" s="464"/>
      <c r="M4" s="464"/>
      <c r="N4" s="464"/>
      <c r="O4" s="464"/>
      <c r="P4" s="464"/>
      <c r="Q4" s="464"/>
      <c r="R4" s="464"/>
      <c r="S4" s="464"/>
      <c r="T4" s="464"/>
      <c r="U4" s="464"/>
      <c r="V4" s="464"/>
      <c r="W4" s="464"/>
      <c r="X4" s="464"/>
      <c r="Y4" s="464"/>
      <c r="Z4" s="464"/>
      <c r="AA4" s="464"/>
      <c r="AB4" s="464"/>
      <c r="AC4" s="464"/>
      <c r="AD4" s="464"/>
      <c r="AE4" s="464"/>
      <c r="AF4" s="464"/>
      <c r="AG4" s="464"/>
      <c r="AH4" s="464"/>
      <c r="AI4" s="464"/>
      <c r="AJ4" s="464"/>
      <c r="AK4" s="464"/>
      <c r="AL4" s="464"/>
      <c r="AM4" s="464"/>
      <c r="AN4" s="464"/>
      <c r="AO4" s="464"/>
      <c r="AP4" s="464"/>
      <c r="AQ4" s="464"/>
      <c r="AR4" s="464"/>
      <c r="AS4" s="464"/>
      <c r="AT4" s="464"/>
      <c r="AU4" s="464"/>
      <c r="AV4" s="464"/>
      <c r="AW4" s="464"/>
    </row>
    <row r="5" spans="1:49" x14ac:dyDescent="0.3">
      <c r="A5" s="464"/>
      <c r="B5" s="464"/>
      <c r="C5" s="464"/>
      <c r="D5" s="464"/>
      <c r="E5" s="464"/>
      <c r="F5" s="464"/>
      <c r="G5" s="464"/>
      <c r="H5" s="464"/>
      <c r="I5" s="464"/>
      <c r="J5" s="464"/>
      <c r="K5" s="464"/>
      <c r="L5" s="464"/>
      <c r="M5" s="464"/>
      <c r="N5" s="464"/>
      <c r="O5" s="464"/>
      <c r="P5" s="464"/>
      <c r="Q5" s="464"/>
      <c r="R5" s="464"/>
      <c r="S5" s="464"/>
      <c r="T5" s="464"/>
      <c r="U5" s="464"/>
      <c r="V5" s="464"/>
      <c r="W5" s="464"/>
      <c r="X5" s="464"/>
      <c r="Y5" s="464"/>
      <c r="Z5" s="464"/>
      <c r="AA5" s="464"/>
      <c r="AB5" s="464"/>
      <c r="AC5" s="464"/>
      <c r="AD5" s="464"/>
      <c r="AE5" s="464"/>
      <c r="AF5" s="464"/>
      <c r="AG5" s="464"/>
      <c r="AH5" s="464"/>
      <c r="AI5" s="464"/>
      <c r="AJ5" s="464"/>
      <c r="AK5" s="464"/>
      <c r="AL5" s="464"/>
      <c r="AM5" s="464"/>
      <c r="AN5" s="464"/>
      <c r="AO5" s="464"/>
      <c r="AP5" s="464"/>
      <c r="AQ5" s="464"/>
      <c r="AR5" s="464"/>
      <c r="AS5" s="464"/>
      <c r="AT5" s="464"/>
      <c r="AU5" s="464"/>
      <c r="AV5" s="464"/>
      <c r="AW5" s="464"/>
    </row>
    <row r="6" spans="1:49" x14ac:dyDescent="0.3">
      <c r="A6" s="464"/>
      <c r="B6" s="464"/>
      <c r="C6" s="464"/>
      <c r="D6" s="464"/>
      <c r="E6" s="464"/>
      <c r="F6" s="464"/>
      <c r="G6" s="464"/>
      <c r="H6" s="464"/>
      <c r="I6" s="464"/>
      <c r="J6" s="464"/>
      <c r="K6" s="464"/>
      <c r="L6" s="464"/>
      <c r="M6" s="464"/>
      <c r="N6" s="464"/>
      <c r="O6" s="464"/>
      <c r="P6" s="464"/>
      <c r="Q6" s="464"/>
      <c r="R6" s="464"/>
      <c r="S6" s="464"/>
      <c r="T6" s="464"/>
      <c r="U6" s="464"/>
      <c r="V6" s="464"/>
      <c r="W6" s="464"/>
      <c r="X6" s="464"/>
      <c r="Y6" s="464"/>
      <c r="Z6" s="464"/>
      <c r="AA6" s="464"/>
      <c r="AB6" s="464"/>
      <c r="AC6" s="464"/>
      <c r="AD6" s="464"/>
      <c r="AE6" s="464"/>
      <c r="AF6" s="464"/>
      <c r="AG6" s="464"/>
      <c r="AH6" s="464"/>
      <c r="AI6" s="464"/>
      <c r="AJ6" s="464"/>
      <c r="AK6" s="464"/>
      <c r="AL6" s="464"/>
      <c r="AM6" s="464"/>
      <c r="AN6" s="464"/>
      <c r="AO6" s="464"/>
      <c r="AP6" s="464"/>
      <c r="AQ6" s="464"/>
      <c r="AR6" s="464"/>
      <c r="AS6" s="464"/>
      <c r="AT6" s="464"/>
      <c r="AU6" s="464"/>
      <c r="AV6" s="464"/>
      <c r="AW6" s="464"/>
    </row>
    <row r="7" spans="1:49" x14ac:dyDescent="0.3">
      <c r="A7" s="464"/>
      <c r="B7" s="464"/>
      <c r="C7" s="464"/>
      <c r="D7" s="464"/>
      <c r="E7" s="464"/>
      <c r="F7" s="464"/>
      <c r="G7" s="464"/>
      <c r="H7" s="464"/>
      <c r="I7" s="464"/>
      <c r="J7" s="464"/>
      <c r="K7" s="464"/>
      <c r="L7" s="464"/>
      <c r="M7" s="464"/>
      <c r="N7" s="464"/>
      <c r="O7" s="464"/>
      <c r="P7" s="464"/>
      <c r="Q7" s="464"/>
      <c r="R7" s="464"/>
      <c r="S7" s="464"/>
      <c r="T7" s="464"/>
      <c r="U7" s="464"/>
      <c r="V7" s="464"/>
      <c r="W7" s="464"/>
      <c r="X7" s="464"/>
      <c r="Y7" s="464"/>
      <c r="Z7" s="464"/>
      <c r="AA7" s="464"/>
      <c r="AB7" s="464"/>
      <c r="AC7" s="464"/>
      <c r="AD7" s="464"/>
      <c r="AE7" s="464"/>
      <c r="AF7" s="464"/>
      <c r="AG7" s="464"/>
      <c r="AH7" s="464"/>
      <c r="AI7" s="464"/>
      <c r="AJ7" s="464"/>
      <c r="AK7" s="464"/>
      <c r="AL7" s="464"/>
      <c r="AM7" s="464"/>
      <c r="AN7" s="464"/>
      <c r="AO7" s="464"/>
      <c r="AP7" s="464"/>
      <c r="AQ7" s="464"/>
      <c r="AR7" s="464"/>
      <c r="AS7" s="464"/>
      <c r="AT7" s="464"/>
      <c r="AU7" s="464"/>
      <c r="AV7" s="464"/>
      <c r="AW7" s="464"/>
    </row>
    <row r="8" spans="1:49" ht="28.95" customHeight="1" x14ac:dyDescent="0.3"/>
    <row r="9" spans="1:49" ht="28.95" customHeight="1" x14ac:dyDescent="0.3"/>
    <row r="10" spans="1:49" ht="28.95" customHeight="1" x14ac:dyDescent="0.3"/>
    <row r="11" spans="1:49" ht="28.95" customHeight="1" thickBot="1" x14ac:dyDescent="0.35"/>
    <row r="12" spans="1:49" ht="28.95" customHeight="1" x14ac:dyDescent="0.3">
      <c r="H12" s="299" t="s">
        <v>404</v>
      </c>
      <c r="I12" s="300"/>
      <c r="J12" s="300"/>
      <c r="K12" s="300"/>
      <c r="L12" s="301"/>
    </row>
    <row r="13" spans="1:49" ht="28.95" customHeight="1" thickBot="1" x14ac:dyDescent="0.35">
      <c r="H13" s="302"/>
      <c r="I13" s="303"/>
      <c r="J13" s="303"/>
      <c r="K13" s="303"/>
      <c r="L13" s="304"/>
    </row>
    <row r="14" spans="1:49" ht="28.95" customHeight="1" thickBot="1" x14ac:dyDescent="0.35">
      <c r="H14" s="8"/>
      <c r="I14" s="495"/>
      <c r="J14" s="495"/>
      <c r="K14" s="495"/>
      <c r="L14" s="50"/>
    </row>
    <row r="15" spans="1:49" ht="28.95" customHeight="1" thickBot="1" x14ac:dyDescent="0.4">
      <c r="H15" s="8"/>
      <c r="I15" s="490" t="s">
        <v>362</v>
      </c>
      <c r="J15" s="496"/>
      <c r="K15" s="497"/>
      <c r="L15" s="50"/>
    </row>
    <row r="16" spans="1:49" ht="28.95" customHeight="1" thickBot="1" x14ac:dyDescent="0.35">
      <c r="H16" s="8"/>
      <c r="I16" s="490"/>
      <c r="J16" s="496"/>
      <c r="K16" s="496"/>
      <c r="L16" s="50"/>
    </row>
    <row r="17" spans="8:12" ht="28.95" customHeight="1" thickBot="1" x14ac:dyDescent="0.4">
      <c r="H17" s="8"/>
      <c r="I17" s="490" t="s">
        <v>287</v>
      </c>
      <c r="J17" s="496"/>
      <c r="K17" s="497"/>
      <c r="L17" s="50"/>
    </row>
    <row r="18" spans="8:12" ht="28.95" customHeight="1" thickBot="1" x14ac:dyDescent="0.35">
      <c r="H18" s="8"/>
      <c r="I18" s="490"/>
      <c r="J18" s="496"/>
      <c r="K18" s="496"/>
      <c r="L18" s="50"/>
    </row>
    <row r="19" spans="8:12" ht="28.95" customHeight="1" thickBot="1" x14ac:dyDescent="0.4">
      <c r="H19" s="8"/>
      <c r="I19" s="490" t="s">
        <v>293</v>
      </c>
      <c r="J19" s="496"/>
      <c r="K19" s="497"/>
      <c r="L19" s="50"/>
    </row>
    <row r="20" spans="8:12" ht="28.95" customHeight="1" thickBot="1" x14ac:dyDescent="0.35">
      <c r="H20" s="8"/>
      <c r="I20" s="490"/>
      <c r="J20" s="496"/>
      <c r="K20" s="496"/>
      <c r="L20" s="50"/>
    </row>
    <row r="21" spans="8:12" ht="28.95" customHeight="1" thickBot="1" x14ac:dyDescent="0.4">
      <c r="H21" s="8"/>
      <c r="I21" s="490" t="s">
        <v>403</v>
      </c>
      <c r="J21" s="496"/>
      <c r="K21" s="497"/>
      <c r="L21" s="50"/>
    </row>
    <row r="22" spans="8:12" ht="28.95" customHeight="1" thickBot="1" x14ac:dyDescent="0.35">
      <c r="H22" s="8"/>
      <c r="I22" s="490"/>
      <c r="J22" s="496"/>
      <c r="K22" s="496"/>
      <c r="L22" s="50"/>
    </row>
    <row r="23" spans="8:12" ht="28.95" customHeight="1" thickBot="1" x14ac:dyDescent="0.4">
      <c r="H23" s="8"/>
      <c r="I23" s="490" t="s">
        <v>408</v>
      </c>
      <c r="J23" s="496"/>
      <c r="K23" s="497"/>
      <c r="L23" s="50"/>
    </row>
    <row r="24" spans="8:12" ht="28.95" customHeight="1" thickBot="1" x14ac:dyDescent="0.35">
      <c r="H24" s="8"/>
      <c r="I24" s="490"/>
      <c r="J24" s="496"/>
      <c r="K24" s="496"/>
      <c r="L24" s="50"/>
    </row>
    <row r="25" spans="8:12" ht="28.95" customHeight="1" thickBot="1" x14ac:dyDescent="0.4">
      <c r="H25" s="8"/>
      <c r="I25" s="490" t="s">
        <v>407</v>
      </c>
      <c r="J25" s="496"/>
      <c r="K25" s="497"/>
      <c r="L25" s="50"/>
    </row>
    <row r="26" spans="8:12" ht="28.95" customHeight="1" thickBot="1" x14ac:dyDescent="0.35">
      <c r="H26" s="8"/>
      <c r="I26" s="490"/>
      <c r="J26" s="496"/>
      <c r="K26" s="496"/>
      <c r="L26" s="50"/>
    </row>
    <row r="27" spans="8:12" ht="28.95" customHeight="1" thickBot="1" x14ac:dyDescent="0.35">
      <c r="H27" s="8"/>
      <c r="I27" s="490" t="s">
        <v>294</v>
      </c>
      <c r="J27" s="496"/>
      <c r="K27" s="498"/>
      <c r="L27" s="50"/>
    </row>
    <row r="28" spans="8:12" ht="28.95" customHeight="1" x14ac:dyDescent="0.3">
      <c r="H28" s="61"/>
      <c r="I28" s="313"/>
      <c r="J28" s="313"/>
      <c r="K28" s="313"/>
      <c r="L28" s="7"/>
    </row>
    <row r="29" spans="8:12" ht="28.95" customHeight="1" x14ac:dyDescent="0.3">
      <c r="H29" s="61"/>
      <c r="I29" s="313"/>
      <c r="J29" s="313"/>
      <c r="K29" s="313"/>
      <c r="L29" s="7"/>
    </row>
    <row r="30" spans="8:12" ht="28.95" customHeight="1" x14ac:dyDescent="0.3">
      <c r="H30" s="61"/>
      <c r="I30" s="313"/>
      <c r="J30" s="313"/>
      <c r="K30" s="313"/>
      <c r="L30" s="7"/>
    </row>
    <row r="31" spans="8:12" ht="28.95" customHeight="1" x14ac:dyDescent="0.3">
      <c r="H31" s="61"/>
      <c r="I31" s="313"/>
      <c r="J31" s="313"/>
      <c r="K31" s="313"/>
      <c r="L31" s="7"/>
    </row>
    <row r="32" spans="8:12" ht="28.95" customHeight="1" x14ac:dyDescent="0.3">
      <c r="H32" s="61"/>
      <c r="I32" s="313"/>
      <c r="J32" s="313"/>
      <c r="K32" s="313"/>
      <c r="L32" s="7"/>
    </row>
    <row r="33" spans="8:12" ht="28.95" customHeight="1" x14ac:dyDescent="0.3">
      <c r="H33" s="61"/>
      <c r="I33" s="313"/>
      <c r="J33" s="313"/>
      <c r="K33" s="313"/>
      <c r="L33" s="7"/>
    </row>
    <row r="34" spans="8:12" ht="28.95" customHeight="1" thickBot="1" x14ac:dyDescent="0.35">
      <c r="H34" s="73"/>
      <c r="I34" s="74"/>
      <c r="J34" s="74"/>
      <c r="K34" s="74"/>
      <c r="L34" s="75"/>
    </row>
    <row r="35" spans="8:12" ht="28.95" customHeight="1" x14ac:dyDescent="0.3"/>
    <row r="36" spans="8:12" ht="28.95" customHeight="1" x14ac:dyDescent="0.3"/>
    <row r="37" spans="8:12" ht="28.95" customHeight="1" x14ac:dyDescent="0.3"/>
    <row r="38" spans="8:12" ht="28.95" customHeight="1" x14ac:dyDescent="0.3"/>
    <row r="39" spans="8:12" ht="28.95" customHeight="1" x14ac:dyDescent="0.3"/>
    <row r="40" spans="8:12" ht="28.95" customHeight="1" x14ac:dyDescent="0.3"/>
    <row r="41" spans="8:12" ht="28.95" customHeight="1" x14ac:dyDescent="0.3"/>
    <row r="42" spans="8:12" ht="28.95" customHeight="1" x14ac:dyDescent="0.3"/>
    <row r="43" spans="8:12" ht="28.95" customHeight="1" x14ac:dyDescent="0.3"/>
    <row r="44" spans="8:12" ht="28.95" customHeight="1" x14ac:dyDescent="0.3"/>
    <row r="45" spans="8:12" ht="28.95" customHeight="1" x14ac:dyDescent="0.3"/>
    <row r="46" spans="8:12" ht="28.95" customHeight="1" x14ac:dyDescent="0.3"/>
    <row r="47" spans="8:12" ht="28.95" customHeight="1" x14ac:dyDescent="0.3"/>
    <row r="48" spans="8:12" ht="28.95" customHeight="1" x14ac:dyDescent="0.3"/>
    <row r="49" ht="28.95" customHeight="1" x14ac:dyDescent="0.3"/>
    <row r="50" ht="28.95" customHeight="1" x14ac:dyDescent="0.3"/>
    <row r="51" ht="28.95" customHeight="1" x14ac:dyDescent="0.3"/>
    <row r="52" ht="28.95" customHeight="1" x14ac:dyDescent="0.3"/>
    <row r="53" ht="28.95" customHeight="1" x14ac:dyDescent="0.3"/>
    <row r="54" ht="28.95" customHeight="1" x14ac:dyDescent="0.3"/>
    <row r="55" ht="28.95" customHeight="1" x14ac:dyDescent="0.3"/>
    <row r="56" ht="28.95" customHeight="1" x14ac:dyDescent="0.3"/>
    <row r="57" ht="28.95" customHeight="1" x14ac:dyDescent="0.3"/>
    <row r="58" ht="28.95" customHeight="1" x14ac:dyDescent="0.3"/>
    <row r="59" ht="28.95" customHeight="1" x14ac:dyDescent="0.3"/>
    <row r="60" ht="28.95" customHeight="1" x14ac:dyDescent="0.3"/>
    <row r="61" ht="28.95" customHeight="1" x14ac:dyDescent="0.3"/>
    <row r="62" ht="28.95" customHeight="1" x14ac:dyDescent="0.3"/>
    <row r="63" ht="28.95" customHeight="1" x14ac:dyDescent="0.3"/>
    <row r="64" ht="28.95" customHeight="1" x14ac:dyDescent="0.3"/>
    <row r="65" ht="28.95" customHeight="1" x14ac:dyDescent="0.3"/>
    <row r="66" ht="28.95" customHeight="1" x14ac:dyDescent="0.3"/>
  </sheetData>
  <mergeCells count="1">
    <mergeCell ref="H12:L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3461C-ECFB-4103-B6CF-0C0E85CFF751}">
  <sheetPr codeName="Planilha47">
    <tabColor rgb="FF7030A0"/>
  </sheetPr>
  <dimension ref="A1:AW66"/>
  <sheetViews>
    <sheetView topLeftCell="E1" zoomScale="40" zoomScaleNormal="40" workbookViewId="0">
      <selection activeCell="N4" sqref="N4"/>
    </sheetView>
  </sheetViews>
  <sheetFormatPr defaultColWidth="8.88671875" defaultRowHeight="14.4" x14ac:dyDescent="0.3"/>
  <cols>
    <col min="1" max="4" width="8.88671875" style="100"/>
    <col min="5" max="5" width="72.33203125" style="100" bestFit="1" customWidth="1"/>
    <col min="6" max="6" width="23.33203125" style="100" bestFit="1" customWidth="1"/>
    <col min="7" max="7" width="26" style="100" bestFit="1" customWidth="1"/>
    <col min="8" max="8" width="25.6640625" style="100" bestFit="1" customWidth="1"/>
    <col min="9" max="9" width="22.88671875" style="100" bestFit="1" customWidth="1"/>
    <col min="10" max="10" width="27.88671875" style="100" bestFit="1" customWidth="1"/>
    <col min="11" max="11" width="54.6640625" style="100" customWidth="1"/>
    <col min="12" max="12" width="25.44140625" style="100" bestFit="1" customWidth="1"/>
    <col min="13" max="13" width="29" style="100" bestFit="1" customWidth="1"/>
    <col min="14" max="14" width="47.88671875" style="100" bestFit="1" customWidth="1"/>
    <col min="15" max="15" width="29.33203125" style="100" customWidth="1"/>
    <col min="16" max="16" width="73.44140625" style="100" customWidth="1"/>
    <col min="17" max="17" width="15.55468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464"/>
      <c r="B4" s="464"/>
      <c r="C4" s="464"/>
      <c r="D4" s="464"/>
      <c r="E4" s="464"/>
      <c r="F4" s="464"/>
      <c r="G4" s="464"/>
      <c r="H4" s="464"/>
      <c r="I4" s="464"/>
      <c r="J4" s="464"/>
      <c r="K4" s="464"/>
      <c r="L4" s="464"/>
      <c r="M4" s="464"/>
      <c r="N4" s="464"/>
      <c r="O4" s="464"/>
      <c r="P4" s="464"/>
      <c r="Q4" s="464"/>
      <c r="R4" s="464"/>
      <c r="S4" s="464"/>
      <c r="T4" s="464"/>
      <c r="U4" s="464"/>
      <c r="V4" s="464"/>
      <c r="W4" s="464"/>
      <c r="X4" s="464"/>
      <c r="Y4" s="464"/>
      <c r="Z4" s="464"/>
      <c r="AA4" s="464"/>
      <c r="AB4" s="464"/>
      <c r="AC4" s="464"/>
      <c r="AD4" s="464"/>
      <c r="AE4" s="464"/>
      <c r="AF4" s="464"/>
      <c r="AG4" s="464"/>
      <c r="AH4" s="464"/>
      <c r="AI4" s="464"/>
      <c r="AJ4" s="464"/>
      <c r="AK4" s="464"/>
      <c r="AL4" s="464"/>
      <c r="AM4" s="464"/>
      <c r="AN4" s="464"/>
      <c r="AO4" s="464"/>
      <c r="AP4" s="464"/>
      <c r="AQ4" s="464"/>
      <c r="AR4" s="464"/>
      <c r="AS4" s="464"/>
      <c r="AT4" s="464"/>
      <c r="AU4" s="464"/>
      <c r="AV4" s="464"/>
      <c r="AW4" s="464"/>
    </row>
    <row r="5" spans="1:49" x14ac:dyDescent="0.3">
      <c r="A5" s="464"/>
      <c r="B5" s="464"/>
      <c r="C5" s="464"/>
      <c r="D5" s="464"/>
      <c r="E5" s="464"/>
      <c r="F5" s="464"/>
      <c r="G5" s="464"/>
      <c r="H5" s="464"/>
      <c r="I5" s="464"/>
      <c r="J5" s="464"/>
      <c r="K5" s="464"/>
      <c r="L5" s="464"/>
      <c r="M5" s="464"/>
      <c r="N5" s="464"/>
      <c r="O5" s="464"/>
      <c r="P5" s="464"/>
      <c r="Q5" s="464"/>
      <c r="R5" s="464"/>
      <c r="S5" s="464"/>
      <c r="T5" s="464"/>
      <c r="U5" s="464"/>
      <c r="V5" s="464"/>
      <c r="W5" s="464"/>
      <c r="X5" s="464"/>
      <c r="Y5" s="464"/>
      <c r="Z5" s="464"/>
      <c r="AA5" s="464"/>
      <c r="AB5" s="464"/>
      <c r="AC5" s="464"/>
      <c r="AD5" s="464"/>
      <c r="AE5" s="464"/>
      <c r="AF5" s="464"/>
      <c r="AG5" s="464"/>
      <c r="AH5" s="464"/>
      <c r="AI5" s="464"/>
      <c r="AJ5" s="464"/>
      <c r="AK5" s="464"/>
      <c r="AL5" s="464"/>
      <c r="AM5" s="464"/>
      <c r="AN5" s="464"/>
      <c r="AO5" s="464"/>
      <c r="AP5" s="464"/>
      <c r="AQ5" s="464"/>
      <c r="AR5" s="464"/>
      <c r="AS5" s="464"/>
      <c r="AT5" s="464"/>
      <c r="AU5" s="464"/>
      <c r="AV5" s="464"/>
      <c r="AW5" s="464"/>
    </row>
    <row r="6" spans="1:49" x14ac:dyDescent="0.3">
      <c r="A6" s="464"/>
      <c r="B6" s="464"/>
      <c r="C6" s="464"/>
      <c r="D6" s="464"/>
      <c r="E6" s="464"/>
      <c r="F6" s="464"/>
      <c r="G6" s="464"/>
      <c r="H6" s="464"/>
      <c r="I6" s="464"/>
      <c r="J6" s="464"/>
      <c r="K6" s="464"/>
      <c r="L6" s="464"/>
      <c r="M6" s="464"/>
      <c r="N6" s="464"/>
      <c r="O6" s="464"/>
      <c r="P6" s="464"/>
      <c r="Q6" s="464"/>
      <c r="R6" s="464"/>
      <c r="S6" s="464"/>
      <c r="T6" s="464"/>
      <c r="U6" s="464"/>
      <c r="V6" s="464"/>
      <c r="W6" s="464"/>
      <c r="X6" s="464"/>
      <c r="Y6" s="464"/>
      <c r="Z6" s="464"/>
      <c r="AA6" s="464"/>
      <c r="AB6" s="464"/>
      <c r="AC6" s="464"/>
      <c r="AD6" s="464"/>
      <c r="AE6" s="464"/>
      <c r="AF6" s="464"/>
      <c r="AG6" s="464"/>
      <c r="AH6" s="464"/>
      <c r="AI6" s="464"/>
      <c r="AJ6" s="464"/>
      <c r="AK6" s="464"/>
      <c r="AL6" s="464"/>
      <c r="AM6" s="464"/>
      <c r="AN6" s="464"/>
      <c r="AO6" s="464"/>
      <c r="AP6" s="464"/>
      <c r="AQ6" s="464"/>
      <c r="AR6" s="464"/>
      <c r="AS6" s="464"/>
      <c r="AT6" s="464"/>
      <c r="AU6" s="464"/>
      <c r="AV6" s="464"/>
      <c r="AW6" s="464"/>
    </row>
    <row r="7" spans="1:49" x14ac:dyDescent="0.3">
      <c r="A7" s="464"/>
      <c r="B7" s="464"/>
      <c r="C7" s="464"/>
      <c r="D7" s="464"/>
      <c r="E7" s="464"/>
      <c r="F7" s="464"/>
      <c r="G7" s="464"/>
      <c r="H7" s="464"/>
      <c r="I7" s="464"/>
      <c r="J7" s="464"/>
      <c r="K7" s="464"/>
      <c r="L7" s="464"/>
      <c r="M7" s="464"/>
      <c r="N7" s="464"/>
      <c r="O7" s="464"/>
      <c r="P7" s="464"/>
      <c r="Q7" s="464"/>
      <c r="R7" s="464"/>
      <c r="S7" s="464"/>
      <c r="T7" s="464"/>
      <c r="U7" s="464"/>
      <c r="V7" s="464"/>
      <c r="W7" s="464"/>
      <c r="X7" s="464"/>
      <c r="Y7" s="464"/>
      <c r="Z7" s="464"/>
      <c r="AA7" s="464"/>
      <c r="AB7" s="464"/>
      <c r="AC7" s="464"/>
      <c r="AD7" s="464"/>
      <c r="AE7" s="464"/>
      <c r="AF7" s="464"/>
      <c r="AG7" s="464"/>
      <c r="AH7" s="464"/>
      <c r="AI7" s="464"/>
      <c r="AJ7" s="464"/>
      <c r="AK7" s="464"/>
      <c r="AL7" s="464"/>
      <c r="AM7" s="464"/>
      <c r="AN7" s="464"/>
      <c r="AO7" s="464"/>
      <c r="AP7" s="464"/>
      <c r="AQ7" s="464"/>
      <c r="AR7" s="464"/>
      <c r="AS7" s="464"/>
      <c r="AT7" s="464"/>
      <c r="AU7" s="464"/>
      <c r="AV7" s="464"/>
      <c r="AW7" s="464"/>
    </row>
    <row r="8" spans="1:49" ht="28.95" customHeight="1" x14ac:dyDescent="0.3"/>
    <row r="9" spans="1:49" ht="28.95" customHeight="1" x14ac:dyDescent="0.3"/>
    <row r="10" spans="1:49" ht="28.95" customHeight="1" x14ac:dyDescent="0.3"/>
    <row r="11" spans="1:49" ht="28.95" customHeight="1" thickBot="1" x14ac:dyDescent="0.35"/>
    <row r="12" spans="1:49" ht="28.95" customHeight="1" x14ac:dyDescent="0.3">
      <c r="H12" s="299" t="s">
        <v>368</v>
      </c>
      <c r="I12" s="300"/>
      <c r="J12" s="300"/>
      <c r="K12" s="300"/>
      <c r="L12" s="301"/>
    </row>
    <row r="13" spans="1:49" ht="28.95" customHeight="1" thickBot="1" x14ac:dyDescent="0.35">
      <c r="H13" s="302"/>
      <c r="I13" s="303"/>
      <c r="J13" s="303"/>
      <c r="K13" s="303"/>
      <c r="L13" s="304"/>
    </row>
    <row r="14" spans="1:49" ht="28.95" customHeight="1" thickBot="1" x14ac:dyDescent="0.35">
      <c r="H14" s="8"/>
      <c r="I14" s="495"/>
      <c r="J14" s="495"/>
      <c r="K14" s="495"/>
      <c r="L14" s="50"/>
    </row>
    <row r="15" spans="1:49" ht="28.95" customHeight="1" thickBot="1" x14ac:dyDescent="0.4">
      <c r="H15" s="8"/>
      <c r="I15" s="499" t="s">
        <v>362</v>
      </c>
      <c r="J15" s="495"/>
      <c r="K15" s="497" t="s">
        <v>473</v>
      </c>
      <c r="L15" s="50"/>
    </row>
    <row r="16" spans="1:49" ht="28.95" customHeight="1" thickBot="1" x14ac:dyDescent="0.4">
      <c r="H16" s="8"/>
      <c r="I16" s="130" t="s">
        <v>13</v>
      </c>
      <c r="J16" s="495"/>
      <c r="K16" s="471"/>
      <c r="L16" s="50"/>
    </row>
    <row r="17" spans="8:12" ht="28.95" customHeight="1" thickBot="1" x14ac:dyDescent="0.4">
      <c r="H17" s="8"/>
      <c r="I17" s="499" t="s">
        <v>363</v>
      </c>
      <c r="J17" s="495"/>
      <c r="K17" s="497" t="str">
        <f>VLOOKUP(K15,[5]BD_CADAS!C8:D30,2,0)</f>
        <v>Monte Verde Laticinios</v>
      </c>
      <c r="L17" s="50"/>
    </row>
    <row r="18" spans="8:12" ht="28.95" customHeight="1" thickBot="1" x14ac:dyDescent="0.4">
      <c r="H18" s="8"/>
      <c r="I18" s="130" t="s">
        <v>13</v>
      </c>
      <c r="J18" s="495"/>
      <c r="K18" s="471"/>
      <c r="L18" s="50"/>
    </row>
    <row r="19" spans="8:12" ht="28.95" customHeight="1" thickBot="1" x14ac:dyDescent="0.4">
      <c r="H19" s="8"/>
      <c r="I19" s="499" t="s">
        <v>293</v>
      </c>
      <c r="J19" s="495"/>
      <c r="K19" s="497" t="str">
        <f>VLOOKUP(K15,[5]BD_CADAS!C8:E30,3,0)</f>
        <v>Rua das Acácias, 45</v>
      </c>
      <c r="L19" s="50"/>
    </row>
    <row r="20" spans="8:12" ht="28.95" customHeight="1" thickBot="1" x14ac:dyDescent="0.4">
      <c r="H20" s="8"/>
      <c r="I20" s="130" t="s">
        <v>13</v>
      </c>
      <c r="J20" s="495"/>
      <c r="K20" s="471"/>
      <c r="L20" s="50"/>
    </row>
    <row r="21" spans="8:12" ht="28.95" customHeight="1" thickBot="1" x14ac:dyDescent="0.4">
      <c r="H21" s="8"/>
      <c r="I21" s="499" t="s">
        <v>282</v>
      </c>
      <c r="J21" s="495"/>
      <c r="K21" s="497" t="s">
        <v>232</v>
      </c>
      <c r="L21" s="50"/>
    </row>
    <row r="22" spans="8:12" ht="28.95" customHeight="1" thickBot="1" x14ac:dyDescent="0.4">
      <c r="H22" s="8"/>
      <c r="I22" s="130" t="s">
        <v>13</v>
      </c>
      <c r="J22" s="495"/>
      <c r="K22" s="471"/>
      <c r="L22" s="50"/>
    </row>
    <row r="23" spans="8:12" ht="28.95" customHeight="1" thickBot="1" x14ac:dyDescent="0.4">
      <c r="H23" s="8"/>
      <c r="I23" s="499" t="s">
        <v>283</v>
      </c>
      <c r="J23" s="495"/>
      <c r="K23" s="497">
        <v>400</v>
      </c>
      <c r="L23" s="50"/>
    </row>
    <row r="24" spans="8:12" ht="28.95" customHeight="1" thickBot="1" x14ac:dyDescent="0.4">
      <c r="H24" s="8"/>
      <c r="I24" s="130" t="s">
        <v>13</v>
      </c>
      <c r="J24" s="495"/>
      <c r="K24" s="471"/>
      <c r="L24" s="50"/>
    </row>
    <row r="25" spans="8:12" ht="28.95" customHeight="1" thickBot="1" x14ac:dyDescent="0.4">
      <c r="H25" s="8"/>
      <c r="I25" s="499" t="s">
        <v>364</v>
      </c>
      <c r="J25" s="495"/>
      <c r="K25" s="500">
        <f>'N_VMETAS (2)'!O22</f>
        <v>20</v>
      </c>
      <c r="L25" s="50"/>
    </row>
    <row r="26" spans="8:12" ht="28.95" customHeight="1" thickBot="1" x14ac:dyDescent="0.4">
      <c r="H26" s="8"/>
      <c r="I26" s="130" t="s">
        <v>13</v>
      </c>
      <c r="J26" s="495"/>
      <c r="K26" s="471"/>
      <c r="L26" s="50"/>
    </row>
    <row r="27" spans="8:12" ht="28.95" customHeight="1" thickBot="1" x14ac:dyDescent="0.4">
      <c r="H27" s="8"/>
      <c r="I27" s="499" t="s">
        <v>365</v>
      </c>
      <c r="J27" s="495"/>
      <c r="K27" s="500">
        <f>K23*K25</f>
        <v>8000</v>
      </c>
      <c r="L27" s="50"/>
    </row>
    <row r="28" spans="8:12" ht="28.95" customHeight="1" thickBot="1" x14ac:dyDescent="0.4">
      <c r="H28" s="61"/>
      <c r="I28" s="130"/>
      <c r="J28" s="313"/>
      <c r="K28" s="471"/>
      <c r="L28" s="7"/>
    </row>
    <row r="29" spans="8:12" ht="28.95" customHeight="1" thickBot="1" x14ac:dyDescent="0.4">
      <c r="H29" s="61"/>
      <c r="I29" s="499" t="s">
        <v>366</v>
      </c>
      <c r="J29" s="313"/>
      <c r="K29" s="501"/>
      <c r="L29" s="7"/>
    </row>
    <row r="30" spans="8:12" ht="28.95" customHeight="1" thickBot="1" x14ac:dyDescent="0.4">
      <c r="H30" s="61"/>
      <c r="I30" s="130"/>
      <c r="J30" s="313"/>
      <c r="K30" s="471"/>
      <c r="L30" s="7"/>
    </row>
    <row r="31" spans="8:12" ht="28.95" customHeight="1" thickBot="1" x14ac:dyDescent="0.4">
      <c r="H31" s="61"/>
      <c r="I31" s="499" t="s">
        <v>367</v>
      </c>
      <c r="J31" s="313"/>
      <c r="K31" s="497" t="s">
        <v>744</v>
      </c>
      <c r="L31" s="7"/>
    </row>
    <row r="32" spans="8:12" ht="28.95" customHeight="1" x14ac:dyDescent="0.3">
      <c r="H32" s="61"/>
      <c r="I32" s="502"/>
      <c r="J32" s="313"/>
      <c r="K32" s="313"/>
      <c r="L32" s="7"/>
    </row>
    <row r="33" spans="8:12" ht="28.95" customHeight="1" x14ac:dyDescent="0.3">
      <c r="H33" s="61"/>
      <c r="I33" s="313"/>
      <c r="J33" s="313"/>
      <c r="K33" s="313"/>
      <c r="L33" s="7"/>
    </row>
    <row r="34" spans="8:12" ht="28.95" customHeight="1" x14ac:dyDescent="0.3">
      <c r="H34" s="61"/>
      <c r="I34" s="313"/>
      <c r="J34" s="313"/>
      <c r="K34" s="313"/>
      <c r="L34" s="7"/>
    </row>
    <row r="35" spans="8:12" ht="28.95" customHeight="1" x14ac:dyDescent="0.3">
      <c r="H35" s="61"/>
      <c r="I35" s="313"/>
      <c r="J35" s="313"/>
      <c r="K35" s="313"/>
      <c r="L35" s="7"/>
    </row>
    <row r="36" spans="8:12" ht="28.95" customHeight="1" x14ac:dyDescent="0.3">
      <c r="H36" s="61"/>
      <c r="I36" s="313"/>
      <c r="J36" s="313"/>
      <c r="K36" s="313"/>
      <c r="L36" s="7"/>
    </row>
    <row r="37" spans="8:12" ht="28.95" customHeight="1" x14ac:dyDescent="0.3">
      <c r="H37" s="61"/>
      <c r="I37" s="313"/>
      <c r="J37" s="313"/>
      <c r="K37" s="313"/>
      <c r="L37" s="7"/>
    </row>
    <row r="38" spans="8:12" ht="28.95" customHeight="1" thickBot="1" x14ac:dyDescent="0.35">
      <c r="H38" s="73"/>
      <c r="I38" s="74"/>
      <c r="J38" s="74"/>
      <c r="K38" s="74"/>
      <c r="L38" s="75"/>
    </row>
    <row r="39" spans="8:12" ht="28.95" customHeight="1" x14ac:dyDescent="0.3"/>
    <row r="40" spans="8:12" ht="28.95" customHeight="1" x14ac:dyDescent="0.3"/>
    <row r="41" spans="8:12" ht="28.95" customHeight="1" x14ac:dyDescent="0.3"/>
    <row r="42" spans="8:12" ht="28.95" customHeight="1" x14ac:dyDescent="0.3"/>
    <row r="43" spans="8:12" ht="28.95" customHeight="1" x14ac:dyDescent="0.3"/>
    <row r="44" spans="8:12" ht="28.95" customHeight="1" x14ac:dyDescent="0.3"/>
    <row r="45" spans="8:12" ht="28.95" customHeight="1" x14ac:dyDescent="0.3"/>
    <row r="46" spans="8:12" ht="28.95" customHeight="1" x14ac:dyDescent="0.3"/>
    <row r="47" spans="8:12" ht="28.95" customHeight="1" x14ac:dyDescent="0.3"/>
    <row r="48" spans="8:12" ht="28.95" customHeight="1" x14ac:dyDescent="0.3"/>
    <row r="49" ht="28.95" customHeight="1" x14ac:dyDescent="0.3"/>
    <row r="50" ht="28.95" customHeight="1" x14ac:dyDescent="0.3"/>
    <row r="51" ht="28.95" customHeight="1" x14ac:dyDescent="0.3"/>
    <row r="52" ht="28.95" customHeight="1" x14ac:dyDescent="0.3"/>
    <row r="53" ht="28.95" customHeight="1" x14ac:dyDescent="0.3"/>
    <row r="54" ht="28.95" customHeight="1" x14ac:dyDescent="0.3"/>
    <row r="55" ht="28.95" customHeight="1" x14ac:dyDescent="0.3"/>
    <row r="56" ht="28.95" customHeight="1" x14ac:dyDescent="0.3"/>
    <row r="57" ht="28.95" customHeight="1" x14ac:dyDescent="0.3"/>
    <row r="58" ht="28.95" customHeight="1" x14ac:dyDescent="0.3"/>
    <row r="59" ht="28.95" customHeight="1" x14ac:dyDescent="0.3"/>
    <row r="60" ht="28.95" customHeight="1" x14ac:dyDescent="0.3"/>
    <row r="61" ht="28.95" customHeight="1" x14ac:dyDescent="0.3"/>
    <row r="62" ht="28.95" customHeight="1" x14ac:dyDescent="0.3"/>
    <row r="63" ht="28.95" customHeight="1" x14ac:dyDescent="0.3"/>
    <row r="64" ht="28.95" customHeight="1" x14ac:dyDescent="0.3"/>
    <row r="65" ht="28.95" customHeight="1" x14ac:dyDescent="0.3"/>
    <row r="66" ht="28.95" customHeight="1" x14ac:dyDescent="0.3"/>
  </sheetData>
  <dataConsolidate/>
  <mergeCells count="1">
    <mergeCell ref="H12:L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E0E96CC-2808-4B7A-A185-00012A892495}">
          <x14:formula1>
            <xm:f>'N_VMETAS (2)'!$N$22:$N$25</xm:f>
          </x14:formula1>
          <xm:sqref>K21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E6D4C-F3B6-465E-8201-DA47B3CECAA3}">
  <sheetPr codeName="Planilha66">
    <tabColor rgb="FF7030A0"/>
  </sheetPr>
  <dimension ref="A1:AW64"/>
  <sheetViews>
    <sheetView topLeftCell="C1" zoomScale="40" zoomScaleNormal="40" workbookViewId="0">
      <selection activeCell="K15" sqref="K15"/>
    </sheetView>
  </sheetViews>
  <sheetFormatPr defaultColWidth="8.88671875" defaultRowHeight="14.4" x14ac:dyDescent="0.3"/>
  <cols>
    <col min="1" max="4" width="8.88671875" style="100"/>
    <col min="5" max="5" width="72.33203125" style="100" bestFit="1" customWidth="1"/>
    <col min="6" max="6" width="23.33203125" style="100" bestFit="1" customWidth="1"/>
    <col min="7" max="7" width="26" style="100" bestFit="1" customWidth="1"/>
    <col min="8" max="8" width="25.6640625" style="100" bestFit="1" customWidth="1"/>
    <col min="9" max="9" width="22.88671875" style="100" bestFit="1" customWidth="1"/>
    <col min="10" max="10" width="27.88671875" style="100" bestFit="1" customWidth="1"/>
    <col min="11" max="11" width="42.44140625" style="100" customWidth="1"/>
    <col min="12" max="12" width="25.44140625" style="100" bestFit="1" customWidth="1"/>
    <col min="13" max="13" width="29" style="100" bestFit="1" customWidth="1"/>
    <col min="14" max="14" width="51.109375" style="100" customWidth="1"/>
    <col min="15" max="15" width="42.5546875" style="100" customWidth="1"/>
    <col min="16" max="16" width="73.44140625" style="100" customWidth="1"/>
    <col min="17" max="17" width="15.55468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464"/>
      <c r="B4" s="464"/>
      <c r="C4" s="464"/>
      <c r="D4" s="464"/>
      <c r="E4" s="464"/>
      <c r="F4" s="464"/>
      <c r="G4" s="464"/>
      <c r="H4" s="464"/>
      <c r="I4" s="464"/>
      <c r="J4" s="464"/>
      <c r="K4" s="464"/>
      <c r="L4" s="464"/>
      <c r="M4" s="464"/>
      <c r="N4" s="464"/>
      <c r="O4" s="464"/>
      <c r="P4" s="464"/>
      <c r="Q4" s="464"/>
      <c r="R4" s="464"/>
      <c r="S4" s="464"/>
      <c r="T4" s="464"/>
      <c r="U4" s="464"/>
      <c r="V4" s="464"/>
      <c r="W4" s="464"/>
      <c r="X4" s="464"/>
      <c r="Y4" s="464"/>
      <c r="Z4" s="464"/>
      <c r="AA4" s="464"/>
      <c r="AB4" s="464"/>
      <c r="AC4" s="464"/>
      <c r="AD4" s="464"/>
      <c r="AE4" s="464"/>
      <c r="AF4" s="464"/>
      <c r="AG4" s="464"/>
      <c r="AH4" s="464"/>
      <c r="AI4" s="464"/>
      <c r="AJ4" s="464"/>
      <c r="AK4" s="464"/>
      <c r="AL4" s="464"/>
      <c r="AM4" s="464"/>
      <c r="AN4" s="464"/>
      <c r="AO4" s="464"/>
      <c r="AP4" s="464"/>
      <c r="AQ4" s="464"/>
      <c r="AR4" s="464"/>
      <c r="AS4" s="464"/>
      <c r="AT4" s="464"/>
      <c r="AU4" s="464"/>
      <c r="AV4" s="464"/>
      <c r="AW4" s="464"/>
    </row>
    <row r="5" spans="1:49" x14ac:dyDescent="0.3">
      <c r="A5" s="464"/>
      <c r="B5" s="464"/>
      <c r="C5" s="464"/>
      <c r="D5" s="464"/>
      <c r="E5" s="464"/>
      <c r="F5" s="464"/>
      <c r="G5" s="464"/>
      <c r="H5" s="464"/>
      <c r="I5" s="464"/>
      <c r="J5" s="464"/>
      <c r="K5" s="464"/>
      <c r="L5" s="464"/>
      <c r="M5" s="464"/>
      <c r="N5" s="464"/>
      <c r="O5" s="464"/>
      <c r="P5" s="464"/>
      <c r="Q5" s="464"/>
      <c r="R5" s="464"/>
      <c r="S5" s="464"/>
      <c r="T5" s="464"/>
      <c r="U5" s="464"/>
      <c r="V5" s="464"/>
      <c r="W5" s="464"/>
      <c r="X5" s="464"/>
      <c r="Y5" s="464"/>
      <c r="Z5" s="464"/>
      <c r="AA5" s="464"/>
      <c r="AB5" s="464"/>
      <c r="AC5" s="464"/>
      <c r="AD5" s="464"/>
      <c r="AE5" s="464"/>
      <c r="AF5" s="464"/>
      <c r="AG5" s="464"/>
      <c r="AH5" s="464"/>
      <c r="AI5" s="464"/>
      <c r="AJ5" s="464"/>
      <c r="AK5" s="464"/>
      <c r="AL5" s="464"/>
      <c r="AM5" s="464"/>
      <c r="AN5" s="464"/>
      <c r="AO5" s="464"/>
      <c r="AP5" s="464"/>
      <c r="AQ5" s="464"/>
      <c r="AR5" s="464"/>
      <c r="AS5" s="464"/>
      <c r="AT5" s="464"/>
      <c r="AU5" s="464"/>
      <c r="AV5" s="464"/>
      <c r="AW5" s="464"/>
    </row>
    <row r="6" spans="1:49" x14ac:dyDescent="0.3">
      <c r="A6" s="464"/>
      <c r="B6" s="464"/>
      <c r="C6" s="464"/>
      <c r="D6" s="464"/>
      <c r="E6" s="464"/>
      <c r="F6" s="464"/>
      <c r="G6" s="464"/>
      <c r="H6" s="464"/>
      <c r="I6" s="464"/>
      <c r="J6" s="464"/>
      <c r="K6" s="464"/>
      <c r="L6" s="464"/>
      <c r="M6" s="464"/>
      <c r="N6" s="464"/>
      <c r="O6" s="464"/>
      <c r="P6" s="464"/>
      <c r="Q6" s="464"/>
      <c r="R6" s="464"/>
      <c r="S6" s="464"/>
      <c r="T6" s="464"/>
      <c r="U6" s="464"/>
      <c r="V6" s="464"/>
      <c r="W6" s="464"/>
      <c r="X6" s="464"/>
      <c r="Y6" s="464"/>
      <c r="Z6" s="464"/>
      <c r="AA6" s="464"/>
      <c r="AB6" s="464"/>
      <c r="AC6" s="464"/>
      <c r="AD6" s="464"/>
      <c r="AE6" s="464"/>
      <c r="AF6" s="464"/>
      <c r="AG6" s="464"/>
      <c r="AH6" s="464"/>
      <c r="AI6" s="464"/>
      <c r="AJ6" s="464"/>
      <c r="AK6" s="464"/>
      <c r="AL6" s="464"/>
      <c r="AM6" s="464"/>
      <c r="AN6" s="464"/>
      <c r="AO6" s="464"/>
      <c r="AP6" s="464"/>
      <c r="AQ6" s="464"/>
      <c r="AR6" s="464"/>
      <c r="AS6" s="464"/>
      <c r="AT6" s="464"/>
      <c r="AU6" s="464"/>
      <c r="AV6" s="464"/>
      <c r="AW6" s="464"/>
    </row>
    <row r="7" spans="1:49" x14ac:dyDescent="0.3">
      <c r="A7" s="464"/>
      <c r="B7" s="464"/>
      <c r="C7" s="464"/>
      <c r="D7" s="464"/>
      <c r="E7" s="464"/>
      <c r="F7" s="464"/>
      <c r="G7" s="464"/>
      <c r="H7" s="464"/>
      <c r="I7" s="464"/>
      <c r="J7" s="464"/>
      <c r="K7" s="464"/>
      <c r="L7" s="464"/>
      <c r="M7" s="464"/>
      <c r="N7" s="464"/>
      <c r="O7" s="464"/>
      <c r="P7" s="464"/>
      <c r="Q7" s="464"/>
      <c r="R7" s="464"/>
      <c r="S7" s="464"/>
      <c r="T7" s="464"/>
      <c r="U7" s="464"/>
      <c r="V7" s="464"/>
      <c r="W7" s="464"/>
      <c r="X7" s="464"/>
      <c r="Y7" s="464"/>
      <c r="Z7" s="464"/>
      <c r="AA7" s="464"/>
      <c r="AB7" s="464"/>
      <c r="AC7" s="464"/>
      <c r="AD7" s="464"/>
      <c r="AE7" s="464"/>
      <c r="AF7" s="464"/>
      <c r="AG7" s="464"/>
      <c r="AH7" s="464"/>
      <c r="AI7" s="464"/>
      <c r="AJ7" s="464"/>
      <c r="AK7" s="464"/>
      <c r="AL7" s="464"/>
      <c r="AM7" s="464"/>
      <c r="AN7" s="464"/>
      <c r="AO7" s="464"/>
      <c r="AP7" s="464"/>
      <c r="AQ7" s="464"/>
      <c r="AR7" s="464"/>
      <c r="AS7" s="464"/>
      <c r="AT7" s="464"/>
      <c r="AU7" s="464"/>
      <c r="AV7" s="464"/>
      <c r="AW7" s="464"/>
    </row>
    <row r="8" spans="1:49" ht="28.95" customHeight="1" x14ac:dyDescent="0.3"/>
    <row r="9" spans="1:49" ht="28.95" customHeight="1" x14ac:dyDescent="0.3"/>
    <row r="10" spans="1:49" ht="28.95" customHeight="1" x14ac:dyDescent="0.3"/>
    <row r="11" spans="1:49" ht="28.95" customHeight="1" thickBot="1" x14ac:dyDescent="0.35"/>
    <row r="12" spans="1:49" ht="28.95" customHeight="1" x14ac:dyDescent="0.4">
      <c r="H12" s="299" t="s">
        <v>369</v>
      </c>
      <c r="I12" s="300"/>
      <c r="J12" s="300"/>
      <c r="K12" s="300"/>
      <c r="L12" s="301"/>
      <c r="N12" s="315" t="s">
        <v>370</v>
      </c>
      <c r="O12" s="315" t="s">
        <v>283</v>
      </c>
    </row>
    <row r="13" spans="1:49" ht="28.95" customHeight="1" thickBot="1" x14ac:dyDescent="0.4">
      <c r="H13" s="302"/>
      <c r="I13" s="303"/>
      <c r="J13" s="303"/>
      <c r="K13" s="303"/>
      <c r="L13" s="304"/>
      <c r="N13" s="316" t="s">
        <v>745</v>
      </c>
      <c r="O13" s="317">
        <v>1600</v>
      </c>
    </row>
    <row r="14" spans="1:49" ht="28.95" customHeight="1" thickBot="1" x14ac:dyDescent="0.4">
      <c r="H14" s="503"/>
      <c r="I14" s="504"/>
      <c r="J14" s="504"/>
      <c r="K14" s="505"/>
      <c r="L14" s="506"/>
      <c r="N14" s="471"/>
      <c r="O14" s="471"/>
    </row>
    <row r="15" spans="1:49" ht="28.95" customHeight="1" thickBot="1" x14ac:dyDescent="0.4">
      <c r="H15" s="8"/>
      <c r="I15" s="499" t="s">
        <v>746</v>
      </c>
      <c r="J15" s="495"/>
      <c r="K15" s="497">
        <f>SUM('N_VRELCOM (2)'!H10:H52)</f>
        <v>8000</v>
      </c>
      <c r="L15" s="50"/>
    </row>
    <row r="16" spans="1:49" ht="28.95" customHeight="1" thickBot="1" x14ac:dyDescent="0.4">
      <c r="H16" s="8"/>
      <c r="I16" s="499"/>
      <c r="J16" s="495"/>
      <c r="K16" s="471"/>
      <c r="L16" s="50"/>
    </row>
    <row r="17" spans="8:15" ht="28.95" customHeight="1" thickBot="1" x14ac:dyDescent="0.4">
      <c r="H17" s="8"/>
      <c r="I17" s="499" t="s">
        <v>747</v>
      </c>
      <c r="J17" s="495"/>
      <c r="K17" s="497">
        <f>O13</f>
        <v>1600</v>
      </c>
      <c r="L17" s="50"/>
    </row>
    <row r="18" spans="8:15" ht="28.95" customHeight="1" thickBot="1" x14ac:dyDescent="0.4">
      <c r="H18" s="8"/>
      <c r="I18" s="499"/>
      <c r="J18" s="495"/>
      <c r="K18" s="471"/>
      <c r="L18" s="50"/>
    </row>
    <row r="19" spans="8:15" ht="28.95" customHeight="1" thickBot="1" x14ac:dyDescent="0.4">
      <c r="H19" s="8"/>
      <c r="I19" s="499" t="s">
        <v>748</v>
      </c>
      <c r="J19" s="495"/>
      <c r="K19" s="497" t="str">
        <f>IF(K15&gt;K17,"META ATINGIDA","META NÃO ATINGIDA")</f>
        <v>META ATINGIDA</v>
      </c>
      <c r="L19" s="50"/>
    </row>
    <row r="20" spans="8:15" ht="28.95" customHeight="1" x14ac:dyDescent="0.35">
      <c r="H20" s="8"/>
      <c r="I20" s="499"/>
      <c r="J20" s="495"/>
      <c r="K20" s="486"/>
      <c r="L20" s="50"/>
    </row>
    <row r="21" spans="8:15" ht="28.95" customHeight="1" x14ac:dyDescent="0.4">
      <c r="H21" s="8"/>
      <c r="I21" s="313"/>
      <c r="J21" s="495"/>
      <c r="K21" s="495"/>
      <c r="L21" s="50"/>
      <c r="N21" s="315" t="s">
        <v>749</v>
      </c>
      <c r="O21" s="315" t="s">
        <v>405</v>
      </c>
    </row>
    <row r="22" spans="8:15" ht="28.95" customHeight="1" x14ac:dyDescent="0.35">
      <c r="H22" s="8"/>
      <c r="I22" s="313"/>
      <c r="J22" s="495"/>
      <c r="K22" s="495"/>
      <c r="L22" s="50"/>
      <c r="N22" s="507" t="s">
        <v>750</v>
      </c>
      <c r="O22" s="508">
        <v>20</v>
      </c>
    </row>
    <row r="23" spans="8:15" ht="28.95" customHeight="1" x14ac:dyDescent="0.35">
      <c r="H23" s="8"/>
      <c r="I23" s="313"/>
      <c r="J23" s="495"/>
      <c r="K23" s="495"/>
      <c r="L23" s="50"/>
      <c r="N23" s="507" t="s">
        <v>371</v>
      </c>
      <c r="O23" s="508">
        <v>20</v>
      </c>
    </row>
    <row r="24" spans="8:15" ht="28.95" customHeight="1" x14ac:dyDescent="0.35">
      <c r="H24" s="8"/>
      <c r="I24" s="313"/>
      <c r="J24" s="495"/>
      <c r="K24" s="495"/>
      <c r="L24" s="50"/>
      <c r="N24" s="507" t="s">
        <v>232</v>
      </c>
      <c r="O24" s="508">
        <v>20</v>
      </c>
    </row>
    <row r="25" spans="8:15" ht="28.95" customHeight="1" thickBot="1" x14ac:dyDescent="0.4">
      <c r="H25" s="51"/>
      <c r="I25" s="74"/>
      <c r="J25" s="52"/>
      <c r="K25" s="314"/>
      <c r="L25" s="53"/>
      <c r="N25" s="509" t="s">
        <v>372</v>
      </c>
      <c r="O25" s="508">
        <v>20</v>
      </c>
    </row>
    <row r="26" spans="8:15" ht="28.95" customHeight="1" x14ac:dyDescent="0.3"/>
    <row r="27" spans="8:15" ht="28.95" customHeight="1" x14ac:dyDescent="0.3"/>
    <row r="28" spans="8:15" ht="28.95" customHeight="1" x14ac:dyDescent="0.3"/>
    <row r="29" spans="8:15" ht="28.95" customHeight="1" x14ac:dyDescent="0.3"/>
    <row r="30" spans="8:15" ht="28.95" customHeight="1" x14ac:dyDescent="0.3"/>
    <row r="31" spans="8:15" ht="28.95" customHeight="1" x14ac:dyDescent="0.3"/>
    <row r="32" spans="8:15" ht="28.95" customHeight="1" x14ac:dyDescent="0.3"/>
    <row r="33" ht="28.95" customHeight="1" x14ac:dyDescent="0.3"/>
    <row r="34" ht="28.95" customHeight="1" x14ac:dyDescent="0.3"/>
    <row r="35" ht="28.95" customHeight="1" x14ac:dyDescent="0.3"/>
    <row r="36" ht="28.95" customHeight="1" x14ac:dyDescent="0.3"/>
    <row r="37" ht="28.95" customHeight="1" x14ac:dyDescent="0.3"/>
    <row r="38" ht="28.95" customHeight="1" x14ac:dyDescent="0.3"/>
    <row r="39" ht="28.95" customHeight="1" x14ac:dyDescent="0.3"/>
    <row r="40" ht="28.95" customHeight="1" x14ac:dyDescent="0.3"/>
    <row r="41" ht="28.95" customHeight="1" x14ac:dyDescent="0.3"/>
    <row r="42" ht="28.95" customHeight="1" x14ac:dyDescent="0.3"/>
    <row r="43" ht="28.95" customHeight="1" x14ac:dyDescent="0.3"/>
    <row r="44" ht="28.95" customHeight="1" x14ac:dyDescent="0.3"/>
    <row r="45" ht="28.95" customHeight="1" x14ac:dyDescent="0.3"/>
    <row r="46" ht="28.95" customHeight="1" x14ac:dyDescent="0.3"/>
    <row r="47" ht="28.95" customHeight="1" x14ac:dyDescent="0.3"/>
    <row r="48" ht="28.95" customHeight="1" x14ac:dyDescent="0.3"/>
    <row r="49" ht="28.95" customHeight="1" x14ac:dyDescent="0.3"/>
    <row r="50" ht="28.95" customHeight="1" x14ac:dyDescent="0.3"/>
    <row r="51" ht="28.95" customHeight="1" x14ac:dyDescent="0.3"/>
    <row r="52" ht="28.95" customHeight="1" x14ac:dyDescent="0.3"/>
    <row r="53" ht="28.95" customHeight="1" x14ac:dyDescent="0.3"/>
    <row r="54" ht="28.95" customHeight="1" x14ac:dyDescent="0.3"/>
    <row r="55" ht="28.95" customHeight="1" x14ac:dyDescent="0.3"/>
    <row r="56" ht="28.95" customHeight="1" x14ac:dyDescent="0.3"/>
    <row r="57" ht="28.95" customHeight="1" x14ac:dyDescent="0.3"/>
    <row r="58" ht="28.95" customHeight="1" x14ac:dyDescent="0.3"/>
    <row r="59" ht="28.95" customHeight="1" x14ac:dyDescent="0.3"/>
    <row r="60" ht="28.95" customHeight="1" x14ac:dyDescent="0.3"/>
    <row r="61" ht="28.95" customHeight="1" x14ac:dyDescent="0.3"/>
    <row r="62" ht="28.95" customHeight="1" x14ac:dyDescent="0.3"/>
    <row r="63" ht="28.95" customHeight="1" x14ac:dyDescent="0.3"/>
    <row r="64" ht="28.95" customHeight="1" x14ac:dyDescent="0.3"/>
  </sheetData>
  <mergeCells count="1">
    <mergeCell ref="H12:L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335BA-1AF0-437A-972A-5A49F3B90A7F}">
  <sheetPr codeName="Planilha67">
    <tabColor rgb="FF7030A0"/>
  </sheetPr>
  <dimension ref="B1:AS66"/>
  <sheetViews>
    <sheetView zoomScale="40" zoomScaleNormal="40" workbookViewId="0">
      <selection activeCell="K15" sqref="K15"/>
    </sheetView>
  </sheetViews>
  <sheetFormatPr defaultColWidth="8.88671875" defaultRowHeight="14.4" x14ac:dyDescent="0.3"/>
  <cols>
    <col min="1" max="1" width="8.88671875" style="100"/>
    <col min="2" max="2" width="32.44140625" style="100" customWidth="1"/>
    <col min="3" max="3" width="37.88671875" style="100" customWidth="1"/>
    <col min="4" max="4" width="44.33203125" style="100" customWidth="1"/>
    <col min="5" max="5" width="49.5546875" style="100" customWidth="1"/>
    <col min="6" max="6" width="57.5546875" style="100" customWidth="1"/>
    <col min="7" max="7" width="39.88671875" style="100" customWidth="1"/>
    <col min="8" max="8" width="47.88671875" style="100" customWidth="1"/>
    <col min="9" max="9" width="43.33203125" style="100" customWidth="1"/>
    <col min="10" max="10" width="47.88671875" style="100" bestFit="1" customWidth="1"/>
    <col min="11" max="11" width="29.33203125" style="100" customWidth="1"/>
    <col min="12" max="12" width="73.44140625" style="100" customWidth="1"/>
    <col min="13" max="13" width="15.5546875" style="100" customWidth="1"/>
    <col min="14" max="17" width="8.88671875" style="100"/>
    <col min="18" max="18" width="23.44140625" style="100" bestFit="1" customWidth="1"/>
    <col min="19" max="19" width="2.6640625" style="100" bestFit="1" customWidth="1"/>
    <col min="20" max="20" width="51.109375" style="100" customWidth="1"/>
    <col min="21" max="16384" width="8.88671875" style="100"/>
  </cols>
  <sheetData>
    <row r="1" spans="2:45" x14ac:dyDescent="0.3"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</row>
    <row r="2" spans="2:45" x14ac:dyDescent="0.3"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</row>
    <row r="3" spans="2:45" ht="61.2" customHeight="1" x14ac:dyDescent="0.3"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</row>
    <row r="4" spans="2:45" ht="46.2" customHeight="1" x14ac:dyDescent="0.3">
      <c r="B4" s="464"/>
      <c r="C4" s="464"/>
      <c r="D4" s="464"/>
      <c r="E4" s="464"/>
      <c r="F4" s="464"/>
      <c r="G4" s="464"/>
      <c r="H4" s="464"/>
      <c r="I4" s="464"/>
      <c r="J4" s="464"/>
      <c r="K4" s="464"/>
      <c r="L4" s="464"/>
      <c r="M4" s="464"/>
      <c r="N4" s="464"/>
      <c r="O4" s="464"/>
      <c r="P4" s="464"/>
      <c r="Q4" s="464"/>
      <c r="R4" s="464"/>
      <c r="S4" s="464"/>
      <c r="T4" s="464"/>
      <c r="U4" s="464"/>
      <c r="V4" s="464"/>
      <c r="W4" s="464"/>
      <c r="X4" s="464"/>
      <c r="Y4" s="464"/>
      <c r="Z4" s="464"/>
      <c r="AA4" s="464"/>
      <c r="AB4" s="464"/>
      <c r="AC4" s="464"/>
      <c r="AD4" s="464"/>
      <c r="AE4" s="464"/>
      <c r="AF4" s="464"/>
      <c r="AG4" s="464"/>
      <c r="AH4" s="464"/>
      <c r="AI4" s="464"/>
      <c r="AJ4" s="464"/>
      <c r="AK4" s="464"/>
      <c r="AL4" s="464"/>
      <c r="AM4" s="464"/>
      <c r="AN4" s="464"/>
      <c r="AO4" s="464"/>
      <c r="AP4" s="464"/>
      <c r="AQ4" s="464"/>
      <c r="AR4" s="464"/>
      <c r="AS4" s="464"/>
    </row>
    <row r="5" spans="2:45" x14ac:dyDescent="0.3">
      <c r="B5" s="464"/>
      <c r="C5" s="464"/>
      <c r="D5" s="464"/>
      <c r="E5" s="464"/>
      <c r="F5" s="464"/>
      <c r="G5" s="464"/>
      <c r="H5" s="464"/>
      <c r="I5" s="464"/>
      <c r="J5" s="464"/>
      <c r="K5" s="464"/>
      <c r="L5" s="464"/>
      <c r="M5" s="464"/>
      <c r="N5" s="464"/>
      <c r="O5" s="464"/>
      <c r="P5" s="464"/>
      <c r="Q5" s="464"/>
      <c r="R5" s="464"/>
      <c r="S5" s="464"/>
      <c r="T5" s="464"/>
      <c r="U5" s="464"/>
      <c r="V5" s="464"/>
      <c r="W5" s="464"/>
      <c r="X5" s="464"/>
      <c r="Y5" s="464"/>
      <c r="Z5" s="464"/>
      <c r="AA5" s="464"/>
      <c r="AB5" s="464"/>
      <c r="AC5" s="464"/>
      <c r="AD5" s="464"/>
      <c r="AE5" s="464"/>
      <c r="AF5" s="464"/>
      <c r="AG5" s="464"/>
      <c r="AH5" s="464"/>
      <c r="AI5" s="464"/>
      <c r="AJ5" s="464"/>
      <c r="AK5" s="464"/>
      <c r="AL5" s="464"/>
      <c r="AM5" s="464"/>
      <c r="AN5" s="464"/>
      <c r="AO5" s="464"/>
      <c r="AP5" s="464"/>
      <c r="AQ5" s="464"/>
      <c r="AR5" s="464"/>
      <c r="AS5" s="464"/>
    </row>
    <row r="6" spans="2:45" x14ac:dyDescent="0.3">
      <c r="B6" s="464"/>
      <c r="C6" s="464"/>
      <c r="D6" s="464"/>
      <c r="E6" s="464"/>
      <c r="F6" s="464"/>
      <c r="G6" s="464"/>
      <c r="H6" s="464"/>
      <c r="I6" s="464"/>
      <c r="J6" s="464"/>
      <c r="K6" s="464"/>
      <c r="L6" s="464"/>
      <c r="M6" s="464"/>
      <c r="N6" s="464"/>
      <c r="O6" s="464"/>
      <c r="P6" s="464"/>
      <c r="Q6" s="464"/>
      <c r="R6" s="464"/>
      <c r="S6" s="464"/>
      <c r="T6" s="464"/>
      <c r="U6" s="464"/>
      <c r="V6" s="464"/>
      <c r="W6" s="464"/>
      <c r="X6" s="464"/>
      <c r="Y6" s="464"/>
      <c r="Z6" s="464"/>
      <c r="AA6" s="464"/>
      <c r="AB6" s="464"/>
      <c r="AC6" s="464"/>
      <c r="AD6" s="464"/>
      <c r="AE6" s="464"/>
      <c r="AF6" s="464"/>
      <c r="AG6" s="464"/>
      <c r="AH6" s="464"/>
      <c r="AI6" s="464"/>
      <c r="AJ6" s="464"/>
      <c r="AK6" s="464"/>
      <c r="AL6" s="464"/>
      <c r="AM6" s="464"/>
      <c r="AN6" s="464"/>
      <c r="AO6" s="464"/>
      <c r="AP6" s="464"/>
      <c r="AQ6" s="464"/>
      <c r="AR6" s="464"/>
      <c r="AS6" s="464"/>
    </row>
    <row r="7" spans="2:45" x14ac:dyDescent="0.3">
      <c r="B7" s="464"/>
      <c r="C7" s="464"/>
      <c r="D7" s="464"/>
      <c r="E7" s="464"/>
      <c r="F7" s="464"/>
      <c r="G7" s="464"/>
      <c r="H7" s="464"/>
      <c r="I7" s="464"/>
      <c r="J7" s="464"/>
      <c r="K7" s="464"/>
      <c r="L7" s="464"/>
      <c r="M7" s="464"/>
      <c r="N7" s="464"/>
      <c r="O7" s="464"/>
      <c r="P7" s="464"/>
      <c r="Q7" s="464"/>
      <c r="R7" s="464"/>
      <c r="S7" s="464"/>
      <c r="T7" s="464"/>
      <c r="U7" s="464"/>
      <c r="V7" s="464"/>
      <c r="W7" s="464"/>
      <c r="X7" s="464"/>
      <c r="Y7" s="464"/>
      <c r="Z7" s="464"/>
      <c r="AA7" s="464"/>
      <c r="AB7" s="464"/>
      <c r="AC7" s="464"/>
      <c r="AD7" s="464"/>
      <c r="AE7" s="464"/>
      <c r="AF7" s="464"/>
      <c r="AG7" s="464"/>
      <c r="AH7" s="464"/>
      <c r="AI7" s="464"/>
      <c r="AJ7" s="464"/>
      <c r="AK7" s="464"/>
      <c r="AL7" s="464"/>
      <c r="AM7" s="464"/>
      <c r="AN7" s="464"/>
      <c r="AO7" s="464"/>
      <c r="AP7" s="464"/>
      <c r="AQ7" s="464"/>
      <c r="AR7" s="464"/>
      <c r="AS7" s="464"/>
    </row>
    <row r="8" spans="2:45" ht="28.95" customHeight="1" x14ac:dyDescent="0.3"/>
    <row r="9" spans="2:45" ht="28.95" customHeight="1" thickBot="1" x14ac:dyDescent="0.35">
      <c r="B9" s="510" t="s">
        <v>362</v>
      </c>
      <c r="C9" s="510" t="s">
        <v>363</v>
      </c>
      <c r="D9" s="510" t="s">
        <v>293</v>
      </c>
      <c r="E9" s="510" t="s">
        <v>282</v>
      </c>
      <c r="F9" s="510" t="s">
        <v>283</v>
      </c>
      <c r="G9" s="510" t="s">
        <v>364</v>
      </c>
      <c r="H9" s="510" t="s">
        <v>365</v>
      </c>
      <c r="I9" s="510" t="s">
        <v>366</v>
      </c>
      <c r="J9" s="510" t="s">
        <v>367</v>
      </c>
    </row>
    <row r="10" spans="2:45" ht="28.95" customHeight="1" thickBot="1" x14ac:dyDescent="0.4">
      <c r="B10" s="497" t="s">
        <v>496</v>
      </c>
      <c r="C10" s="511" t="s">
        <v>495</v>
      </c>
      <c r="D10" s="511" t="s">
        <v>498</v>
      </c>
      <c r="E10" s="497" t="s">
        <v>232</v>
      </c>
      <c r="F10" s="497">
        <v>400</v>
      </c>
      <c r="G10" s="511">
        <v>20</v>
      </c>
      <c r="H10" s="511">
        <v>8000</v>
      </c>
      <c r="I10" s="501"/>
      <c r="J10" s="497" t="s">
        <v>751</v>
      </c>
    </row>
    <row r="11" spans="2:45" ht="28.95" customHeight="1" thickBot="1" x14ac:dyDescent="0.4">
      <c r="B11" s="497"/>
      <c r="C11" s="511"/>
      <c r="D11" s="511"/>
      <c r="E11" s="497"/>
      <c r="F11" s="497"/>
      <c r="G11" s="511"/>
      <c r="H11" s="511"/>
      <c r="I11" s="501"/>
      <c r="J11" s="497"/>
    </row>
    <row r="12" spans="2:45" ht="28.95" customHeight="1" thickBot="1" x14ac:dyDescent="0.4">
      <c r="B12" s="497"/>
      <c r="C12" s="511"/>
      <c r="D12" s="511"/>
      <c r="E12" s="497"/>
      <c r="F12" s="497"/>
      <c r="G12" s="511"/>
      <c r="H12" s="511"/>
      <c r="I12" s="501"/>
      <c r="J12" s="497"/>
      <c r="K12" s="512"/>
    </row>
    <row r="13" spans="2:45" ht="28.95" customHeight="1" x14ac:dyDescent="0.35">
      <c r="B13" s="511"/>
      <c r="C13" s="511"/>
      <c r="D13" s="511"/>
      <c r="E13" s="511"/>
      <c r="F13" s="511"/>
      <c r="G13" s="511"/>
      <c r="H13" s="511"/>
      <c r="I13" s="511"/>
      <c r="J13" s="511"/>
    </row>
    <row r="14" spans="2:45" ht="28.95" customHeight="1" x14ac:dyDescent="0.35">
      <c r="B14" s="511"/>
      <c r="C14" s="511"/>
      <c r="D14" s="511"/>
      <c r="E14" s="511"/>
      <c r="F14" s="511"/>
      <c r="G14" s="511"/>
      <c r="H14" s="511"/>
      <c r="I14" s="511"/>
      <c r="J14" s="511"/>
    </row>
    <row r="15" spans="2:45" ht="28.95" customHeight="1" x14ac:dyDescent="0.35">
      <c r="B15" s="511"/>
      <c r="C15" s="511"/>
      <c r="D15" s="511"/>
      <c r="E15" s="511"/>
      <c r="F15" s="511"/>
      <c r="G15" s="511"/>
      <c r="H15" s="511"/>
      <c r="I15" s="511"/>
      <c r="J15" s="511"/>
    </row>
    <row r="16" spans="2:45" ht="28.95" customHeight="1" x14ac:dyDescent="0.35">
      <c r="B16" s="511"/>
      <c r="C16" s="511"/>
      <c r="D16" s="511"/>
      <c r="E16" s="511"/>
      <c r="F16" s="511"/>
      <c r="G16" s="511"/>
      <c r="H16" s="511"/>
      <c r="I16" s="511"/>
      <c r="J16" s="511"/>
    </row>
    <row r="17" spans="2:10" ht="28.95" customHeight="1" x14ac:dyDescent="0.35">
      <c r="B17" s="511"/>
      <c r="C17" s="511"/>
      <c r="D17" s="511"/>
      <c r="E17" s="511"/>
      <c r="F17" s="511"/>
      <c r="G17" s="511"/>
      <c r="H17" s="511"/>
      <c r="I17" s="511"/>
      <c r="J17" s="511"/>
    </row>
    <row r="18" spans="2:10" ht="28.95" customHeight="1" x14ac:dyDescent="0.35">
      <c r="B18" s="511"/>
      <c r="C18" s="511"/>
      <c r="D18" s="511"/>
      <c r="E18" s="511"/>
      <c r="F18" s="511"/>
      <c r="G18" s="511"/>
      <c r="H18" s="511"/>
      <c r="I18" s="511"/>
      <c r="J18" s="511"/>
    </row>
    <row r="19" spans="2:10" ht="28.95" customHeight="1" x14ac:dyDescent="0.35">
      <c r="B19" s="511"/>
      <c r="C19" s="511"/>
      <c r="D19" s="511"/>
      <c r="E19" s="511"/>
      <c r="F19" s="511"/>
      <c r="G19" s="511"/>
      <c r="H19" s="511"/>
      <c r="I19" s="511"/>
      <c r="J19" s="511"/>
    </row>
    <row r="20" spans="2:10" ht="28.95" customHeight="1" x14ac:dyDescent="0.35">
      <c r="B20" s="511"/>
      <c r="C20" s="511"/>
      <c r="D20" s="511"/>
      <c r="E20" s="511"/>
      <c r="F20" s="511"/>
      <c r="G20" s="511"/>
      <c r="H20" s="511"/>
      <c r="I20" s="511"/>
      <c r="J20" s="511"/>
    </row>
    <row r="21" spans="2:10" ht="28.95" customHeight="1" x14ac:dyDescent="0.35">
      <c r="B21" s="511"/>
      <c r="C21" s="511"/>
      <c r="D21" s="511"/>
      <c r="E21" s="511"/>
      <c r="F21" s="511"/>
      <c r="G21" s="511"/>
      <c r="H21" s="511"/>
      <c r="I21" s="511"/>
      <c r="J21" s="511"/>
    </row>
    <row r="22" spans="2:10" ht="28.95" customHeight="1" x14ac:dyDescent="0.35">
      <c r="B22" s="511"/>
      <c r="C22" s="511"/>
      <c r="D22" s="511"/>
      <c r="E22" s="511"/>
      <c r="F22" s="511"/>
      <c r="G22" s="511"/>
      <c r="H22" s="511"/>
      <c r="I22" s="511"/>
      <c r="J22" s="511"/>
    </row>
    <row r="23" spans="2:10" ht="28.95" customHeight="1" x14ac:dyDescent="0.35">
      <c r="B23" s="511"/>
      <c r="C23" s="511"/>
      <c r="D23" s="511"/>
      <c r="E23" s="511"/>
      <c r="F23" s="511"/>
      <c r="G23" s="511"/>
      <c r="H23" s="511"/>
      <c r="I23" s="511"/>
      <c r="J23" s="511"/>
    </row>
    <row r="24" spans="2:10" ht="28.95" customHeight="1" x14ac:dyDescent="0.35">
      <c r="B24" s="511"/>
      <c r="C24" s="511"/>
      <c r="D24" s="511"/>
      <c r="E24" s="511"/>
      <c r="F24" s="511"/>
      <c r="G24" s="511"/>
      <c r="H24" s="511"/>
      <c r="I24" s="511"/>
      <c r="J24" s="511"/>
    </row>
    <row r="25" spans="2:10" ht="28.95" customHeight="1" x14ac:dyDescent="0.35">
      <c r="B25" s="511"/>
      <c r="C25" s="511"/>
      <c r="D25" s="511"/>
      <c r="E25" s="511"/>
      <c r="F25" s="511"/>
      <c r="G25" s="511"/>
      <c r="H25" s="511"/>
      <c r="I25" s="511"/>
      <c r="J25" s="511"/>
    </row>
    <row r="26" spans="2:10" ht="28.95" customHeight="1" x14ac:dyDescent="0.35">
      <c r="B26" s="511"/>
      <c r="C26" s="511"/>
      <c r="D26" s="511"/>
      <c r="E26" s="511"/>
      <c r="F26" s="511"/>
      <c r="G26" s="511"/>
      <c r="H26" s="511"/>
      <c r="I26" s="511"/>
      <c r="J26" s="511"/>
    </row>
    <row r="27" spans="2:10" ht="28.95" customHeight="1" x14ac:dyDescent="0.35">
      <c r="B27" s="511"/>
      <c r="C27" s="511"/>
      <c r="D27" s="511"/>
      <c r="E27" s="511"/>
      <c r="F27" s="511"/>
      <c r="G27" s="511"/>
      <c r="H27" s="511"/>
      <c r="I27" s="511"/>
      <c r="J27" s="511"/>
    </row>
    <row r="28" spans="2:10" ht="28.95" customHeight="1" x14ac:dyDescent="0.35">
      <c r="B28" s="511"/>
      <c r="C28" s="511"/>
      <c r="D28" s="511"/>
      <c r="E28" s="511"/>
      <c r="F28" s="511"/>
      <c r="G28" s="511"/>
      <c r="H28" s="511"/>
      <c r="I28" s="511"/>
      <c r="J28" s="511"/>
    </row>
    <row r="29" spans="2:10" ht="28.95" customHeight="1" x14ac:dyDescent="0.35">
      <c r="B29" s="511"/>
      <c r="C29" s="511"/>
      <c r="D29" s="511"/>
      <c r="E29" s="511"/>
      <c r="F29" s="511"/>
      <c r="G29" s="511"/>
      <c r="H29" s="511"/>
      <c r="I29" s="511"/>
      <c r="J29" s="511"/>
    </row>
    <row r="30" spans="2:10" ht="28.95" customHeight="1" x14ac:dyDescent="0.35">
      <c r="B30" s="511"/>
      <c r="C30" s="511"/>
      <c r="D30" s="511"/>
      <c r="E30" s="511"/>
      <c r="F30" s="511"/>
      <c r="G30" s="511"/>
      <c r="H30" s="511"/>
      <c r="I30" s="511"/>
      <c r="J30" s="511"/>
    </row>
    <row r="31" spans="2:10" ht="28.95" customHeight="1" x14ac:dyDescent="0.35">
      <c r="B31" s="511"/>
      <c r="C31" s="511"/>
      <c r="D31" s="511"/>
      <c r="E31" s="511"/>
      <c r="F31" s="511"/>
      <c r="G31" s="511"/>
      <c r="H31" s="511"/>
      <c r="I31" s="511"/>
      <c r="J31" s="511"/>
    </row>
    <row r="32" spans="2:10" ht="28.95" customHeight="1" x14ac:dyDescent="0.35">
      <c r="B32" s="511"/>
      <c r="C32" s="511"/>
      <c r="D32" s="511"/>
      <c r="E32" s="511"/>
      <c r="F32" s="511"/>
      <c r="G32" s="511"/>
      <c r="H32" s="511"/>
      <c r="I32" s="511"/>
      <c r="J32" s="511"/>
    </row>
    <row r="33" spans="2:10" ht="28.95" customHeight="1" x14ac:dyDescent="0.35">
      <c r="B33" s="511"/>
      <c r="C33" s="511"/>
      <c r="D33" s="511"/>
      <c r="E33" s="511"/>
      <c r="F33" s="511"/>
      <c r="G33" s="511"/>
      <c r="H33" s="511"/>
      <c r="I33" s="511"/>
      <c r="J33" s="511"/>
    </row>
    <row r="34" spans="2:10" ht="28.95" customHeight="1" x14ac:dyDescent="0.35">
      <c r="B34" s="511"/>
      <c r="C34" s="511"/>
      <c r="D34" s="511"/>
      <c r="E34" s="511"/>
      <c r="F34" s="511"/>
      <c r="G34" s="511"/>
      <c r="H34" s="511"/>
      <c r="I34" s="511"/>
      <c r="J34" s="511"/>
    </row>
    <row r="35" spans="2:10" ht="28.95" customHeight="1" x14ac:dyDescent="0.35">
      <c r="B35" s="511"/>
      <c r="C35" s="511"/>
      <c r="D35" s="511"/>
      <c r="E35" s="511"/>
      <c r="F35" s="511"/>
      <c r="G35" s="511"/>
      <c r="H35" s="511"/>
      <c r="I35" s="511"/>
      <c r="J35" s="511"/>
    </row>
    <row r="36" spans="2:10" ht="28.95" customHeight="1" x14ac:dyDescent="0.35">
      <c r="B36" s="511"/>
      <c r="C36" s="511"/>
      <c r="D36" s="511"/>
      <c r="E36" s="511"/>
      <c r="F36" s="511"/>
      <c r="G36" s="511"/>
      <c r="H36" s="511"/>
      <c r="I36" s="511"/>
      <c r="J36" s="511"/>
    </row>
    <row r="37" spans="2:10" ht="28.95" customHeight="1" x14ac:dyDescent="0.35">
      <c r="B37" s="511"/>
      <c r="C37" s="511"/>
      <c r="D37" s="511"/>
      <c r="E37" s="511"/>
      <c r="F37" s="511"/>
      <c r="G37" s="511"/>
      <c r="H37" s="511"/>
      <c r="I37" s="511"/>
      <c r="J37" s="511"/>
    </row>
    <row r="38" spans="2:10" ht="28.95" customHeight="1" x14ac:dyDescent="0.35">
      <c r="B38" s="511"/>
      <c r="C38" s="511"/>
      <c r="D38" s="511"/>
      <c r="E38" s="511"/>
      <c r="F38" s="511"/>
      <c r="G38" s="511"/>
      <c r="H38" s="511"/>
      <c r="I38" s="511"/>
      <c r="J38" s="511"/>
    </row>
    <row r="39" spans="2:10" ht="28.95" customHeight="1" x14ac:dyDescent="0.35">
      <c r="B39" s="511"/>
      <c r="C39" s="511"/>
      <c r="D39" s="511"/>
      <c r="E39" s="511"/>
      <c r="F39" s="511"/>
      <c r="G39" s="511"/>
      <c r="H39" s="511"/>
      <c r="I39" s="511"/>
      <c r="J39" s="511"/>
    </row>
    <row r="40" spans="2:10" ht="28.95" customHeight="1" x14ac:dyDescent="0.35">
      <c r="B40" s="511"/>
      <c r="C40" s="511"/>
      <c r="D40" s="511"/>
      <c r="E40" s="511"/>
      <c r="F40" s="511"/>
      <c r="G40" s="511"/>
      <c r="H40" s="511"/>
      <c r="I40" s="511"/>
      <c r="J40" s="511"/>
    </row>
    <row r="41" spans="2:10" ht="28.95" customHeight="1" x14ac:dyDescent="0.35">
      <c r="B41" s="511"/>
      <c r="C41" s="511"/>
      <c r="D41" s="511"/>
      <c r="E41" s="511"/>
      <c r="F41" s="511"/>
      <c r="G41" s="511"/>
      <c r="H41" s="511"/>
      <c r="I41" s="511"/>
      <c r="J41" s="511"/>
    </row>
    <row r="42" spans="2:10" ht="28.95" customHeight="1" x14ac:dyDescent="0.35">
      <c r="B42" s="511"/>
      <c r="C42" s="511"/>
      <c r="D42" s="511"/>
      <c r="E42" s="511"/>
      <c r="F42" s="511"/>
      <c r="G42" s="511"/>
      <c r="H42" s="511"/>
      <c r="I42" s="511"/>
      <c r="J42" s="511"/>
    </row>
    <row r="43" spans="2:10" ht="28.95" customHeight="1" x14ac:dyDescent="0.35">
      <c r="B43" s="511"/>
      <c r="C43" s="511"/>
      <c r="D43" s="511"/>
      <c r="E43" s="511"/>
      <c r="F43" s="511"/>
      <c r="G43" s="511"/>
      <c r="H43" s="511"/>
      <c r="I43" s="511"/>
      <c r="J43" s="511"/>
    </row>
    <row r="44" spans="2:10" ht="28.95" customHeight="1" x14ac:dyDescent="0.35">
      <c r="B44" s="511"/>
      <c r="C44" s="511"/>
      <c r="D44" s="511"/>
      <c r="E44" s="511"/>
      <c r="F44" s="511"/>
      <c r="G44" s="511"/>
      <c r="H44" s="511"/>
      <c r="I44" s="511"/>
      <c r="J44" s="511"/>
    </row>
    <row r="45" spans="2:10" ht="28.95" customHeight="1" x14ac:dyDescent="0.35">
      <c r="B45" s="511"/>
      <c r="C45" s="511"/>
      <c r="D45" s="511"/>
      <c r="E45" s="511"/>
      <c r="F45" s="511"/>
      <c r="G45" s="511"/>
      <c r="H45" s="511"/>
      <c r="I45" s="511"/>
      <c r="J45" s="511"/>
    </row>
    <row r="46" spans="2:10" ht="28.95" customHeight="1" x14ac:dyDescent="0.35">
      <c r="B46" s="511"/>
      <c r="C46" s="511"/>
      <c r="D46" s="511"/>
      <c r="E46" s="511"/>
      <c r="F46" s="511"/>
      <c r="G46" s="511"/>
      <c r="H46" s="511"/>
      <c r="I46" s="511"/>
      <c r="J46" s="511"/>
    </row>
    <row r="47" spans="2:10" ht="28.95" customHeight="1" x14ac:dyDescent="0.35">
      <c r="B47" s="511"/>
      <c r="C47" s="511"/>
      <c r="D47" s="511"/>
      <c r="E47" s="511"/>
      <c r="F47" s="511"/>
      <c r="G47" s="511"/>
      <c r="H47" s="511"/>
      <c r="I47" s="511"/>
      <c r="J47" s="511"/>
    </row>
    <row r="48" spans="2:10" ht="28.95" customHeight="1" x14ac:dyDescent="0.35">
      <c r="B48" s="511"/>
      <c r="C48" s="511"/>
      <c r="D48" s="511"/>
      <c r="E48" s="511"/>
      <c r="F48" s="511"/>
      <c r="G48" s="511"/>
      <c r="H48" s="511"/>
      <c r="I48" s="511"/>
      <c r="J48" s="511"/>
    </row>
    <row r="49" spans="2:10" ht="28.95" customHeight="1" x14ac:dyDescent="0.35">
      <c r="B49" s="511"/>
      <c r="C49" s="511"/>
      <c r="D49" s="511"/>
      <c r="E49" s="511"/>
      <c r="F49" s="511"/>
      <c r="G49" s="511"/>
      <c r="H49" s="511"/>
      <c r="I49" s="511"/>
      <c r="J49" s="511"/>
    </row>
    <row r="50" spans="2:10" ht="28.95" customHeight="1" x14ac:dyDescent="0.35">
      <c r="B50" s="511"/>
      <c r="C50" s="511"/>
      <c r="D50" s="511"/>
      <c r="E50" s="511"/>
      <c r="F50" s="511"/>
      <c r="G50" s="511"/>
      <c r="H50" s="511"/>
      <c r="I50" s="511"/>
      <c r="J50" s="511"/>
    </row>
    <row r="51" spans="2:10" ht="28.95" customHeight="1" x14ac:dyDescent="0.35">
      <c r="B51" s="511"/>
      <c r="C51" s="322"/>
      <c r="D51" s="322"/>
      <c r="E51" s="511"/>
      <c r="F51" s="511"/>
      <c r="G51" s="511"/>
      <c r="H51" s="511"/>
      <c r="I51" s="511"/>
      <c r="J51" s="511"/>
    </row>
    <row r="52" spans="2:10" ht="28.95" customHeight="1" x14ac:dyDescent="0.35">
      <c r="B52" s="511"/>
      <c r="C52" s="322"/>
      <c r="D52" s="322"/>
      <c r="E52" s="511"/>
      <c r="F52" s="511"/>
      <c r="G52" s="511"/>
      <c r="H52" s="511"/>
      <c r="I52" s="511"/>
      <c r="J52" s="511"/>
    </row>
    <row r="53" spans="2:10" ht="28.95" customHeight="1" x14ac:dyDescent="0.35">
      <c r="B53" s="511"/>
      <c r="E53" s="511"/>
      <c r="F53" s="511"/>
      <c r="I53" s="322"/>
      <c r="J53" s="322"/>
    </row>
    <row r="54" spans="2:10" ht="28.95" customHeight="1" x14ac:dyDescent="0.35">
      <c r="B54" s="511"/>
      <c r="E54" s="322"/>
      <c r="F54" s="322"/>
      <c r="I54" s="322"/>
      <c r="J54" s="322"/>
    </row>
    <row r="55" spans="2:10" ht="28.95" customHeight="1" x14ac:dyDescent="0.3"/>
    <row r="56" spans="2:10" ht="28.95" customHeight="1" x14ac:dyDescent="0.3"/>
    <row r="57" spans="2:10" ht="28.95" customHeight="1" x14ac:dyDescent="0.3"/>
    <row r="58" spans="2:10" ht="28.95" customHeight="1" x14ac:dyDescent="0.3"/>
    <row r="59" spans="2:10" ht="28.95" customHeight="1" x14ac:dyDescent="0.3"/>
    <row r="60" spans="2:10" ht="28.95" customHeight="1" x14ac:dyDescent="0.3"/>
    <row r="61" spans="2:10" ht="28.95" customHeight="1" x14ac:dyDescent="0.3"/>
    <row r="62" spans="2:10" ht="28.95" customHeight="1" x14ac:dyDescent="0.3"/>
    <row r="63" spans="2:10" ht="28.95" customHeight="1" x14ac:dyDescent="0.3"/>
    <row r="64" spans="2:10" ht="28.95" customHeight="1" x14ac:dyDescent="0.3"/>
    <row r="65" ht="28.95" customHeight="1" x14ac:dyDescent="0.3"/>
    <row r="66" ht="28.95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D91FD1B-3640-440B-A5CB-AA11EFEFB1BD}">
          <x14:formula1>
            <xm:f>'N_VMETAS (2)'!$N$22:$N$25</xm:f>
          </x14:formula1>
          <xm:sqref>E10:E12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4162D-498B-482A-A3E9-D79C02443008}">
  <sheetPr codeName="Planilha68">
    <tabColor rgb="FF7030A0"/>
  </sheetPr>
  <dimension ref="B1:AM66"/>
  <sheetViews>
    <sheetView zoomScale="40" zoomScaleNormal="40" workbookViewId="0">
      <selection activeCell="K15" sqref="K15"/>
    </sheetView>
  </sheetViews>
  <sheetFormatPr defaultColWidth="8.88671875" defaultRowHeight="14.4" x14ac:dyDescent="0.3"/>
  <cols>
    <col min="1" max="1" width="8.88671875" style="100"/>
    <col min="2" max="2" width="37.88671875" style="100" customWidth="1"/>
    <col min="3" max="3" width="40.44140625" style="100" customWidth="1"/>
    <col min="4" max="4" width="30.109375" style="100" customWidth="1"/>
    <col min="5" max="5" width="26" style="100" bestFit="1" customWidth="1"/>
    <col min="6" max="6" width="44.88671875" style="100" customWidth="1"/>
    <col min="7" max="7" width="15.5546875" style="100" customWidth="1"/>
    <col min="8" max="11" width="8.88671875" style="100"/>
    <col min="12" max="12" width="23.44140625" style="100" bestFit="1" customWidth="1"/>
    <col min="13" max="13" width="2.6640625" style="100" bestFit="1" customWidth="1"/>
    <col min="14" max="14" width="51.109375" style="100" customWidth="1"/>
    <col min="15" max="16384" width="8.88671875" style="100"/>
  </cols>
  <sheetData>
    <row r="1" spans="2:39" x14ac:dyDescent="0.3"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</row>
    <row r="2" spans="2:39" x14ac:dyDescent="0.3"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</row>
    <row r="3" spans="2:39" ht="61.2" customHeight="1" x14ac:dyDescent="0.3"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</row>
    <row r="4" spans="2:39" ht="46.2" customHeight="1" x14ac:dyDescent="0.3">
      <c r="B4" s="464"/>
      <c r="C4" s="464"/>
      <c r="D4" s="464"/>
      <c r="E4" s="464"/>
      <c r="F4" s="464"/>
      <c r="G4" s="464"/>
      <c r="H4" s="464"/>
      <c r="I4" s="464"/>
      <c r="J4" s="464"/>
      <c r="K4" s="464"/>
      <c r="L4" s="464"/>
      <c r="M4" s="464"/>
      <c r="N4" s="464"/>
      <c r="O4" s="464"/>
      <c r="P4" s="464"/>
      <c r="Q4" s="464"/>
      <c r="R4" s="464"/>
      <c r="S4" s="464"/>
      <c r="T4" s="464"/>
      <c r="U4" s="464"/>
      <c r="V4" s="464"/>
      <c r="W4" s="464"/>
      <c r="X4" s="464"/>
      <c r="Y4" s="464"/>
      <c r="Z4" s="464"/>
      <c r="AA4" s="464"/>
      <c r="AB4" s="464"/>
      <c r="AC4" s="464"/>
      <c r="AD4" s="464"/>
      <c r="AE4" s="464"/>
      <c r="AF4" s="464"/>
      <c r="AG4" s="464"/>
      <c r="AH4" s="464"/>
      <c r="AI4" s="464"/>
      <c r="AJ4" s="464"/>
      <c r="AK4" s="464"/>
      <c r="AL4" s="464"/>
      <c r="AM4" s="464"/>
    </row>
    <row r="5" spans="2:39" x14ac:dyDescent="0.3">
      <c r="B5" s="464"/>
      <c r="C5" s="464"/>
      <c r="D5" s="464"/>
      <c r="E5" s="464"/>
      <c r="F5" s="464"/>
      <c r="G5" s="464"/>
      <c r="H5" s="464"/>
      <c r="I5" s="464"/>
      <c r="J5" s="464"/>
      <c r="K5" s="464"/>
      <c r="L5" s="464"/>
      <c r="M5" s="464"/>
      <c r="N5" s="464"/>
      <c r="O5" s="464"/>
      <c r="P5" s="464"/>
      <c r="Q5" s="464"/>
      <c r="R5" s="464"/>
      <c r="S5" s="464"/>
      <c r="T5" s="464"/>
      <c r="U5" s="464"/>
      <c r="V5" s="464"/>
      <c r="W5" s="464"/>
      <c r="X5" s="464"/>
      <c r="Y5" s="464"/>
      <c r="Z5" s="464"/>
      <c r="AA5" s="464"/>
      <c r="AB5" s="464"/>
      <c r="AC5" s="464"/>
      <c r="AD5" s="464"/>
      <c r="AE5" s="464"/>
      <c r="AF5" s="464"/>
      <c r="AG5" s="464"/>
      <c r="AH5" s="464"/>
      <c r="AI5" s="464"/>
      <c r="AJ5" s="464"/>
      <c r="AK5" s="464"/>
      <c r="AL5" s="464"/>
      <c r="AM5" s="464"/>
    </row>
    <row r="6" spans="2:39" x14ac:dyDescent="0.3">
      <c r="B6" s="464"/>
      <c r="C6" s="464"/>
      <c r="D6" s="464"/>
      <c r="E6" s="464"/>
      <c r="F6" s="464"/>
      <c r="G6" s="464"/>
      <c r="H6" s="464"/>
      <c r="I6" s="464"/>
      <c r="J6" s="464"/>
      <c r="K6" s="464"/>
      <c r="L6" s="464"/>
      <c r="M6" s="464"/>
      <c r="N6" s="464"/>
      <c r="O6" s="464"/>
      <c r="P6" s="464"/>
      <c r="Q6" s="464"/>
      <c r="R6" s="464"/>
      <c r="S6" s="464"/>
      <c r="T6" s="464"/>
      <c r="U6" s="464"/>
      <c r="V6" s="464"/>
      <c r="W6" s="464"/>
      <c r="X6" s="464"/>
      <c r="Y6" s="464"/>
      <c r="Z6" s="464"/>
      <c r="AA6" s="464"/>
      <c r="AB6" s="464"/>
      <c r="AC6" s="464"/>
      <c r="AD6" s="464"/>
      <c r="AE6" s="464"/>
      <c r="AF6" s="464"/>
      <c r="AG6" s="464"/>
      <c r="AH6" s="464"/>
      <c r="AI6" s="464"/>
      <c r="AJ6" s="464"/>
      <c r="AK6" s="464"/>
      <c r="AL6" s="464"/>
      <c r="AM6" s="464"/>
    </row>
    <row r="7" spans="2:39" x14ac:dyDescent="0.3">
      <c r="B7" s="464"/>
      <c r="C7" s="464"/>
      <c r="D7" s="464"/>
      <c r="E7" s="464"/>
      <c r="F7" s="464"/>
      <c r="G7" s="464"/>
      <c r="H7" s="464"/>
      <c r="I7" s="464"/>
      <c r="J7" s="464"/>
      <c r="K7" s="464"/>
      <c r="L7" s="464"/>
      <c r="M7" s="464"/>
      <c r="N7" s="464"/>
      <c r="O7" s="464"/>
      <c r="P7" s="464"/>
      <c r="Q7" s="464"/>
      <c r="R7" s="464"/>
      <c r="S7" s="464"/>
      <c r="T7" s="464"/>
      <c r="U7" s="464"/>
      <c r="V7" s="464"/>
      <c r="W7" s="464"/>
      <c r="X7" s="464"/>
      <c r="Y7" s="464"/>
      <c r="Z7" s="464"/>
      <c r="AA7" s="464"/>
      <c r="AB7" s="464"/>
      <c r="AC7" s="464"/>
      <c r="AD7" s="464"/>
      <c r="AE7" s="464"/>
      <c r="AF7" s="464"/>
      <c r="AG7" s="464"/>
      <c r="AH7" s="464"/>
      <c r="AI7" s="464"/>
      <c r="AJ7" s="464"/>
      <c r="AK7" s="464"/>
      <c r="AL7" s="464"/>
      <c r="AM7" s="464"/>
    </row>
    <row r="8" spans="2:39" ht="28.95" customHeight="1" x14ac:dyDescent="0.3"/>
    <row r="9" spans="2:39" ht="28.95" customHeight="1" x14ac:dyDescent="0.3">
      <c r="B9" s="513" t="s">
        <v>752</v>
      </c>
      <c r="C9" s="513" t="s">
        <v>747</v>
      </c>
      <c r="D9" s="513" t="s">
        <v>748</v>
      </c>
    </row>
    <row r="10" spans="2:39" ht="28.95" customHeight="1" x14ac:dyDescent="0.35">
      <c r="B10" s="511">
        <v>160</v>
      </c>
      <c r="C10" s="511">
        <v>1600</v>
      </c>
      <c r="D10" s="511" t="s">
        <v>753</v>
      </c>
    </row>
    <row r="11" spans="2:39" ht="28.95" customHeight="1" x14ac:dyDescent="0.35">
      <c r="B11" s="511"/>
      <c r="C11" s="511"/>
      <c r="D11" s="511"/>
    </row>
    <row r="12" spans="2:39" ht="28.95" customHeight="1" x14ac:dyDescent="0.35">
      <c r="B12" s="511"/>
      <c r="C12" s="511"/>
      <c r="D12" s="511"/>
    </row>
    <row r="13" spans="2:39" ht="28.95" customHeight="1" x14ac:dyDescent="0.35">
      <c r="B13" s="511"/>
      <c r="C13" s="511"/>
      <c r="D13" s="511"/>
    </row>
    <row r="14" spans="2:39" ht="28.95" customHeight="1" x14ac:dyDescent="0.35">
      <c r="B14" s="511"/>
      <c r="C14" s="511"/>
      <c r="D14" s="511"/>
    </row>
    <row r="15" spans="2:39" ht="28.95" customHeight="1" x14ac:dyDescent="0.35">
      <c r="B15" s="511"/>
      <c r="C15" s="511"/>
      <c r="D15" s="511"/>
    </row>
    <row r="16" spans="2:39" ht="28.95" customHeight="1" x14ac:dyDescent="0.35">
      <c r="B16" s="511"/>
      <c r="C16" s="511"/>
      <c r="D16" s="511"/>
    </row>
    <row r="17" spans="2:4" ht="28.95" customHeight="1" x14ac:dyDescent="0.35">
      <c r="B17" s="511"/>
      <c r="C17" s="511"/>
      <c r="D17" s="511"/>
    </row>
    <row r="18" spans="2:4" ht="28.95" customHeight="1" x14ac:dyDescent="0.35">
      <c r="B18" s="511"/>
      <c r="C18" s="511"/>
      <c r="D18" s="511"/>
    </row>
    <row r="19" spans="2:4" ht="28.95" customHeight="1" x14ac:dyDescent="0.35">
      <c r="B19" s="511"/>
      <c r="C19" s="511"/>
      <c r="D19" s="511"/>
    </row>
    <row r="20" spans="2:4" ht="28.95" customHeight="1" x14ac:dyDescent="0.35">
      <c r="B20" s="511"/>
      <c r="C20" s="511"/>
      <c r="D20" s="511"/>
    </row>
    <row r="21" spans="2:4" ht="28.95" customHeight="1" x14ac:dyDescent="0.35">
      <c r="B21" s="511"/>
      <c r="C21" s="511"/>
      <c r="D21" s="511"/>
    </row>
    <row r="22" spans="2:4" ht="28.95" customHeight="1" x14ac:dyDescent="0.35">
      <c r="B22" s="511"/>
      <c r="C22" s="511"/>
      <c r="D22" s="511"/>
    </row>
    <row r="23" spans="2:4" ht="28.95" customHeight="1" x14ac:dyDescent="0.35">
      <c r="B23" s="511"/>
      <c r="C23" s="511"/>
      <c r="D23" s="511"/>
    </row>
    <row r="24" spans="2:4" ht="28.95" customHeight="1" x14ac:dyDescent="0.35">
      <c r="B24" s="511"/>
      <c r="C24" s="511"/>
      <c r="D24" s="511"/>
    </row>
    <row r="25" spans="2:4" ht="28.95" customHeight="1" x14ac:dyDescent="0.35">
      <c r="B25" s="511"/>
      <c r="C25" s="511"/>
      <c r="D25" s="511"/>
    </row>
    <row r="26" spans="2:4" ht="28.95" customHeight="1" x14ac:dyDescent="0.35">
      <c r="B26" s="511"/>
      <c r="C26" s="511"/>
      <c r="D26" s="511"/>
    </row>
    <row r="27" spans="2:4" ht="28.95" customHeight="1" x14ac:dyDescent="0.35">
      <c r="B27" s="511"/>
      <c r="C27" s="511"/>
      <c r="D27" s="511"/>
    </row>
    <row r="28" spans="2:4" ht="28.95" customHeight="1" x14ac:dyDescent="0.35">
      <c r="B28" s="511"/>
      <c r="C28" s="511"/>
      <c r="D28" s="511"/>
    </row>
    <row r="29" spans="2:4" ht="28.95" customHeight="1" x14ac:dyDescent="0.35">
      <c r="B29" s="511"/>
      <c r="C29" s="511"/>
      <c r="D29" s="511"/>
    </row>
    <row r="30" spans="2:4" ht="28.95" customHeight="1" x14ac:dyDescent="0.35">
      <c r="B30" s="511"/>
      <c r="C30" s="511"/>
      <c r="D30" s="511"/>
    </row>
    <row r="31" spans="2:4" ht="28.95" customHeight="1" x14ac:dyDescent="0.35">
      <c r="B31" s="511"/>
      <c r="C31" s="511"/>
      <c r="D31" s="511"/>
    </row>
    <row r="32" spans="2:4" ht="28.95" customHeight="1" x14ac:dyDescent="0.3"/>
    <row r="33" ht="28.95" customHeight="1" x14ac:dyDescent="0.3"/>
    <row r="34" ht="28.95" customHeight="1" x14ac:dyDescent="0.3"/>
    <row r="35" ht="28.95" customHeight="1" x14ac:dyDescent="0.3"/>
    <row r="36" ht="28.95" customHeight="1" x14ac:dyDescent="0.3"/>
    <row r="37" ht="28.95" customHeight="1" x14ac:dyDescent="0.3"/>
    <row r="38" ht="28.95" customHeight="1" x14ac:dyDescent="0.3"/>
    <row r="39" ht="28.95" customHeight="1" x14ac:dyDescent="0.3"/>
    <row r="40" ht="28.95" customHeight="1" x14ac:dyDescent="0.3"/>
    <row r="41" ht="28.95" customHeight="1" x14ac:dyDescent="0.3"/>
    <row r="42" ht="28.95" customHeight="1" x14ac:dyDescent="0.3"/>
    <row r="43" ht="28.95" customHeight="1" x14ac:dyDescent="0.3"/>
    <row r="44" ht="28.95" customHeight="1" x14ac:dyDescent="0.3"/>
    <row r="45" ht="28.95" customHeight="1" x14ac:dyDescent="0.3"/>
    <row r="46" ht="28.95" customHeight="1" x14ac:dyDescent="0.3"/>
    <row r="47" ht="28.95" customHeight="1" x14ac:dyDescent="0.3"/>
    <row r="48" ht="28.95" customHeight="1" x14ac:dyDescent="0.3"/>
    <row r="49" ht="28.95" customHeight="1" x14ac:dyDescent="0.3"/>
    <row r="50" ht="28.95" customHeight="1" x14ac:dyDescent="0.3"/>
    <row r="51" ht="28.95" customHeight="1" x14ac:dyDescent="0.3"/>
    <row r="52" ht="28.95" customHeight="1" x14ac:dyDescent="0.3"/>
    <row r="53" ht="28.95" customHeight="1" x14ac:dyDescent="0.3"/>
    <row r="54" ht="28.95" customHeight="1" x14ac:dyDescent="0.3"/>
    <row r="55" ht="28.95" customHeight="1" x14ac:dyDescent="0.3"/>
    <row r="56" ht="28.95" customHeight="1" x14ac:dyDescent="0.3"/>
    <row r="57" ht="28.95" customHeight="1" x14ac:dyDescent="0.3"/>
    <row r="58" ht="28.95" customHeight="1" x14ac:dyDescent="0.3"/>
    <row r="59" ht="28.95" customHeight="1" x14ac:dyDescent="0.3"/>
    <row r="60" ht="28.95" customHeight="1" x14ac:dyDescent="0.3"/>
    <row r="61" ht="28.95" customHeight="1" x14ac:dyDescent="0.3"/>
    <row r="62" ht="28.95" customHeight="1" x14ac:dyDescent="0.3"/>
    <row r="63" ht="28.95" customHeight="1" x14ac:dyDescent="0.3"/>
    <row r="64" ht="28.95" customHeight="1" x14ac:dyDescent="0.3"/>
    <row r="65" ht="28.95" customHeight="1" x14ac:dyDescent="0.3"/>
    <row r="66" ht="28.95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959F7-2AD5-4B66-9E3D-513BF5F4DA27}">
  <sheetPr codeName="Planilha63">
    <tabColor rgb="FFFF0000"/>
  </sheetPr>
  <dimension ref="A1:AW66"/>
  <sheetViews>
    <sheetView zoomScale="40" zoomScaleNormal="40" workbookViewId="0">
      <selection activeCell="P8" sqref="P8"/>
    </sheetView>
  </sheetViews>
  <sheetFormatPr defaultRowHeight="14.4" x14ac:dyDescent="0.3"/>
  <cols>
    <col min="1" max="4" width="8.88671875" style="100"/>
    <col min="5" max="5" width="72.33203125" style="100" bestFit="1" customWidth="1"/>
    <col min="6" max="6" width="23.21875" style="100" bestFit="1" customWidth="1"/>
    <col min="7" max="7" width="26" style="100" customWidth="1"/>
    <col min="8" max="8" width="15.33203125" style="100" customWidth="1"/>
    <col min="9" max="9" width="22.88671875" style="100" bestFit="1" customWidth="1"/>
    <col min="10" max="10" width="27.88671875" style="100" bestFit="1" customWidth="1"/>
    <col min="11" max="11" width="29.5546875" style="100" customWidth="1"/>
    <col min="12" max="12" width="43.77734375" style="100" customWidth="1"/>
    <col min="13" max="13" width="19.21875" style="100" customWidth="1"/>
    <col min="14" max="14" width="47.88671875" style="100" bestFit="1" customWidth="1"/>
    <col min="15" max="15" width="29.33203125" style="100" customWidth="1"/>
    <col min="16" max="16" width="73.44140625" style="100" customWidth="1"/>
    <col min="17" max="17" width="15.55468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  <c r="AV4" s="150"/>
      <c r="AW4" s="150"/>
    </row>
    <row r="5" spans="1:49" x14ac:dyDescent="0.3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  <c r="AV5" s="150"/>
      <c r="AW5" s="150"/>
    </row>
    <row r="6" spans="1:49" x14ac:dyDescent="0.3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  <c r="AV6" s="150"/>
      <c r="AW6" s="150"/>
    </row>
    <row r="7" spans="1:49" x14ac:dyDescent="0.3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</row>
    <row r="8" spans="1:49" ht="28.8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</row>
    <row r="9" spans="1:49" ht="28.8" customHeight="1" x14ac:dyDescent="0.3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</row>
    <row r="10" spans="1:49" ht="28.8" customHeight="1" x14ac:dyDescent="0.3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</row>
    <row r="11" spans="1:49" ht="28.8" customHeight="1" x14ac:dyDescent="0.3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</row>
    <row r="12" spans="1:49" ht="28.8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</row>
    <row r="13" spans="1:49" ht="28.8" customHeight="1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</row>
    <row r="14" spans="1:49" ht="28.8" customHeight="1" x14ac:dyDescent="0.3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</row>
    <row r="15" spans="1:49" ht="28.8" customHeight="1" x14ac:dyDescent="0.3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</row>
    <row r="16" spans="1:49" ht="28.8" customHeight="1" x14ac:dyDescent="0.3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</row>
    <row r="17" spans="1:22" ht="28.8" customHeight="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</row>
    <row r="18" spans="1:22" ht="28.8" customHeight="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</row>
    <row r="19" spans="1:22" ht="28.8" customHeight="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</row>
    <row r="20" spans="1:22" ht="28.8" customHeight="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</row>
    <row r="21" spans="1:22" ht="28.8" customHeight="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</row>
    <row r="22" spans="1:22" ht="28.8" customHeight="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</row>
    <row r="23" spans="1:22" ht="28.8" customHeight="1" x14ac:dyDescent="0.3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</row>
    <row r="24" spans="1:22" ht="28.8" customHeight="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</row>
    <row r="25" spans="1:22" ht="28.8" customHeight="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</row>
    <row r="26" spans="1:22" ht="28.8" customHeight="1" x14ac:dyDescent="0.3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</row>
    <row r="27" spans="1:22" ht="28.8" customHeight="1" x14ac:dyDescent="0.3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</row>
    <row r="28" spans="1:22" ht="28.8" customHeight="1" x14ac:dyDescent="0.3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</row>
    <row r="29" spans="1:22" ht="28.8" customHeight="1" x14ac:dyDescent="0.3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</row>
    <row r="30" spans="1:22" ht="28.8" customHeight="1" x14ac:dyDescent="0.3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</row>
    <row r="31" spans="1:22" ht="28.8" customHeight="1" x14ac:dyDescent="0.3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</row>
    <row r="32" spans="1:22" ht="28.8" customHeight="1" x14ac:dyDescent="0.3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</row>
    <row r="33" spans="1:22" ht="28.8" customHeight="1" x14ac:dyDescent="0.3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</row>
    <row r="34" spans="1:22" ht="28.8" customHeight="1" x14ac:dyDescent="0.3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</row>
    <row r="35" spans="1:22" ht="28.8" customHeight="1" x14ac:dyDescent="0.3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</row>
    <row r="36" spans="1:22" ht="28.8" customHeight="1" x14ac:dyDescent="0.3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</row>
    <row r="37" spans="1:22" ht="28.8" customHeight="1" x14ac:dyDescent="0.3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</row>
    <row r="38" spans="1:22" ht="28.8" customHeight="1" x14ac:dyDescent="0.3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</row>
    <row r="39" spans="1:22" ht="28.8" customHeight="1" x14ac:dyDescent="0.3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</row>
    <row r="40" spans="1:22" ht="28.8" customHeight="1" x14ac:dyDescent="0.3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</row>
    <row r="41" spans="1:22" ht="28.8" customHeight="1" x14ac:dyDescent="0.3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</row>
    <row r="42" spans="1:22" ht="28.8" customHeight="1" x14ac:dyDescent="0.3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</row>
    <row r="43" spans="1:22" ht="28.8" customHeight="1" x14ac:dyDescent="0.3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</row>
    <row r="44" spans="1:22" ht="28.8" customHeight="1" x14ac:dyDescent="0.3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</row>
    <row r="45" spans="1:22" ht="28.8" customHeight="1" x14ac:dyDescent="0.3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</row>
    <row r="46" spans="1:22" ht="28.8" customHeight="1" x14ac:dyDescent="0.3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</row>
    <row r="47" spans="1:22" ht="28.8" customHeight="1" x14ac:dyDescent="0.3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</row>
    <row r="48" spans="1:22" ht="28.8" customHeight="1" x14ac:dyDescent="0.3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</row>
    <row r="49" spans="1:22" ht="28.8" customHeight="1" x14ac:dyDescent="0.3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</row>
    <row r="50" spans="1:22" ht="28.8" customHeight="1" x14ac:dyDescent="0.3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</row>
    <row r="51" spans="1:22" ht="28.8" customHeight="1" x14ac:dyDescent="0.3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</row>
    <row r="52" spans="1:22" ht="28.8" customHeight="1" x14ac:dyDescent="0.3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</row>
    <row r="53" spans="1:22" ht="28.8" customHeight="1" x14ac:dyDescent="0.3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</row>
    <row r="54" spans="1:22" ht="28.8" customHeight="1" x14ac:dyDescent="0.3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</row>
    <row r="55" spans="1:22" ht="28.8" customHeight="1" x14ac:dyDescent="0.3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</row>
    <row r="56" spans="1:22" ht="28.8" customHeight="1" x14ac:dyDescent="0.3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</row>
    <row r="57" spans="1:22" ht="28.8" customHeight="1" x14ac:dyDescent="0.3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</row>
    <row r="58" spans="1:22" ht="28.8" customHeight="1" x14ac:dyDescent="0.3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</row>
    <row r="59" spans="1:22" ht="28.8" customHeight="1" x14ac:dyDescent="0.3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</row>
    <row r="60" spans="1:22" ht="28.8" customHeight="1" x14ac:dyDescent="0.3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</row>
    <row r="61" spans="1:22" ht="28.8" customHeight="1" x14ac:dyDescent="0.3">
      <c r="A61" s="25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</row>
    <row r="62" spans="1:22" ht="28.8" customHeight="1" x14ac:dyDescent="0.3">
      <c r="A62" s="25"/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</row>
    <row r="63" spans="1:22" ht="28.8" customHeight="1" x14ac:dyDescent="0.3"/>
    <row r="64" spans="1:22" ht="28.8" customHeight="1" x14ac:dyDescent="0.3"/>
    <row r="65" ht="28.8" customHeight="1" x14ac:dyDescent="0.3"/>
    <row r="66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4338B-9DC6-443C-8FDD-576A1FC8E5AE}">
  <sheetPr codeName="Planilha48">
    <tabColor rgb="FFFF0000"/>
  </sheetPr>
  <dimension ref="A1:AW66"/>
  <sheetViews>
    <sheetView zoomScale="40" zoomScaleNormal="40" workbookViewId="0">
      <selection activeCell="H25" sqref="H25"/>
    </sheetView>
  </sheetViews>
  <sheetFormatPr defaultColWidth="8.88671875" defaultRowHeight="14.4" x14ac:dyDescent="0.3"/>
  <cols>
    <col min="1" max="4" width="8.88671875" style="100"/>
    <col min="5" max="5" width="72.33203125" style="100" bestFit="1" customWidth="1"/>
    <col min="6" max="6" width="23.33203125" style="100" bestFit="1" customWidth="1"/>
    <col min="7" max="7" width="26" style="100" customWidth="1"/>
    <col min="8" max="8" width="15.33203125" style="100" customWidth="1"/>
    <col min="9" max="9" width="22.88671875" style="100" bestFit="1" customWidth="1"/>
    <col min="10" max="10" width="27.88671875" style="100" bestFit="1" customWidth="1"/>
    <col min="11" max="11" width="29.5546875" style="100" customWidth="1"/>
    <col min="12" max="12" width="43.6640625" style="100" customWidth="1"/>
    <col min="13" max="13" width="19.33203125" style="100" customWidth="1"/>
    <col min="14" max="14" width="47.88671875" style="100" bestFit="1" customWidth="1"/>
    <col min="15" max="15" width="29.33203125" style="100" customWidth="1"/>
    <col min="16" max="16" width="73.44140625" style="100" customWidth="1"/>
    <col min="17" max="17" width="15.55468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464"/>
      <c r="B4" s="464"/>
      <c r="C4" s="464"/>
      <c r="D4" s="464"/>
      <c r="E4" s="464"/>
      <c r="F4" s="464"/>
      <c r="G4" s="464"/>
      <c r="H4" s="464"/>
      <c r="I4" s="464"/>
      <c r="J4" s="464"/>
      <c r="K4" s="464"/>
      <c r="L4" s="464"/>
      <c r="M4" s="464"/>
      <c r="N4" s="464"/>
      <c r="O4" s="464"/>
      <c r="P4" s="464"/>
      <c r="Q4" s="464"/>
      <c r="R4" s="464"/>
      <c r="S4" s="464"/>
      <c r="T4" s="464"/>
      <c r="U4" s="464"/>
      <c r="V4" s="464"/>
      <c r="W4" s="464"/>
      <c r="X4" s="464"/>
      <c r="Y4" s="464"/>
      <c r="Z4" s="464"/>
      <c r="AA4" s="464"/>
      <c r="AB4" s="464"/>
      <c r="AC4" s="464"/>
      <c r="AD4" s="464"/>
      <c r="AE4" s="464"/>
      <c r="AF4" s="464"/>
      <c r="AG4" s="464"/>
      <c r="AH4" s="464"/>
      <c r="AI4" s="464"/>
      <c r="AJ4" s="464"/>
      <c r="AK4" s="464"/>
      <c r="AL4" s="464"/>
      <c r="AM4" s="464"/>
      <c r="AN4" s="464"/>
      <c r="AO4" s="464"/>
      <c r="AP4" s="464"/>
      <c r="AQ4" s="464"/>
      <c r="AR4" s="464"/>
      <c r="AS4" s="464"/>
      <c r="AT4" s="464"/>
      <c r="AU4" s="464"/>
      <c r="AV4" s="464"/>
      <c r="AW4" s="464"/>
    </row>
    <row r="5" spans="1:49" x14ac:dyDescent="0.3">
      <c r="A5" s="464"/>
      <c r="B5" s="464"/>
      <c r="C5" s="464"/>
      <c r="D5" s="464"/>
      <c r="E5" s="464"/>
      <c r="F5" s="464"/>
      <c r="G5" s="464"/>
      <c r="H5" s="464"/>
      <c r="I5" s="464"/>
      <c r="J5" s="464"/>
      <c r="K5" s="464"/>
      <c r="L5" s="464"/>
      <c r="M5" s="464"/>
      <c r="N5" s="464"/>
      <c r="O5" s="464"/>
      <c r="P5" s="464"/>
      <c r="Q5" s="464"/>
      <c r="R5" s="464"/>
      <c r="S5" s="464"/>
      <c r="T5" s="464"/>
      <c r="U5" s="464"/>
      <c r="V5" s="464"/>
      <c r="W5" s="464"/>
      <c r="X5" s="464"/>
      <c r="Y5" s="464"/>
      <c r="Z5" s="464"/>
      <c r="AA5" s="464"/>
      <c r="AB5" s="464"/>
      <c r="AC5" s="464"/>
      <c r="AD5" s="464"/>
      <c r="AE5" s="464"/>
      <c r="AF5" s="464"/>
      <c r="AG5" s="464"/>
      <c r="AH5" s="464"/>
      <c r="AI5" s="464"/>
      <c r="AJ5" s="464"/>
      <c r="AK5" s="464"/>
      <c r="AL5" s="464"/>
      <c r="AM5" s="464"/>
      <c r="AN5" s="464"/>
      <c r="AO5" s="464"/>
      <c r="AP5" s="464"/>
      <c r="AQ5" s="464"/>
      <c r="AR5" s="464"/>
      <c r="AS5" s="464"/>
      <c r="AT5" s="464"/>
      <c r="AU5" s="464"/>
      <c r="AV5" s="464"/>
      <c r="AW5" s="464"/>
    </row>
    <row r="6" spans="1:49" x14ac:dyDescent="0.3">
      <c r="A6" s="464"/>
      <c r="B6" s="464"/>
      <c r="C6" s="464"/>
      <c r="D6" s="464"/>
      <c r="E6" s="464"/>
      <c r="F6" s="464"/>
      <c r="G6" s="464"/>
      <c r="H6" s="464"/>
      <c r="I6" s="464"/>
      <c r="J6" s="464"/>
      <c r="K6" s="464"/>
      <c r="L6" s="464"/>
      <c r="M6" s="464"/>
      <c r="N6" s="464"/>
      <c r="O6" s="464"/>
      <c r="P6" s="464"/>
      <c r="Q6" s="464"/>
      <c r="R6" s="464"/>
      <c r="S6" s="464"/>
      <c r="T6" s="464"/>
      <c r="U6" s="464"/>
      <c r="V6" s="464"/>
      <c r="W6" s="464"/>
      <c r="X6" s="464"/>
      <c r="Y6" s="464"/>
      <c r="Z6" s="464"/>
      <c r="AA6" s="464"/>
      <c r="AB6" s="464"/>
      <c r="AC6" s="464"/>
      <c r="AD6" s="464"/>
      <c r="AE6" s="464"/>
      <c r="AF6" s="464"/>
      <c r="AG6" s="464"/>
      <c r="AH6" s="464"/>
      <c r="AI6" s="464"/>
      <c r="AJ6" s="464"/>
      <c r="AK6" s="464"/>
      <c r="AL6" s="464"/>
      <c r="AM6" s="464"/>
      <c r="AN6" s="464"/>
      <c r="AO6" s="464"/>
      <c r="AP6" s="464"/>
      <c r="AQ6" s="464"/>
      <c r="AR6" s="464"/>
      <c r="AS6" s="464"/>
      <c r="AT6" s="464"/>
      <c r="AU6" s="464"/>
      <c r="AV6" s="464"/>
      <c r="AW6" s="464"/>
    </row>
    <row r="7" spans="1:49" x14ac:dyDescent="0.3">
      <c r="A7" s="464"/>
      <c r="B7" s="464"/>
      <c r="C7" s="464"/>
      <c r="D7" s="464"/>
      <c r="E7" s="464"/>
      <c r="F7" s="464"/>
      <c r="G7" s="464"/>
      <c r="H7" s="464"/>
      <c r="I7" s="464"/>
      <c r="J7" s="464"/>
      <c r="K7" s="464"/>
      <c r="L7" s="464"/>
      <c r="M7" s="464"/>
      <c r="N7" s="464"/>
      <c r="O7" s="464"/>
      <c r="P7" s="464"/>
      <c r="Q7" s="464"/>
      <c r="R7" s="464"/>
      <c r="S7" s="464"/>
      <c r="T7" s="464"/>
      <c r="U7" s="464"/>
      <c r="V7" s="464"/>
      <c r="W7" s="464"/>
      <c r="X7" s="464"/>
      <c r="Y7" s="464"/>
      <c r="Z7" s="464"/>
      <c r="AA7" s="464"/>
      <c r="AB7" s="464"/>
      <c r="AC7" s="464"/>
      <c r="AD7" s="464"/>
      <c r="AE7" s="464"/>
      <c r="AF7" s="464"/>
      <c r="AG7" s="464"/>
      <c r="AH7" s="464"/>
      <c r="AI7" s="464"/>
      <c r="AJ7" s="464"/>
      <c r="AK7" s="464"/>
      <c r="AL7" s="464"/>
      <c r="AM7" s="464"/>
      <c r="AN7" s="464"/>
      <c r="AO7" s="464"/>
      <c r="AP7" s="464"/>
      <c r="AQ7" s="464"/>
      <c r="AR7" s="464"/>
      <c r="AS7" s="464"/>
      <c r="AT7" s="464"/>
      <c r="AU7" s="464"/>
      <c r="AV7" s="464"/>
      <c r="AW7" s="464"/>
    </row>
    <row r="8" spans="1:49" ht="28.95" customHeight="1" x14ac:dyDescent="0.3"/>
    <row r="9" spans="1:49" ht="28.95" customHeight="1" x14ac:dyDescent="0.3"/>
    <row r="10" spans="1:49" ht="28.95" customHeight="1" x14ac:dyDescent="0.3"/>
    <row r="11" spans="1:49" ht="28.95" customHeight="1" thickBot="1" x14ac:dyDescent="0.35"/>
    <row r="12" spans="1:49" ht="28.95" customHeight="1" x14ac:dyDescent="0.3">
      <c r="H12" s="299" t="s">
        <v>579</v>
      </c>
      <c r="I12" s="300"/>
      <c r="J12" s="300"/>
      <c r="K12" s="300"/>
      <c r="L12" s="300"/>
      <c r="M12" s="301"/>
    </row>
    <row r="13" spans="1:49" ht="28.95" customHeight="1" x14ac:dyDescent="0.3">
      <c r="G13" s="100" t="s">
        <v>655</v>
      </c>
      <c r="H13" s="305"/>
      <c r="I13" s="465"/>
      <c r="J13" s="465"/>
      <c r="K13" s="465"/>
      <c r="L13" s="465"/>
      <c r="M13" s="307"/>
    </row>
    <row r="14" spans="1:49" ht="28.95" customHeight="1" x14ac:dyDescent="0.3">
      <c r="H14" s="88"/>
      <c r="I14" s="338"/>
      <c r="J14" s="338"/>
      <c r="K14" s="338"/>
      <c r="L14" s="338"/>
      <c r="M14" s="89"/>
    </row>
    <row r="15" spans="1:49" ht="28.95" customHeight="1" x14ac:dyDescent="0.4">
      <c r="H15" s="90"/>
      <c r="I15" s="466" t="s">
        <v>373</v>
      </c>
      <c r="J15" s="339"/>
      <c r="K15" s="339"/>
      <c r="L15" s="467"/>
      <c r="M15" s="91"/>
    </row>
    <row r="16" spans="1:49" ht="28.95" customHeight="1" x14ac:dyDescent="0.4">
      <c r="H16" s="90"/>
      <c r="I16" s="468"/>
      <c r="J16" s="339"/>
      <c r="K16" s="339"/>
      <c r="L16" s="340"/>
      <c r="M16" s="91"/>
    </row>
    <row r="17" spans="8:13" ht="28.95" customHeight="1" x14ac:dyDescent="0.4">
      <c r="H17" s="92"/>
      <c r="I17" s="469" t="s">
        <v>375</v>
      </c>
      <c r="J17" s="341"/>
      <c r="K17" s="342"/>
      <c r="L17" s="470"/>
      <c r="M17" s="93"/>
    </row>
    <row r="18" spans="8:13" ht="28.95" customHeight="1" x14ac:dyDescent="0.4">
      <c r="H18" s="92"/>
      <c r="I18" s="469"/>
      <c r="J18" s="341"/>
      <c r="K18" s="342"/>
      <c r="L18" s="342"/>
      <c r="M18" s="93"/>
    </row>
    <row r="19" spans="8:13" ht="28.95" customHeight="1" x14ac:dyDescent="0.4">
      <c r="H19" s="92"/>
      <c r="I19" s="469" t="s">
        <v>362</v>
      </c>
      <c r="J19" s="341"/>
      <c r="K19" s="342"/>
      <c r="L19" s="470"/>
      <c r="M19" s="93"/>
    </row>
    <row r="20" spans="8:13" ht="28.95" customHeight="1" x14ac:dyDescent="0.35">
      <c r="H20" s="92"/>
      <c r="I20" s="471"/>
      <c r="J20" s="342"/>
      <c r="K20" s="342"/>
      <c r="L20" s="342"/>
      <c r="M20" s="93"/>
    </row>
    <row r="21" spans="8:13" ht="28.95" customHeight="1" x14ac:dyDescent="0.45">
      <c r="H21" s="92"/>
      <c r="I21" s="469" t="s">
        <v>36</v>
      </c>
      <c r="J21" s="342"/>
      <c r="K21" s="342"/>
      <c r="L21" s="472"/>
      <c r="M21" s="93"/>
    </row>
    <row r="22" spans="8:13" ht="28.95" customHeight="1" x14ac:dyDescent="0.35">
      <c r="H22" s="92"/>
      <c r="I22" s="471"/>
      <c r="J22" s="342"/>
      <c r="K22" s="342"/>
      <c r="L22" s="342"/>
      <c r="M22" s="93"/>
    </row>
    <row r="23" spans="8:13" ht="28.95" customHeight="1" x14ac:dyDescent="0.4">
      <c r="H23" s="92"/>
      <c r="I23" s="469" t="s">
        <v>35</v>
      </c>
      <c r="J23" s="342"/>
      <c r="K23" s="342"/>
      <c r="L23" s="470"/>
      <c r="M23" s="93"/>
    </row>
    <row r="24" spans="8:13" ht="28.95" customHeight="1" x14ac:dyDescent="0.35">
      <c r="H24" s="92"/>
      <c r="I24" s="471"/>
      <c r="J24" s="342"/>
      <c r="K24" s="342"/>
      <c r="L24" s="342"/>
      <c r="M24" s="93"/>
    </row>
    <row r="25" spans="8:13" ht="28.95" customHeight="1" x14ac:dyDescent="0.4">
      <c r="H25" s="92"/>
      <c r="I25" s="469" t="s">
        <v>380</v>
      </c>
      <c r="J25" s="342"/>
      <c r="K25" s="342"/>
      <c r="L25" s="470"/>
      <c r="M25" s="93"/>
    </row>
    <row r="26" spans="8:13" ht="28.95" customHeight="1" x14ac:dyDescent="0.35">
      <c r="H26" s="92"/>
      <c r="I26" s="471"/>
      <c r="J26" s="342"/>
      <c r="K26" s="343"/>
      <c r="L26" s="343"/>
      <c r="M26" s="94"/>
    </row>
    <row r="27" spans="8:13" ht="28.95" customHeight="1" x14ac:dyDescent="0.4">
      <c r="H27" s="92"/>
      <c r="I27" s="469" t="s">
        <v>382</v>
      </c>
      <c r="J27" s="342"/>
      <c r="K27" s="343"/>
      <c r="L27" s="473"/>
      <c r="M27" s="94"/>
    </row>
    <row r="28" spans="8:13" ht="28.95" customHeight="1" x14ac:dyDescent="0.4">
      <c r="H28" s="90"/>
      <c r="I28" s="468"/>
      <c r="J28" s="339"/>
      <c r="K28" s="339"/>
      <c r="L28" s="340"/>
      <c r="M28" s="91"/>
    </row>
    <row r="29" spans="8:13" ht="28.95" customHeight="1" x14ac:dyDescent="0.4">
      <c r="H29" s="92"/>
      <c r="I29" s="469" t="s">
        <v>384</v>
      </c>
      <c r="J29" s="342"/>
      <c r="K29" s="343"/>
      <c r="L29" s="473"/>
      <c r="M29" s="94"/>
    </row>
    <row r="30" spans="8:13" ht="28.95" customHeight="1" x14ac:dyDescent="0.35">
      <c r="H30" s="92"/>
      <c r="I30" s="471"/>
      <c r="J30" s="342"/>
      <c r="K30" s="343"/>
      <c r="L30" s="343"/>
      <c r="M30" s="94"/>
    </row>
    <row r="31" spans="8:13" ht="28.95" customHeight="1" x14ac:dyDescent="0.4">
      <c r="H31" s="92"/>
      <c r="I31" s="469" t="s">
        <v>386</v>
      </c>
      <c r="J31" s="342"/>
      <c r="K31" s="343"/>
      <c r="L31" s="474"/>
      <c r="M31" s="94"/>
    </row>
    <row r="32" spans="8:13" ht="28.95" customHeight="1" x14ac:dyDescent="0.3">
      <c r="H32" s="92"/>
      <c r="I32" s="342"/>
      <c r="J32" s="342"/>
      <c r="K32" s="343"/>
      <c r="L32" s="343"/>
      <c r="M32" s="94"/>
    </row>
    <row r="33" spans="8:13" ht="28.95" customHeight="1" x14ac:dyDescent="0.3">
      <c r="H33" s="92"/>
      <c r="I33" s="342"/>
      <c r="J33" s="342"/>
      <c r="K33" s="343"/>
      <c r="L33" s="343"/>
      <c r="M33" s="94"/>
    </row>
    <row r="34" spans="8:13" ht="28.95" customHeight="1" x14ac:dyDescent="0.3">
      <c r="H34" s="92"/>
      <c r="I34" s="342"/>
      <c r="J34" s="342"/>
      <c r="K34" s="343"/>
      <c r="L34" s="343" t="s">
        <v>655</v>
      </c>
      <c r="M34" s="94"/>
    </row>
    <row r="35" spans="8:13" ht="28.95" customHeight="1" x14ac:dyDescent="0.3">
      <c r="H35" s="92"/>
      <c r="I35" s="342"/>
      <c r="J35" s="342"/>
      <c r="K35" s="343"/>
      <c r="L35" s="343"/>
      <c r="M35" s="94"/>
    </row>
    <row r="36" spans="8:13" ht="28.95" customHeight="1" thickBot="1" x14ac:dyDescent="0.35">
      <c r="H36" s="95"/>
      <c r="I36" s="96"/>
      <c r="J36" s="96"/>
      <c r="K36" s="97"/>
      <c r="L36" s="97"/>
      <c r="M36" s="98"/>
    </row>
    <row r="37" spans="8:13" ht="28.95" customHeight="1" x14ac:dyDescent="0.3"/>
    <row r="38" spans="8:13" ht="28.95" customHeight="1" x14ac:dyDescent="0.3"/>
    <row r="39" spans="8:13" ht="28.95" customHeight="1" x14ac:dyDescent="0.3"/>
    <row r="40" spans="8:13" ht="28.95" customHeight="1" x14ac:dyDescent="0.3"/>
    <row r="41" spans="8:13" ht="28.95" customHeight="1" x14ac:dyDescent="0.3"/>
    <row r="42" spans="8:13" ht="28.95" customHeight="1" x14ac:dyDescent="0.3"/>
    <row r="43" spans="8:13" ht="28.95" customHeight="1" x14ac:dyDescent="0.3"/>
    <row r="44" spans="8:13" ht="28.95" customHeight="1" x14ac:dyDescent="0.3"/>
    <row r="45" spans="8:13" ht="28.95" customHeight="1" x14ac:dyDescent="0.3"/>
    <row r="46" spans="8:13" ht="28.95" customHeight="1" x14ac:dyDescent="0.3"/>
    <row r="47" spans="8:13" ht="28.95" customHeight="1" x14ac:dyDescent="0.3"/>
    <row r="48" spans="8:13" ht="28.95" customHeight="1" x14ac:dyDescent="0.3"/>
    <row r="49" ht="28.95" customHeight="1" x14ac:dyDescent="0.3"/>
    <row r="50" ht="28.95" customHeight="1" x14ac:dyDescent="0.3"/>
    <row r="51" ht="28.95" customHeight="1" x14ac:dyDescent="0.3"/>
    <row r="52" ht="28.95" customHeight="1" x14ac:dyDescent="0.3"/>
    <row r="53" ht="28.95" customHeight="1" x14ac:dyDescent="0.3"/>
    <row r="54" ht="28.95" customHeight="1" x14ac:dyDescent="0.3"/>
    <row r="55" ht="28.95" customHeight="1" x14ac:dyDescent="0.3"/>
    <row r="56" ht="28.95" customHeight="1" x14ac:dyDescent="0.3"/>
    <row r="57" ht="28.95" customHeight="1" x14ac:dyDescent="0.3"/>
    <row r="58" ht="28.95" customHeight="1" x14ac:dyDescent="0.3"/>
    <row r="59" ht="28.95" customHeight="1" x14ac:dyDescent="0.3"/>
    <row r="60" ht="28.95" customHeight="1" x14ac:dyDescent="0.3"/>
    <row r="61" ht="28.95" customHeight="1" x14ac:dyDescent="0.3"/>
    <row r="62" ht="28.95" customHeight="1" x14ac:dyDescent="0.3"/>
    <row r="63" ht="28.95" customHeight="1" x14ac:dyDescent="0.3"/>
    <row r="64" ht="28.95" customHeight="1" x14ac:dyDescent="0.3"/>
    <row r="65" ht="28.95" customHeight="1" x14ac:dyDescent="0.3"/>
    <row r="66" ht="28.95" customHeight="1" x14ac:dyDescent="0.3"/>
  </sheetData>
  <mergeCells count="1">
    <mergeCell ref="H12:M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14116-7B07-4F8F-9624-A4EE7265FD2C}">
  <sheetPr codeName="Planilha49">
    <tabColor rgb="FFFF0000"/>
  </sheetPr>
  <dimension ref="A1:AW66"/>
  <sheetViews>
    <sheetView zoomScale="40" zoomScaleNormal="40" workbookViewId="0">
      <selection activeCell="H25" sqref="H25"/>
    </sheetView>
  </sheetViews>
  <sheetFormatPr defaultColWidth="8.88671875" defaultRowHeight="14.4" x14ac:dyDescent="0.3"/>
  <cols>
    <col min="1" max="4" width="8.88671875" style="100"/>
    <col min="5" max="5" width="72.33203125" style="100" bestFit="1" customWidth="1"/>
    <col min="6" max="6" width="23.33203125" style="100" bestFit="1" customWidth="1"/>
    <col min="7" max="7" width="26" style="100" customWidth="1"/>
    <col min="8" max="8" width="50.5546875" style="100" bestFit="1" customWidth="1"/>
    <col min="9" max="9" width="38.6640625" style="100" bestFit="1" customWidth="1"/>
    <col min="10" max="10" width="70.5546875" style="100" bestFit="1" customWidth="1"/>
    <col min="11" max="11" width="28.6640625" style="100" bestFit="1" customWidth="1"/>
    <col min="12" max="12" width="63.44140625" style="100" bestFit="1" customWidth="1"/>
    <col min="13" max="13" width="34.33203125" style="100" customWidth="1"/>
    <col min="14" max="14" width="28.5546875" style="100" customWidth="1"/>
    <col min="15" max="15" width="29.33203125" style="100" customWidth="1"/>
    <col min="16" max="16" width="73.44140625" style="100" customWidth="1"/>
    <col min="17" max="17" width="15.55468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464"/>
      <c r="B4" s="464"/>
      <c r="C4" s="464"/>
      <c r="D4" s="464"/>
      <c r="E4" s="464"/>
      <c r="F4" s="464"/>
      <c r="G4" s="464"/>
      <c r="H4" s="464"/>
      <c r="I4" s="464"/>
      <c r="J4" s="464"/>
      <c r="K4" s="464"/>
      <c r="L4" s="464"/>
      <c r="M4" s="464"/>
      <c r="N4" s="464"/>
      <c r="O4" s="464"/>
      <c r="P4" s="464"/>
      <c r="Q4" s="464"/>
      <c r="R4" s="464"/>
      <c r="S4" s="464"/>
      <c r="T4" s="464"/>
      <c r="U4" s="464"/>
      <c r="V4" s="464"/>
      <c r="W4" s="464"/>
      <c r="X4" s="464"/>
      <c r="Y4" s="464"/>
      <c r="Z4" s="464"/>
      <c r="AA4" s="464"/>
      <c r="AB4" s="464"/>
      <c r="AC4" s="464"/>
      <c r="AD4" s="464"/>
      <c r="AE4" s="464"/>
      <c r="AF4" s="464"/>
      <c r="AG4" s="464"/>
      <c r="AH4" s="464"/>
      <c r="AI4" s="464"/>
      <c r="AJ4" s="464"/>
      <c r="AK4" s="464"/>
      <c r="AL4" s="464"/>
      <c r="AM4" s="464"/>
      <c r="AN4" s="464"/>
      <c r="AO4" s="464"/>
      <c r="AP4" s="464"/>
      <c r="AQ4" s="464"/>
      <c r="AR4" s="464"/>
      <c r="AS4" s="464"/>
      <c r="AT4" s="464"/>
      <c r="AU4" s="464"/>
      <c r="AV4" s="464"/>
      <c r="AW4" s="464"/>
    </row>
    <row r="5" spans="1:49" x14ac:dyDescent="0.3">
      <c r="A5" s="464"/>
      <c r="B5" s="464"/>
      <c r="C5" s="464"/>
      <c r="D5" s="464"/>
      <c r="E5" s="464"/>
      <c r="F5" s="464"/>
      <c r="G5" s="464"/>
      <c r="H5" s="464"/>
      <c r="I5" s="464"/>
      <c r="J5" s="464"/>
      <c r="K5" s="464"/>
      <c r="L5" s="464"/>
      <c r="M5" s="464"/>
      <c r="N5" s="464"/>
      <c r="O5" s="464"/>
      <c r="P5" s="464"/>
      <c r="Q5" s="464"/>
      <c r="R5" s="464"/>
      <c r="S5" s="464"/>
      <c r="T5" s="464"/>
      <c r="U5" s="464"/>
      <c r="V5" s="464"/>
      <c r="W5" s="464"/>
      <c r="X5" s="464"/>
      <c r="Y5" s="464"/>
      <c r="Z5" s="464"/>
      <c r="AA5" s="464"/>
      <c r="AB5" s="464"/>
      <c r="AC5" s="464"/>
      <c r="AD5" s="464"/>
      <c r="AE5" s="464"/>
      <c r="AF5" s="464"/>
      <c r="AG5" s="464"/>
      <c r="AH5" s="464"/>
      <c r="AI5" s="464"/>
      <c r="AJ5" s="464"/>
      <c r="AK5" s="464"/>
      <c r="AL5" s="464"/>
      <c r="AM5" s="464"/>
      <c r="AN5" s="464"/>
      <c r="AO5" s="464"/>
      <c r="AP5" s="464"/>
      <c r="AQ5" s="464"/>
      <c r="AR5" s="464"/>
      <c r="AS5" s="464"/>
      <c r="AT5" s="464"/>
      <c r="AU5" s="464"/>
      <c r="AV5" s="464"/>
      <c r="AW5" s="464"/>
    </row>
    <row r="6" spans="1:49" x14ac:dyDescent="0.3">
      <c r="A6" s="464"/>
      <c r="B6" s="464"/>
      <c r="C6" s="464"/>
      <c r="D6" s="464"/>
      <c r="E6" s="464"/>
      <c r="F6" s="464"/>
      <c r="G6" s="464"/>
      <c r="H6" s="464"/>
      <c r="I6" s="464"/>
      <c r="J6" s="464"/>
      <c r="K6" s="464"/>
      <c r="L6" s="464"/>
      <c r="M6" s="464"/>
      <c r="N6" s="464"/>
      <c r="O6" s="464"/>
      <c r="P6" s="464"/>
      <c r="Q6" s="464"/>
      <c r="R6" s="464"/>
      <c r="S6" s="464"/>
      <c r="T6" s="464"/>
      <c r="U6" s="464"/>
      <c r="V6" s="464"/>
      <c r="W6" s="464"/>
      <c r="X6" s="464"/>
      <c r="Y6" s="464"/>
      <c r="Z6" s="464"/>
      <c r="AA6" s="464"/>
      <c r="AB6" s="464"/>
      <c r="AC6" s="464"/>
      <c r="AD6" s="464"/>
      <c r="AE6" s="464"/>
      <c r="AF6" s="464"/>
      <c r="AG6" s="464"/>
      <c r="AH6" s="464"/>
      <c r="AI6" s="464"/>
      <c r="AJ6" s="464"/>
      <c r="AK6" s="464"/>
      <c r="AL6" s="464"/>
      <c r="AM6" s="464"/>
      <c r="AN6" s="464"/>
      <c r="AO6" s="464"/>
      <c r="AP6" s="464"/>
      <c r="AQ6" s="464"/>
      <c r="AR6" s="464"/>
      <c r="AS6" s="464"/>
      <c r="AT6" s="464"/>
      <c r="AU6" s="464"/>
      <c r="AV6" s="464"/>
      <c r="AW6" s="464"/>
    </row>
    <row r="7" spans="1:49" x14ac:dyDescent="0.3">
      <c r="A7" s="464"/>
      <c r="B7" s="464"/>
      <c r="C7" s="464"/>
      <c r="D7" s="464"/>
      <c r="E7" s="464"/>
      <c r="F7" s="464"/>
      <c r="G7" s="464"/>
      <c r="H7" s="464"/>
      <c r="I7" s="464"/>
      <c r="J7" s="464"/>
      <c r="K7" s="464"/>
      <c r="L7" s="464"/>
      <c r="M7" s="464"/>
      <c r="N7" s="464"/>
      <c r="O7" s="464"/>
      <c r="P7" s="464"/>
      <c r="Q7" s="464"/>
      <c r="R7" s="464"/>
      <c r="S7" s="464"/>
      <c r="T7" s="464"/>
      <c r="U7" s="464"/>
      <c r="V7" s="464"/>
      <c r="W7" s="464"/>
      <c r="X7" s="464"/>
      <c r="Y7" s="464"/>
      <c r="Z7" s="464"/>
      <c r="AA7" s="464"/>
      <c r="AB7" s="464"/>
      <c r="AC7" s="464"/>
      <c r="AD7" s="464"/>
      <c r="AE7" s="464"/>
      <c r="AF7" s="464"/>
      <c r="AG7" s="464"/>
      <c r="AH7" s="464"/>
      <c r="AI7" s="464"/>
      <c r="AJ7" s="464"/>
      <c r="AK7" s="464"/>
      <c r="AL7" s="464"/>
      <c r="AM7" s="464"/>
      <c r="AN7" s="464"/>
      <c r="AO7" s="464"/>
      <c r="AP7" s="464"/>
      <c r="AQ7" s="464"/>
      <c r="AR7" s="464"/>
      <c r="AS7" s="464"/>
      <c r="AT7" s="464"/>
      <c r="AU7" s="464"/>
      <c r="AV7" s="464"/>
      <c r="AW7" s="464"/>
    </row>
    <row r="8" spans="1:49" ht="28.95" customHeight="1" x14ac:dyDescent="0.3"/>
    <row r="9" spans="1:49" ht="28.95" customHeight="1" x14ac:dyDescent="0.3"/>
    <row r="10" spans="1:49" ht="28.95" customHeight="1" x14ac:dyDescent="0.3"/>
    <row r="11" spans="1:49" ht="28.95" customHeight="1" x14ac:dyDescent="0.3"/>
    <row r="12" spans="1:49" ht="28.95" customHeight="1" x14ac:dyDescent="0.3">
      <c r="G12" s="475" t="s">
        <v>220</v>
      </c>
      <c r="H12" s="475" t="s">
        <v>656</v>
      </c>
      <c r="I12" s="475" t="s">
        <v>362</v>
      </c>
      <c r="J12" s="475" t="s">
        <v>294</v>
      </c>
      <c r="K12" s="475" t="s">
        <v>407</v>
      </c>
      <c r="L12" s="475" t="s">
        <v>293</v>
      </c>
      <c r="M12" s="475" t="s">
        <v>657</v>
      </c>
      <c r="N12" s="475" t="s">
        <v>282</v>
      </c>
      <c r="O12" s="475" t="s">
        <v>658</v>
      </c>
    </row>
    <row r="13" spans="1:49" ht="28.95" customHeight="1" x14ac:dyDescent="0.3">
      <c r="G13" s="476" t="s">
        <v>659</v>
      </c>
      <c r="H13" s="476" t="s">
        <v>660</v>
      </c>
      <c r="I13" s="476" t="s">
        <v>661</v>
      </c>
      <c r="J13" s="476" t="s">
        <v>662</v>
      </c>
      <c r="K13" s="476" t="s">
        <v>663</v>
      </c>
      <c r="L13" s="476" t="s">
        <v>664</v>
      </c>
      <c r="M13" s="476" t="s">
        <v>665</v>
      </c>
      <c r="N13" s="476" t="s">
        <v>666</v>
      </c>
      <c r="O13" s="477">
        <v>2.5</v>
      </c>
    </row>
    <row r="14" spans="1:49" ht="28.95" customHeight="1" x14ac:dyDescent="0.3">
      <c r="G14" s="476" t="s">
        <v>667</v>
      </c>
      <c r="H14" s="478" t="s">
        <v>668</v>
      </c>
      <c r="I14" s="478" t="s">
        <v>669</v>
      </c>
      <c r="J14" s="478" t="s">
        <v>670</v>
      </c>
      <c r="K14" s="478" t="s">
        <v>671</v>
      </c>
      <c r="L14" s="478" t="s">
        <v>672</v>
      </c>
      <c r="M14" s="478" t="s">
        <v>665</v>
      </c>
      <c r="N14" s="478" t="s">
        <v>666</v>
      </c>
      <c r="O14" s="479">
        <v>2.5</v>
      </c>
    </row>
    <row r="15" spans="1:49" ht="28.95" customHeight="1" x14ac:dyDescent="0.3">
      <c r="G15" s="476" t="s">
        <v>673</v>
      </c>
      <c r="H15" s="478" t="s">
        <v>674</v>
      </c>
      <c r="I15" s="478" t="s">
        <v>675</v>
      </c>
      <c r="J15" s="478" t="s">
        <v>676</v>
      </c>
      <c r="K15" s="478" t="s">
        <v>677</v>
      </c>
      <c r="L15" s="478" t="s">
        <v>678</v>
      </c>
      <c r="M15" s="478" t="s">
        <v>383</v>
      </c>
      <c r="N15" s="478" t="s">
        <v>679</v>
      </c>
      <c r="O15" s="479">
        <v>3.85</v>
      </c>
    </row>
    <row r="16" spans="1:49" ht="28.95" customHeight="1" x14ac:dyDescent="0.3">
      <c r="G16" s="476" t="s">
        <v>680</v>
      </c>
      <c r="H16" s="478" t="s">
        <v>681</v>
      </c>
      <c r="I16" s="478" t="s">
        <v>682</v>
      </c>
      <c r="J16" s="478" t="s">
        <v>683</v>
      </c>
      <c r="K16" s="478" t="s">
        <v>684</v>
      </c>
      <c r="L16" s="478" t="s">
        <v>685</v>
      </c>
      <c r="M16" s="478" t="s">
        <v>383</v>
      </c>
      <c r="N16" s="478" t="s">
        <v>666</v>
      </c>
      <c r="O16" s="479">
        <v>2.5</v>
      </c>
    </row>
    <row r="17" spans="6:15" ht="28.95" customHeight="1" x14ac:dyDescent="0.3">
      <c r="G17" s="476" t="s">
        <v>686</v>
      </c>
      <c r="H17" s="476" t="s">
        <v>687</v>
      </c>
      <c r="I17" s="476" t="s">
        <v>688</v>
      </c>
      <c r="J17" s="476" t="s">
        <v>689</v>
      </c>
      <c r="K17" s="476" t="s">
        <v>690</v>
      </c>
      <c r="L17" s="476" t="s">
        <v>691</v>
      </c>
      <c r="M17" s="476" t="s">
        <v>665</v>
      </c>
      <c r="N17" s="476" t="s">
        <v>679</v>
      </c>
      <c r="O17" s="477">
        <v>3.25</v>
      </c>
    </row>
    <row r="18" spans="6:15" ht="28.95" customHeight="1" x14ac:dyDescent="0.3">
      <c r="G18" s="476" t="s">
        <v>692</v>
      </c>
      <c r="H18" s="478" t="s">
        <v>693</v>
      </c>
      <c r="I18" s="478" t="s">
        <v>694</v>
      </c>
      <c r="J18" s="478" t="s">
        <v>695</v>
      </c>
      <c r="K18" s="478" t="s">
        <v>696</v>
      </c>
      <c r="L18" s="478" t="s">
        <v>697</v>
      </c>
      <c r="M18" s="480" t="s">
        <v>665</v>
      </c>
      <c r="N18" s="480" t="s">
        <v>679</v>
      </c>
      <c r="O18" s="481">
        <v>2.75</v>
      </c>
    </row>
    <row r="19" spans="6:15" ht="28.95" customHeight="1" x14ac:dyDescent="0.3">
      <c r="G19" s="476" t="s">
        <v>374</v>
      </c>
      <c r="H19" s="476" t="s">
        <v>376</v>
      </c>
      <c r="I19" s="476" t="s">
        <v>377</v>
      </c>
      <c r="J19" s="476" t="s">
        <v>378</v>
      </c>
      <c r="K19" s="476" t="s">
        <v>379</v>
      </c>
      <c r="L19" s="476" t="s">
        <v>381</v>
      </c>
      <c r="M19" s="476" t="s">
        <v>383</v>
      </c>
      <c r="N19" s="476" t="s">
        <v>679</v>
      </c>
      <c r="O19" s="477">
        <v>2.5</v>
      </c>
    </row>
    <row r="20" spans="6:15" ht="28.95" customHeight="1" x14ac:dyDescent="0.3">
      <c r="G20" s="476" t="s">
        <v>698</v>
      </c>
      <c r="H20" s="478" t="s">
        <v>699</v>
      </c>
      <c r="I20" s="478" t="s">
        <v>700</v>
      </c>
      <c r="J20" s="478" t="s">
        <v>701</v>
      </c>
      <c r="K20" s="478" t="s">
        <v>702</v>
      </c>
      <c r="L20" s="478" t="s">
        <v>703</v>
      </c>
      <c r="M20" s="478" t="s">
        <v>383</v>
      </c>
      <c r="N20" s="478" t="s">
        <v>385</v>
      </c>
      <c r="O20" s="479">
        <v>4.3</v>
      </c>
    </row>
    <row r="21" spans="6:15" ht="28.95" customHeight="1" x14ac:dyDescent="0.3">
      <c r="G21" s="476" t="s">
        <v>374</v>
      </c>
      <c r="H21" s="476" t="s">
        <v>376</v>
      </c>
      <c r="I21" s="476" t="s">
        <v>377</v>
      </c>
      <c r="J21" s="476" t="s">
        <v>378</v>
      </c>
      <c r="K21" s="476" t="s">
        <v>379</v>
      </c>
      <c r="L21" s="476" t="s">
        <v>381</v>
      </c>
      <c r="M21" s="476" t="s">
        <v>383</v>
      </c>
      <c r="N21" s="476" t="s">
        <v>385</v>
      </c>
      <c r="O21" s="477">
        <v>4.5</v>
      </c>
    </row>
    <row r="22" spans="6:15" ht="28.95" customHeight="1" x14ac:dyDescent="0.3">
      <c r="G22" s="476" t="s">
        <v>704</v>
      </c>
      <c r="H22" s="478" t="s">
        <v>705</v>
      </c>
      <c r="I22" s="478" t="s">
        <v>706</v>
      </c>
      <c r="J22" s="478" t="s">
        <v>707</v>
      </c>
      <c r="K22" s="478" t="s">
        <v>708</v>
      </c>
      <c r="L22" s="478" t="s">
        <v>709</v>
      </c>
      <c r="M22" s="478" t="s">
        <v>665</v>
      </c>
      <c r="N22" s="478" t="s">
        <v>385</v>
      </c>
      <c r="O22" s="479">
        <v>5</v>
      </c>
    </row>
    <row r="23" spans="6:15" ht="28.95" customHeight="1" x14ac:dyDescent="0.3">
      <c r="G23" s="476" t="s">
        <v>710</v>
      </c>
      <c r="H23" s="478" t="s">
        <v>711</v>
      </c>
      <c r="I23" s="478" t="s">
        <v>712</v>
      </c>
      <c r="J23" s="478" t="s">
        <v>713</v>
      </c>
      <c r="K23" s="478" t="s">
        <v>714</v>
      </c>
      <c r="L23" s="478" t="s">
        <v>715</v>
      </c>
      <c r="M23" s="478" t="s">
        <v>383</v>
      </c>
      <c r="N23" s="478" t="s">
        <v>716</v>
      </c>
      <c r="O23" s="479">
        <v>11.5</v>
      </c>
    </row>
    <row r="24" spans="6:15" ht="28.95" customHeight="1" x14ac:dyDescent="0.3">
      <c r="G24" s="476" t="s">
        <v>717</v>
      </c>
      <c r="H24" s="478" t="s">
        <v>718</v>
      </c>
      <c r="I24" s="478" t="s">
        <v>719</v>
      </c>
      <c r="J24" s="478" t="s">
        <v>720</v>
      </c>
      <c r="K24" s="478" t="s">
        <v>721</v>
      </c>
      <c r="L24" s="478" t="s">
        <v>722</v>
      </c>
      <c r="M24" s="478" t="s">
        <v>665</v>
      </c>
      <c r="N24" s="478" t="s">
        <v>716</v>
      </c>
      <c r="O24" s="479">
        <v>11.75</v>
      </c>
    </row>
    <row r="25" spans="6:15" ht="28.95" customHeight="1" x14ac:dyDescent="0.3">
      <c r="F25" s="100" t="s">
        <v>743</v>
      </c>
      <c r="G25" s="476" t="s">
        <v>723</v>
      </c>
      <c r="H25" s="476" t="s">
        <v>724</v>
      </c>
      <c r="I25" s="476" t="s">
        <v>725</v>
      </c>
      <c r="J25" s="476" t="s">
        <v>726</v>
      </c>
      <c r="K25" s="476" t="s">
        <v>727</v>
      </c>
      <c r="L25" s="476" t="s">
        <v>728</v>
      </c>
      <c r="M25" s="476" t="s">
        <v>383</v>
      </c>
      <c r="N25" s="476" t="s">
        <v>716</v>
      </c>
      <c r="O25" s="477">
        <v>12</v>
      </c>
    </row>
    <row r="26" spans="6:15" ht="28.95" customHeight="1" x14ac:dyDescent="0.3">
      <c r="G26" s="476" t="s">
        <v>729</v>
      </c>
      <c r="H26" s="478" t="s">
        <v>730</v>
      </c>
      <c r="I26" s="478" t="s">
        <v>731</v>
      </c>
      <c r="J26" s="478" t="s">
        <v>732</v>
      </c>
      <c r="K26" s="478" t="s">
        <v>733</v>
      </c>
      <c r="L26" s="478" t="s">
        <v>734</v>
      </c>
      <c r="M26" s="478" t="s">
        <v>665</v>
      </c>
      <c r="N26" s="478" t="s">
        <v>735</v>
      </c>
      <c r="O26" s="479">
        <v>17</v>
      </c>
    </row>
    <row r="27" spans="6:15" ht="28.95" customHeight="1" x14ac:dyDescent="0.3">
      <c r="G27" s="476" t="s">
        <v>736</v>
      </c>
      <c r="H27" s="478" t="s">
        <v>737</v>
      </c>
      <c r="I27" s="478" t="s">
        <v>738</v>
      </c>
      <c r="J27" s="478" t="s">
        <v>739</v>
      </c>
      <c r="K27" s="478" t="s">
        <v>740</v>
      </c>
      <c r="L27" s="478" t="s">
        <v>741</v>
      </c>
      <c r="M27" s="478" t="s">
        <v>383</v>
      </c>
      <c r="N27" s="478" t="s">
        <v>735</v>
      </c>
      <c r="O27" s="479">
        <v>16.149999999999999</v>
      </c>
    </row>
    <row r="28" spans="6:15" ht="28.95" customHeight="1" x14ac:dyDescent="0.3">
      <c r="G28" s="476" t="s">
        <v>659</v>
      </c>
      <c r="H28" s="476" t="s">
        <v>660</v>
      </c>
      <c r="I28" s="476" t="s">
        <v>661</v>
      </c>
      <c r="J28" s="476" t="s">
        <v>662</v>
      </c>
      <c r="K28" s="476" t="s">
        <v>663</v>
      </c>
      <c r="L28" s="476" t="s">
        <v>664</v>
      </c>
      <c r="M28" s="476" t="s">
        <v>383</v>
      </c>
      <c r="N28" s="476" t="s">
        <v>735</v>
      </c>
      <c r="O28" s="477">
        <v>15.65</v>
      </c>
    </row>
    <row r="29" spans="6:15" ht="28.95" customHeight="1" x14ac:dyDescent="0.3"/>
    <row r="30" spans="6:15" ht="28.95" customHeight="1" x14ac:dyDescent="0.3"/>
    <row r="31" spans="6:15" ht="28.95" customHeight="1" x14ac:dyDescent="0.3"/>
    <row r="32" spans="6:15" ht="28.95" customHeight="1" x14ac:dyDescent="0.3"/>
    <row r="33" ht="28.95" customHeight="1" x14ac:dyDescent="0.3"/>
    <row r="34" ht="28.95" customHeight="1" x14ac:dyDescent="0.3"/>
    <row r="35" ht="28.95" customHeight="1" x14ac:dyDescent="0.3"/>
    <row r="36" ht="28.95" customHeight="1" x14ac:dyDescent="0.3"/>
    <row r="37" ht="28.95" customHeight="1" x14ac:dyDescent="0.3"/>
    <row r="38" ht="28.95" customHeight="1" x14ac:dyDescent="0.3"/>
    <row r="39" ht="28.95" customHeight="1" x14ac:dyDescent="0.3"/>
    <row r="40" ht="28.95" customHeight="1" x14ac:dyDescent="0.3"/>
    <row r="41" ht="28.95" customHeight="1" x14ac:dyDescent="0.3"/>
    <row r="42" ht="28.95" customHeight="1" x14ac:dyDescent="0.3"/>
    <row r="43" ht="28.95" customHeight="1" x14ac:dyDescent="0.3"/>
    <row r="44" ht="28.95" customHeight="1" x14ac:dyDescent="0.3"/>
    <row r="45" ht="28.95" customHeight="1" x14ac:dyDescent="0.3"/>
    <row r="46" ht="28.95" customHeight="1" x14ac:dyDescent="0.3"/>
    <row r="47" ht="28.95" customHeight="1" x14ac:dyDescent="0.3"/>
    <row r="48" ht="28.95" customHeight="1" x14ac:dyDescent="0.3"/>
    <row r="49" ht="28.95" customHeight="1" x14ac:dyDescent="0.3"/>
    <row r="50" ht="28.95" customHeight="1" x14ac:dyDescent="0.3"/>
    <row r="51" ht="28.95" customHeight="1" x14ac:dyDescent="0.3"/>
    <row r="52" ht="28.95" customHeight="1" x14ac:dyDescent="0.3"/>
    <row r="53" ht="28.95" customHeight="1" x14ac:dyDescent="0.3"/>
    <row r="54" ht="28.95" customHeight="1" x14ac:dyDescent="0.3"/>
    <row r="55" ht="28.95" customHeight="1" x14ac:dyDescent="0.3"/>
    <row r="56" ht="28.95" customHeight="1" x14ac:dyDescent="0.3"/>
    <row r="57" ht="28.95" customHeight="1" x14ac:dyDescent="0.3"/>
    <row r="58" ht="28.95" customHeight="1" x14ac:dyDescent="0.3"/>
    <row r="59" ht="28.95" customHeight="1" x14ac:dyDescent="0.3"/>
    <row r="60" ht="28.95" customHeight="1" x14ac:dyDescent="0.3"/>
    <row r="61" ht="28.95" customHeight="1" x14ac:dyDescent="0.3"/>
    <row r="62" ht="28.95" customHeight="1" x14ac:dyDescent="0.3"/>
    <row r="63" ht="28.95" customHeight="1" x14ac:dyDescent="0.3"/>
    <row r="64" ht="28.95" customHeight="1" x14ac:dyDescent="0.3"/>
    <row r="65" ht="28.95" customHeight="1" x14ac:dyDescent="0.3"/>
    <row r="66" ht="28.95" customHeight="1" x14ac:dyDescent="0.3"/>
  </sheetData>
  <autoFilter ref="G12:O28" xr:uid="{447C5C6A-8C0E-4405-A174-DC3F4C6123B9}">
    <sortState xmlns:xlrd2="http://schemas.microsoft.com/office/spreadsheetml/2017/richdata2" ref="G15:O19">
      <sortCondition descending="1" ref="O12:O28"/>
    </sortState>
  </autoFilter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822D3-A50A-481A-82FF-16DD330E6A10}">
  <sheetPr codeName="Planilha51">
    <tabColor rgb="FFFF0000"/>
  </sheetPr>
  <dimension ref="A1:AW66"/>
  <sheetViews>
    <sheetView zoomScale="40" zoomScaleNormal="40" workbookViewId="0"/>
  </sheetViews>
  <sheetFormatPr defaultColWidth="8.88671875" defaultRowHeight="14.4" x14ac:dyDescent="0.3"/>
  <cols>
    <col min="1" max="4" width="8.88671875" style="100"/>
    <col min="5" max="5" width="72.33203125" style="100" bestFit="1" customWidth="1"/>
    <col min="6" max="6" width="23.33203125" style="100" bestFit="1" customWidth="1"/>
    <col min="7" max="7" width="26" style="100" customWidth="1"/>
    <col min="8" max="8" width="15.33203125" style="100" customWidth="1"/>
    <col min="9" max="9" width="22.88671875" style="100" bestFit="1" customWidth="1"/>
    <col min="10" max="10" width="27.88671875" style="100" bestFit="1" customWidth="1"/>
    <col min="11" max="11" width="29.5546875" style="100" customWidth="1"/>
    <col min="12" max="12" width="40.44140625" style="100" customWidth="1"/>
    <col min="13" max="13" width="19.33203125" style="100" customWidth="1"/>
    <col min="14" max="14" width="47.88671875" style="100" bestFit="1" customWidth="1"/>
    <col min="15" max="15" width="29.33203125" style="100" customWidth="1"/>
    <col min="16" max="16" width="73.44140625" style="100" customWidth="1"/>
    <col min="17" max="17" width="15.55468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464"/>
      <c r="B4" s="464"/>
      <c r="C4" s="464"/>
      <c r="D4" s="464"/>
      <c r="E4" s="464"/>
      <c r="F4" s="464"/>
      <c r="G4" s="464"/>
      <c r="H4" s="464"/>
      <c r="I4" s="464"/>
      <c r="J4" s="464"/>
      <c r="K4" s="464"/>
      <c r="L4" s="464"/>
      <c r="M4" s="464"/>
      <c r="N4" s="464"/>
      <c r="O4" s="464"/>
      <c r="P4" s="464"/>
      <c r="Q4" s="464"/>
      <c r="R4" s="464"/>
      <c r="S4" s="464"/>
      <c r="T4" s="464"/>
      <c r="U4" s="464"/>
      <c r="V4" s="464"/>
      <c r="W4" s="464"/>
      <c r="X4" s="464"/>
      <c r="Y4" s="464"/>
      <c r="Z4" s="464"/>
      <c r="AA4" s="464"/>
      <c r="AB4" s="464"/>
      <c r="AC4" s="464"/>
      <c r="AD4" s="464"/>
      <c r="AE4" s="464"/>
      <c r="AF4" s="464"/>
      <c r="AG4" s="464"/>
      <c r="AH4" s="464"/>
      <c r="AI4" s="464"/>
      <c r="AJ4" s="464"/>
      <c r="AK4" s="464"/>
      <c r="AL4" s="464"/>
      <c r="AM4" s="464"/>
      <c r="AN4" s="464"/>
      <c r="AO4" s="464"/>
      <c r="AP4" s="464"/>
      <c r="AQ4" s="464"/>
      <c r="AR4" s="464"/>
      <c r="AS4" s="464"/>
      <c r="AT4" s="464"/>
      <c r="AU4" s="464"/>
      <c r="AV4" s="464"/>
      <c r="AW4" s="464"/>
    </row>
    <row r="5" spans="1:49" x14ac:dyDescent="0.3">
      <c r="A5" s="464"/>
      <c r="B5" s="464"/>
      <c r="C5" s="464"/>
      <c r="D5" s="464"/>
      <c r="E5" s="464"/>
      <c r="F5" s="464"/>
      <c r="G5" s="464"/>
      <c r="H5" s="464"/>
      <c r="I5" s="464"/>
      <c r="J5" s="464"/>
      <c r="K5" s="464"/>
      <c r="L5" s="464"/>
      <c r="M5" s="464"/>
      <c r="N5" s="464"/>
      <c r="O5" s="464"/>
      <c r="P5" s="464"/>
      <c r="Q5" s="464"/>
      <c r="R5" s="464"/>
      <c r="S5" s="464"/>
      <c r="T5" s="464"/>
      <c r="U5" s="464"/>
      <c r="V5" s="464"/>
      <c r="W5" s="464"/>
      <c r="X5" s="464"/>
      <c r="Y5" s="464"/>
      <c r="Z5" s="464"/>
      <c r="AA5" s="464"/>
      <c r="AB5" s="464"/>
      <c r="AC5" s="464"/>
      <c r="AD5" s="464"/>
      <c r="AE5" s="464"/>
      <c r="AF5" s="464"/>
      <c r="AG5" s="464"/>
      <c r="AH5" s="464"/>
      <c r="AI5" s="464"/>
      <c r="AJ5" s="464"/>
      <c r="AK5" s="464"/>
      <c r="AL5" s="464"/>
      <c r="AM5" s="464"/>
      <c r="AN5" s="464"/>
      <c r="AO5" s="464"/>
      <c r="AP5" s="464"/>
      <c r="AQ5" s="464"/>
      <c r="AR5" s="464"/>
      <c r="AS5" s="464"/>
      <c r="AT5" s="464"/>
      <c r="AU5" s="464"/>
      <c r="AV5" s="464"/>
      <c r="AW5" s="464"/>
    </row>
    <row r="6" spans="1:49" x14ac:dyDescent="0.3">
      <c r="A6" s="464"/>
      <c r="B6" s="464"/>
      <c r="C6" s="464"/>
      <c r="D6" s="464"/>
      <c r="E6" s="464"/>
      <c r="F6" s="464"/>
      <c r="G6" s="464"/>
      <c r="H6" s="464"/>
      <c r="I6" s="464"/>
      <c r="J6" s="464"/>
      <c r="K6" s="464"/>
      <c r="L6" s="464"/>
      <c r="M6" s="464"/>
      <c r="N6" s="464"/>
      <c r="O6" s="464"/>
      <c r="P6" s="464"/>
      <c r="Q6" s="464"/>
      <c r="R6" s="464"/>
      <c r="S6" s="464"/>
      <c r="T6" s="464"/>
      <c r="U6" s="464"/>
      <c r="V6" s="464"/>
      <c r="W6" s="464"/>
      <c r="X6" s="464"/>
      <c r="Y6" s="464"/>
      <c r="Z6" s="464"/>
      <c r="AA6" s="464"/>
      <c r="AB6" s="464"/>
      <c r="AC6" s="464"/>
      <c r="AD6" s="464"/>
      <c r="AE6" s="464"/>
      <c r="AF6" s="464"/>
      <c r="AG6" s="464"/>
      <c r="AH6" s="464"/>
      <c r="AI6" s="464"/>
      <c r="AJ6" s="464"/>
      <c r="AK6" s="464"/>
      <c r="AL6" s="464"/>
      <c r="AM6" s="464"/>
      <c r="AN6" s="464"/>
      <c r="AO6" s="464"/>
      <c r="AP6" s="464"/>
      <c r="AQ6" s="464"/>
      <c r="AR6" s="464"/>
      <c r="AS6" s="464"/>
      <c r="AT6" s="464"/>
      <c r="AU6" s="464"/>
      <c r="AV6" s="464"/>
      <c r="AW6" s="464"/>
    </row>
    <row r="7" spans="1:49" x14ac:dyDescent="0.3">
      <c r="A7" s="464"/>
      <c r="B7" s="464"/>
      <c r="C7" s="464"/>
      <c r="D7" s="464"/>
      <c r="E7" s="464"/>
      <c r="F7" s="464"/>
      <c r="G7" s="464"/>
      <c r="H7" s="464"/>
      <c r="I7" s="464"/>
      <c r="J7" s="464"/>
      <c r="K7" s="464"/>
      <c r="L7" s="464"/>
      <c r="M7" s="464"/>
      <c r="N7" s="464"/>
      <c r="O7" s="464"/>
      <c r="P7" s="464"/>
      <c r="Q7" s="464"/>
      <c r="R7" s="464"/>
      <c r="S7" s="464"/>
      <c r="T7" s="464"/>
      <c r="U7" s="464"/>
      <c r="V7" s="464"/>
      <c r="W7" s="464"/>
      <c r="X7" s="464"/>
      <c r="Y7" s="464"/>
      <c r="Z7" s="464"/>
      <c r="AA7" s="464"/>
      <c r="AB7" s="464"/>
      <c r="AC7" s="464"/>
      <c r="AD7" s="464"/>
      <c r="AE7" s="464"/>
      <c r="AF7" s="464"/>
      <c r="AG7" s="464"/>
      <c r="AH7" s="464"/>
      <c r="AI7" s="464"/>
      <c r="AJ7" s="464"/>
      <c r="AK7" s="464"/>
      <c r="AL7" s="464"/>
      <c r="AM7" s="464"/>
      <c r="AN7" s="464"/>
      <c r="AO7" s="464"/>
      <c r="AP7" s="464"/>
      <c r="AQ7" s="464"/>
      <c r="AR7" s="464"/>
      <c r="AS7" s="464"/>
      <c r="AT7" s="464"/>
      <c r="AU7" s="464"/>
      <c r="AV7" s="464"/>
      <c r="AW7" s="464"/>
    </row>
    <row r="8" spans="1:49" ht="28.95" customHeight="1" x14ac:dyDescent="0.3"/>
    <row r="9" spans="1:49" ht="28.95" customHeight="1" x14ac:dyDescent="0.3"/>
    <row r="10" spans="1:49" ht="28.95" customHeight="1" x14ac:dyDescent="0.3"/>
    <row r="11" spans="1:49" ht="28.95" customHeight="1" thickBot="1" x14ac:dyDescent="0.35"/>
    <row r="12" spans="1:49" ht="28.95" customHeight="1" x14ac:dyDescent="0.3">
      <c r="H12" s="299" t="s">
        <v>394</v>
      </c>
      <c r="I12" s="300"/>
      <c r="J12" s="300"/>
      <c r="K12" s="300"/>
      <c r="L12" s="300"/>
      <c r="M12" s="301"/>
    </row>
    <row r="13" spans="1:49" ht="28.95" customHeight="1" x14ac:dyDescent="0.3">
      <c r="H13" s="305"/>
      <c r="I13" s="465"/>
      <c r="J13" s="465"/>
      <c r="K13" s="465"/>
      <c r="L13" s="465"/>
      <c r="M13" s="307"/>
    </row>
    <row r="14" spans="1:49" ht="28.95" customHeight="1" x14ac:dyDescent="0.3">
      <c r="H14" s="88"/>
      <c r="I14" s="338"/>
      <c r="J14" s="338"/>
      <c r="K14" s="338"/>
      <c r="L14" s="338"/>
      <c r="M14" s="89"/>
    </row>
    <row r="15" spans="1:49" ht="28.95" customHeight="1" x14ac:dyDescent="0.4">
      <c r="H15" s="90"/>
      <c r="I15" s="482" t="s">
        <v>392</v>
      </c>
      <c r="J15" s="468"/>
      <c r="K15" s="339"/>
      <c r="L15" s="467"/>
      <c r="M15" s="91"/>
    </row>
    <row r="16" spans="1:49" ht="28.95" customHeight="1" x14ac:dyDescent="0.4">
      <c r="H16" s="90"/>
      <c r="I16" s="483"/>
      <c r="J16" s="468"/>
      <c r="K16" s="339"/>
      <c r="L16" s="340"/>
      <c r="M16" s="91"/>
    </row>
    <row r="17" spans="8:13" ht="28.95" customHeight="1" x14ac:dyDescent="0.4">
      <c r="H17" s="92"/>
      <c r="I17" s="482" t="s">
        <v>393</v>
      </c>
      <c r="J17" s="469"/>
      <c r="K17" s="342"/>
      <c r="L17" s="470"/>
      <c r="M17" s="93"/>
    </row>
    <row r="18" spans="8:13" ht="28.95" customHeight="1" x14ac:dyDescent="0.4">
      <c r="H18" s="92"/>
      <c r="I18" s="484"/>
      <c r="J18" s="469"/>
      <c r="K18" s="342"/>
      <c r="L18" s="342"/>
      <c r="M18" s="93"/>
    </row>
    <row r="19" spans="8:13" ht="28.95" customHeight="1" x14ac:dyDescent="0.4">
      <c r="H19" s="92"/>
      <c r="I19" s="482" t="s">
        <v>384</v>
      </c>
      <c r="J19" s="469"/>
      <c r="K19" s="342"/>
      <c r="L19" s="470"/>
      <c r="M19" s="93"/>
    </row>
    <row r="20" spans="8:13" ht="28.95" customHeight="1" x14ac:dyDescent="0.35">
      <c r="H20" s="92"/>
      <c r="I20" s="484"/>
      <c r="J20" s="471"/>
      <c r="K20" s="342"/>
      <c r="L20" s="342"/>
      <c r="M20" s="93"/>
    </row>
    <row r="21" spans="8:13" ht="28.95" customHeight="1" x14ac:dyDescent="0.4">
      <c r="H21" s="92"/>
      <c r="I21" s="482" t="s">
        <v>225</v>
      </c>
      <c r="J21" s="471"/>
      <c r="K21" s="342"/>
      <c r="L21" s="485"/>
      <c r="M21" s="93"/>
    </row>
    <row r="22" spans="8:13" ht="28.95" customHeight="1" x14ac:dyDescent="0.35">
      <c r="H22" s="92"/>
      <c r="I22" s="486"/>
      <c r="J22" s="471"/>
      <c r="K22" s="342"/>
      <c r="L22" s="342"/>
      <c r="M22" s="93"/>
    </row>
    <row r="23" spans="8:13" ht="28.95" customHeight="1" x14ac:dyDescent="0.4">
      <c r="H23" s="92"/>
      <c r="I23" s="466"/>
      <c r="J23" s="471"/>
      <c r="K23" s="342"/>
      <c r="L23" s="342"/>
      <c r="M23" s="93"/>
    </row>
    <row r="24" spans="8:13" ht="28.95" customHeight="1" x14ac:dyDescent="0.35">
      <c r="H24" s="92"/>
      <c r="I24" s="471"/>
      <c r="J24" s="471"/>
      <c r="K24" s="342"/>
      <c r="L24" s="342"/>
      <c r="M24" s="93"/>
    </row>
    <row r="25" spans="8:13" ht="28.95" customHeight="1" x14ac:dyDescent="0.4">
      <c r="H25" s="92"/>
      <c r="I25" s="469"/>
      <c r="J25" s="471"/>
      <c r="K25" s="342"/>
      <c r="L25" s="342"/>
      <c r="M25" s="93"/>
    </row>
    <row r="26" spans="8:13" ht="28.95" customHeight="1" x14ac:dyDescent="0.35">
      <c r="H26" s="92"/>
      <c r="I26" s="471"/>
      <c r="J26" s="471"/>
      <c r="K26" s="343"/>
      <c r="L26" s="343"/>
      <c r="M26" s="94"/>
    </row>
    <row r="27" spans="8:13" ht="28.95" customHeight="1" thickBot="1" x14ac:dyDescent="0.45">
      <c r="H27" s="95"/>
      <c r="I27" s="349"/>
      <c r="J27" s="350"/>
      <c r="K27" s="97"/>
      <c r="L27" s="97"/>
      <c r="M27" s="98"/>
    </row>
    <row r="28" spans="8:13" ht="28.95" customHeight="1" x14ac:dyDescent="0.4">
      <c r="H28" s="487"/>
      <c r="I28" s="488"/>
      <c r="J28" s="487"/>
      <c r="K28" s="487"/>
      <c r="L28" s="489"/>
      <c r="M28" s="487"/>
    </row>
    <row r="29" spans="8:13" ht="28.95" customHeight="1" x14ac:dyDescent="0.3"/>
    <row r="30" spans="8:13" ht="28.95" customHeight="1" x14ac:dyDescent="0.3"/>
    <row r="31" spans="8:13" ht="28.95" customHeight="1" x14ac:dyDescent="0.3"/>
    <row r="32" spans="8:13" ht="28.95" customHeight="1" x14ac:dyDescent="0.3"/>
    <row r="33" ht="28.95" customHeight="1" x14ac:dyDescent="0.3"/>
    <row r="34" ht="28.95" customHeight="1" x14ac:dyDescent="0.3"/>
    <row r="35" ht="28.95" customHeight="1" x14ac:dyDescent="0.3"/>
    <row r="36" ht="28.95" customHeight="1" x14ac:dyDescent="0.3"/>
    <row r="37" ht="28.95" customHeight="1" x14ac:dyDescent="0.3"/>
    <row r="38" ht="28.95" customHeight="1" x14ac:dyDescent="0.3"/>
    <row r="39" ht="28.95" customHeight="1" x14ac:dyDescent="0.3"/>
    <row r="40" ht="28.95" customHeight="1" x14ac:dyDescent="0.3"/>
    <row r="41" ht="28.95" customHeight="1" x14ac:dyDescent="0.3"/>
    <row r="42" ht="28.95" customHeight="1" x14ac:dyDescent="0.3"/>
    <row r="43" ht="28.95" customHeight="1" x14ac:dyDescent="0.3"/>
    <row r="44" ht="28.95" customHeight="1" x14ac:dyDescent="0.3"/>
    <row r="45" ht="28.95" customHeight="1" x14ac:dyDescent="0.3"/>
    <row r="46" ht="28.95" customHeight="1" x14ac:dyDescent="0.3"/>
    <row r="47" ht="28.95" customHeight="1" x14ac:dyDescent="0.3"/>
    <row r="48" ht="28.95" customHeight="1" x14ac:dyDescent="0.3"/>
    <row r="49" ht="28.95" customHeight="1" x14ac:dyDescent="0.3"/>
    <row r="50" ht="28.95" customHeight="1" x14ac:dyDescent="0.3"/>
    <row r="51" ht="28.95" customHeight="1" x14ac:dyDescent="0.3"/>
    <row r="52" ht="28.95" customHeight="1" x14ac:dyDescent="0.3"/>
    <row r="53" ht="28.95" customHeight="1" x14ac:dyDescent="0.3"/>
    <row r="54" ht="28.95" customHeight="1" x14ac:dyDescent="0.3"/>
    <row r="55" ht="28.95" customHeight="1" x14ac:dyDescent="0.3"/>
    <row r="56" ht="28.95" customHeight="1" x14ac:dyDescent="0.3"/>
    <row r="57" ht="28.95" customHeight="1" x14ac:dyDescent="0.3"/>
    <row r="58" ht="28.95" customHeight="1" x14ac:dyDescent="0.3"/>
    <row r="59" ht="28.95" customHeight="1" x14ac:dyDescent="0.3"/>
    <row r="60" ht="28.95" customHeight="1" x14ac:dyDescent="0.3"/>
    <row r="61" ht="28.95" customHeight="1" x14ac:dyDescent="0.3"/>
    <row r="62" ht="28.95" customHeight="1" x14ac:dyDescent="0.3"/>
    <row r="63" ht="28.95" customHeight="1" x14ac:dyDescent="0.3"/>
    <row r="64" ht="28.95" customHeight="1" x14ac:dyDescent="0.3"/>
    <row r="65" ht="28.95" customHeight="1" x14ac:dyDescent="0.3"/>
    <row r="66" ht="28.95" customHeight="1" x14ac:dyDescent="0.3"/>
  </sheetData>
  <mergeCells count="1">
    <mergeCell ref="H12:M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079E5-B22D-4F1E-8D48-67C3AA73FF89}">
  <sheetPr codeName="Planilha50">
    <tabColor rgb="FFFF0000"/>
  </sheetPr>
  <dimension ref="A1:AW66"/>
  <sheetViews>
    <sheetView zoomScale="40" zoomScaleNormal="40" workbookViewId="0">
      <selection activeCell="G30" sqref="G30"/>
    </sheetView>
  </sheetViews>
  <sheetFormatPr defaultColWidth="8.88671875" defaultRowHeight="14.4" x14ac:dyDescent="0.3"/>
  <cols>
    <col min="1" max="4" width="8.88671875" style="100"/>
    <col min="5" max="5" width="72.33203125" style="100" bestFit="1" customWidth="1"/>
    <col min="6" max="6" width="23.33203125" style="100" bestFit="1" customWidth="1"/>
    <col min="7" max="7" width="26" style="100" customWidth="1"/>
    <col min="8" max="8" width="15.33203125" style="100" customWidth="1"/>
    <col min="9" max="9" width="22.88671875" style="100" bestFit="1" customWidth="1"/>
    <col min="10" max="10" width="27.88671875" style="100" bestFit="1" customWidth="1"/>
    <col min="11" max="11" width="29.5546875" style="100" customWidth="1"/>
    <col min="12" max="12" width="40.44140625" style="100" customWidth="1"/>
    <col min="13" max="13" width="19.33203125" style="100" customWidth="1"/>
    <col min="14" max="14" width="47.88671875" style="100" bestFit="1" customWidth="1"/>
    <col min="15" max="15" width="29.33203125" style="100" customWidth="1"/>
    <col min="16" max="16" width="73.44140625" style="100" customWidth="1"/>
    <col min="17" max="17" width="15.55468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464"/>
      <c r="B4" s="464"/>
      <c r="C4" s="464"/>
      <c r="D4" s="464"/>
      <c r="E4" s="464"/>
      <c r="F4" s="464"/>
      <c r="G4" s="464"/>
      <c r="H4" s="464"/>
      <c r="I4" s="464"/>
      <c r="J4" s="464"/>
      <c r="K4" s="464"/>
      <c r="L4" s="464"/>
      <c r="M4" s="464"/>
      <c r="N4" s="464"/>
      <c r="O4" s="464"/>
      <c r="P4" s="464"/>
      <c r="Q4" s="464"/>
      <c r="R4" s="464"/>
      <c r="S4" s="464"/>
      <c r="T4" s="464"/>
      <c r="U4" s="464"/>
      <c r="V4" s="464"/>
      <c r="W4" s="464"/>
      <c r="X4" s="464"/>
      <c r="Y4" s="464"/>
      <c r="Z4" s="464"/>
      <c r="AA4" s="464"/>
      <c r="AB4" s="464"/>
      <c r="AC4" s="464"/>
      <c r="AD4" s="464"/>
      <c r="AE4" s="464"/>
      <c r="AF4" s="464"/>
      <c r="AG4" s="464"/>
      <c r="AH4" s="464"/>
      <c r="AI4" s="464"/>
      <c r="AJ4" s="464"/>
      <c r="AK4" s="464"/>
      <c r="AL4" s="464"/>
      <c r="AM4" s="464"/>
      <c r="AN4" s="464"/>
      <c r="AO4" s="464"/>
      <c r="AP4" s="464"/>
      <c r="AQ4" s="464"/>
      <c r="AR4" s="464"/>
      <c r="AS4" s="464"/>
      <c r="AT4" s="464"/>
      <c r="AU4" s="464"/>
      <c r="AV4" s="464"/>
      <c r="AW4" s="464"/>
    </row>
    <row r="5" spans="1:49" x14ac:dyDescent="0.3">
      <c r="A5" s="464"/>
      <c r="B5" s="464"/>
      <c r="C5" s="464"/>
      <c r="D5" s="464"/>
      <c r="E5" s="464"/>
      <c r="F5" s="464"/>
      <c r="G5" s="464"/>
      <c r="H5" s="464"/>
      <c r="I5" s="464"/>
      <c r="J5" s="464"/>
      <c r="K5" s="464"/>
      <c r="L5" s="464"/>
      <c r="M5" s="464"/>
      <c r="N5" s="464"/>
      <c r="O5" s="464"/>
      <c r="P5" s="464"/>
      <c r="Q5" s="464"/>
      <c r="R5" s="464"/>
      <c r="S5" s="464"/>
      <c r="T5" s="464"/>
      <c r="U5" s="464"/>
      <c r="V5" s="464"/>
      <c r="W5" s="464"/>
      <c r="X5" s="464"/>
      <c r="Y5" s="464"/>
      <c r="Z5" s="464"/>
      <c r="AA5" s="464"/>
      <c r="AB5" s="464"/>
      <c r="AC5" s="464"/>
      <c r="AD5" s="464"/>
      <c r="AE5" s="464"/>
      <c r="AF5" s="464"/>
      <c r="AG5" s="464"/>
      <c r="AH5" s="464"/>
      <c r="AI5" s="464"/>
      <c r="AJ5" s="464"/>
      <c r="AK5" s="464"/>
      <c r="AL5" s="464"/>
      <c r="AM5" s="464"/>
      <c r="AN5" s="464"/>
      <c r="AO5" s="464"/>
      <c r="AP5" s="464"/>
      <c r="AQ5" s="464"/>
      <c r="AR5" s="464"/>
      <c r="AS5" s="464"/>
      <c r="AT5" s="464"/>
      <c r="AU5" s="464"/>
      <c r="AV5" s="464"/>
      <c r="AW5" s="464"/>
    </row>
    <row r="6" spans="1:49" x14ac:dyDescent="0.3">
      <c r="A6" s="464"/>
      <c r="B6" s="464"/>
      <c r="C6" s="464"/>
      <c r="D6" s="464"/>
      <c r="E6" s="464"/>
      <c r="F6" s="464"/>
      <c r="G6" s="464"/>
      <c r="H6" s="464"/>
      <c r="I6" s="464"/>
      <c r="J6" s="464"/>
      <c r="K6" s="464"/>
      <c r="L6" s="464"/>
      <c r="M6" s="464"/>
      <c r="N6" s="464"/>
      <c r="O6" s="464"/>
      <c r="P6" s="464"/>
      <c r="Q6" s="464"/>
      <c r="R6" s="464"/>
      <c r="S6" s="464"/>
      <c r="T6" s="464"/>
      <c r="U6" s="464"/>
      <c r="V6" s="464"/>
      <c r="W6" s="464"/>
      <c r="X6" s="464"/>
      <c r="Y6" s="464"/>
      <c r="Z6" s="464"/>
      <c r="AA6" s="464"/>
      <c r="AB6" s="464"/>
      <c r="AC6" s="464"/>
      <c r="AD6" s="464"/>
      <c r="AE6" s="464"/>
      <c r="AF6" s="464"/>
      <c r="AG6" s="464"/>
      <c r="AH6" s="464"/>
      <c r="AI6" s="464"/>
      <c r="AJ6" s="464"/>
      <c r="AK6" s="464"/>
      <c r="AL6" s="464"/>
      <c r="AM6" s="464"/>
      <c r="AN6" s="464"/>
      <c r="AO6" s="464"/>
      <c r="AP6" s="464"/>
      <c r="AQ6" s="464"/>
      <c r="AR6" s="464"/>
      <c r="AS6" s="464"/>
      <c r="AT6" s="464"/>
      <c r="AU6" s="464"/>
      <c r="AV6" s="464"/>
      <c r="AW6" s="464"/>
    </row>
    <row r="7" spans="1:49" x14ac:dyDescent="0.3">
      <c r="A7" s="464"/>
      <c r="B7" s="464"/>
      <c r="C7" s="464"/>
      <c r="D7" s="464"/>
      <c r="E7" s="464"/>
      <c r="F7" s="464"/>
      <c r="G7" s="464"/>
      <c r="H7" s="464"/>
      <c r="I7" s="464"/>
      <c r="J7" s="464"/>
      <c r="K7" s="464"/>
      <c r="L7" s="464"/>
      <c r="M7" s="464"/>
      <c r="N7" s="464"/>
      <c r="O7" s="464"/>
      <c r="P7" s="464"/>
      <c r="Q7" s="464"/>
      <c r="R7" s="464"/>
      <c r="S7" s="464"/>
      <c r="T7" s="464"/>
      <c r="U7" s="464"/>
      <c r="V7" s="464"/>
      <c r="W7" s="464"/>
      <c r="X7" s="464"/>
      <c r="Y7" s="464"/>
      <c r="Z7" s="464"/>
      <c r="AA7" s="464"/>
      <c r="AB7" s="464"/>
      <c r="AC7" s="464"/>
      <c r="AD7" s="464"/>
      <c r="AE7" s="464"/>
      <c r="AF7" s="464"/>
      <c r="AG7" s="464"/>
      <c r="AH7" s="464"/>
      <c r="AI7" s="464"/>
      <c r="AJ7" s="464"/>
      <c r="AK7" s="464"/>
      <c r="AL7" s="464"/>
      <c r="AM7" s="464"/>
      <c r="AN7" s="464"/>
      <c r="AO7" s="464"/>
      <c r="AP7" s="464"/>
      <c r="AQ7" s="464"/>
      <c r="AR7" s="464"/>
      <c r="AS7" s="464"/>
      <c r="AT7" s="464"/>
      <c r="AU7" s="464"/>
      <c r="AV7" s="464"/>
      <c r="AW7" s="464"/>
    </row>
    <row r="8" spans="1:49" ht="28.95" customHeight="1" x14ac:dyDescent="0.3"/>
    <row r="9" spans="1:49" ht="28.95" customHeight="1" x14ac:dyDescent="0.3"/>
    <row r="10" spans="1:49" ht="28.95" customHeight="1" x14ac:dyDescent="0.3"/>
    <row r="11" spans="1:49" ht="28.95" customHeight="1" thickBot="1" x14ac:dyDescent="0.35"/>
    <row r="12" spans="1:49" ht="28.95" customHeight="1" x14ac:dyDescent="0.3">
      <c r="H12" s="299" t="s">
        <v>580</v>
      </c>
      <c r="I12" s="300"/>
      <c r="J12" s="300"/>
      <c r="K12" s="300"/>
      <c r="L12" s="300"/>
      <c r="M12" s="301"/>
    </row>
    <row r="13" spans="1:49" ht="28.95" customHeight="1" x14ac:dyDescent="0.3">
      <c r="H13" s="305"/>
      <c r="I13" s="465"/>
      <c r="J13" s="465"/>
      <c r="K13" s="465"/>
      <c r="L13" s="465"/>
      <c r="M13" s="307"/>
    </row>
    <row r="14" spans="1:49" ht="28.95" customHeight="1" x14ac:dyDescent="0.3">
      <c r="H14" s="88"/>
      <c r="I14" s="338"/>
      <c r="J14" s="338"/>
      <c r="K14" s="338"/>
      <c r="L14" s="338"/>
      <c r="M14" s="89"/>
    </row>
    <row r="15" spans="1:49" ht="28.95" customHeight="1" x14ac:dyDescent="0.4">
      <c r="H15" s="90"/>
      <c r="I15" s="466" t="s">
        <v>387</v>
      </c>
      <c r="J15" s="468"/>
      <c r="K15" s="339"/>
      <c r="L15" s="84"/>
      <c r="M15" s="91"/>
    </row>
    <row r="16" spans="1:49" ht="28.95" customHeight="1" x14ac:dyDescent="0.4">
      <c r="H16" s="90"/>
      <c r="I16" s="466"/>
      <c r="J16" s="468"/>
      <c r="K16" s="339"/>
      <c r="L16" s="340"/>
      <c r="M16" s="91"/>
    </row>
    <row r="17" spans="8:13" ht="28.95" customHeight="1" x14ac:dyDescent="0.4">
      <c r="H17" s="92"/>
      <c r="I17" s="466" t="s">
        <v>388</v>
      </c>
      <c r="J17" s="469"/>
      <c r="K17" s="342"/>
      <c r="L17" s="85"/>
      <c r="M17" s="93"/>
    </row>
    <row r="18" spans="8:13" ht="28.95" customHeight="1" x14ac:dyDescent="0.4">
      <c r="H18" s="92"/>
      <c r="I18" s="466"/>
      <c r="J18" s="469"/>
      <c r="K18" s="342"/>
      <c r="L18" s="342"/>
      <c r="M18" s="93"/>
    </row>
    <row r="19" spans="8:13" ht="28.95" customHeight="1" x14ac:dyDescent="0.4">
      <c r="H19" s="92"/>
      <c r="I19" s="466" t="s">
        <v>389</v>
      </c>
      <c r="J19" s="469"/>
      <c r="K19" s="342"/>
      <c r="L19" s="85"/>
      <c r="M19" s="93"/>
    </row>
    <row r="20" spans="8:13" ht="28.95" customHeight="1" x14ac:dyDescent="0.4">
      <c r="H20" s="92"/>
      <c r="I20" s="466"/>
      <c r="J20" s="471"/>
      <c r="K20" s="342"/>
      <c r="L20" s="342"/>
      <c r="M20" s="93"/>
    </row>
    <row r="21" spans="8:13" ht="28.95" customHeight="1" x14ac:dyDescent="0.4">
      <c r="H21" s="92"/>
      <c r="I21" s="466" t="s">
        <v>390</v>
      </c>
      <c r="J21" s="471"/>
      <c r="K21" s="342"/>
      <c r="L21" s="86"/>
      <c r="M21" s="93"/>
    </row>
    <row r="22" spans="8:13" ht="28.95" customHeight="1" x14ac:dyDescent="0.35">
      <c r="H22" s="92"/>
      <c r="I22" s="486"/>
      <c r="J22" s="471"/>
      <c r="K22" s="342"/>
      <c r="L22" s="342"/>
      <c r="M22" s="93"/>
    </row>
    <row r="23" spans="8:13" ht="28.95" customHeight="1" x14ac:dyDescent="0.4">
      <c r="H23" s="92"/>
      <c r="I23" s="466" t="s">
        <v>391</v>
      </c>
      <c r="J23" s="471"/>
      <c r="K23" s="342"/>
      <c r="L23" s="85"/>
      <c r="M23" s="93"/>
    </row>
    <row r="24" spans="8:13" ht="28.95" customHeight="1" x14ac:dyDescent="0.35">
      <c r="H24" s="92"/>
      <c r="I24" s="471"/>
      <c r="J24" s="471"/>
      <c r="K24" s="342"/>
      <c r="L24" s="342"/>
      <c r="M24" s="93"/>
    </row>
    <row r="25" spans="8:13" ht="28.95" customHeight="1" x14ac:dyDescent="0.4">
      <c r="H25" s="92"/>
      <c r="I25" s="469"/>
      <c r="J25" s="471"/>
      <c r="K25" s="342"/>
      <c r="L25" s="342"/>
      <c r="M25" s="93"/>
    </row>
    <row r="26" spans="8:13" ht="28.95" customHeight="1" x14ac:dyDescent="0.35">
      <c r="H26" s="92"/>
      <c r="I26" s="471"/>
      <c r="J26" s="471"/>
      <c r="K26" s="343"/>
      <c r="L26" s="343"/>
      <c r="M26" s="94"/>
    </row>
    <row r="27" spans="8:13" ht="28.95" customHeight="1" x14ac:dyDescent="0.4">
      <c r="H27" s="92"/>
      <c r="I27" s="469"/>
      <c r="J27" s="471"/>
      <c r="K27" s="343"/>
      <c r="L27" s="343"/>
      <c r="M27" s="94"/>
    </row>
    <row r="28" spans="8:13" ht="28.95" customHeight="1" thickBot="1" x14ac:dyDescent="0.45">
      <c r="H28" s="344"/>
      <c r="I28" s="345"/>
      <c r="J28" s="346"/>
      <c r="K28" s="346"/>
      <c r="L28" s="347"/>
      <c r="M28" s="348"/>
    </row>
    <row r="29" spans="8:13" ht="28.95" customHeight="1" x14ac:dyDescent="0.3"/>
    <row r="30" spans="8:13" ht="28.95" customHeight="1" x14ac:dyDescent="0.3"/>
    <row r="31" spans="8:13" ht="28.95" customHeight="1" x14ac:dyDescent="0.3"/>
    <row r="32" spans="8:13" ht="28.95" customHeight="1" x14ac:dyDescent="0.3"/>
    <row r="33" ht="28.95" customHeight="1" x14ac:dyDescent="0.3"/>
    <row r="34" ht="28.95" customHeight="1" x14ac:dyDescent="0.3"/>
    <row r="35" ht="28.95" customHeight="1" x14ac:dyDescent="0.3"/>
    <row r="36" ht="28.95" customHeight="1" x14ac:dyDescent="0.3"/>
    <row r="37" ht="28.95" customHeight="1" x14ac:dyDescent="0.3"/>
    <row r="38" ht="28.95" customHeight="1" x14ac:dyDescent="0.3"/>
    <row r="39" ht="28.95" customHeight="1" x14ac:dyDescent="0.3"/>
    <row r="40" ht="28.95" customHeight="1" x14ac:dyDescent="0.3"/>
    <row r="41" ht="28.95" customHeight="1" x14ac:dyDescent="0.3"/>
    <row r="42" ht="28.95" customHeight="1" x14ac:dyDescent="0.3"/>
    <row r="43" ht="28.95" customHeight="1" x14ac:dyDescent="0.3"/>
    <row r="44" ht="28.95" customHeight="1" x14ac:dyDescent="0.3"/>
    <row r="45" ht="28.95" customHeight="1" x14ac:dyDescent="0.3"/>
    <row r="46" ht="28.95" customHeight="1" x14ac:dyDescent="0.3"/>
    <row r="47" ht="28.95" customHeight="1" x14ac:dyDescent="0.3"/>
    <row r="48" ht="28.95" customHeight="1" x14ac:dyDescent="0.3"/>
    <row r="49" ht="28.95" customHeight="1" x14ac:dyDescent="0.3"/>
    <row r="50" ht="28.95" customHeight="1" x14ac:dyDescent="0.3"/>
    <row r="51" ht="28.95" customHeight="1" x14ac:dyDescent="0.3"/>
    <row r="52" ht="28.95" customHeight="1" x14ac:dyDescent="0.3"/>
    <row r="53" ht="28.95" customHeight="1" x14ac:dyDescent="0.3"/>
    <row r="54" ht="28.95" customHeight="1" x14ac:dyDescent="0.3"/>
    <row r="55" ht="28.95" customHeight="1" x14ac:dyDescent="0.3"/>
    <row r="56" ht="28.95" customHeight="1" x14ac:dyDescent="0.3"/>
    <row r="57" ht="28.95" customHeight="1" x14ac:dyDescent="0.3"/>
    <row r="58" ht="28.95" customHeight="1" x14ac:dyDescent="0.3"/>
    <row r="59" ht="28.95" customHeight="1" x14ac:dyDescent="0.3"/>
    <row r="60" ht="28.95" customHeight="1" x14ac:dyDescent="0.3"/>
    <row r="61" ht="28.95" customHeight="1" x14ac:dyDescent="0.3"/>
    <row r="62" ht="28.95" customHeight="1" x14ac:dyDescent="0.3"/>
    <row r="63" ht="28.95" customHeight="1" x14ac:dyDescent="0.3"/>
    <row r="64" ht="28.95" customHeight="1" x14ac:dyDescent="0.3"/>
    <row r="65" ht="28.95" customHeight="1" x14ac:dyDescent="0.3"/>
    <row r="66" ht="28.95" customHeight="1" x14ac:dyDescent="0.3"/>
  </sheetData>
  <mergeCells count="1">
    <mergeCell ref="H12:M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CD72E-1216-48CB-BFDD-756DE08954F9}">
  <sheetPr codeName="Planilha52">
    <tabColor rgb="FFFF0000"/>
  </sheetPr>
  <dimension ref="A1:AW66"/>
  <sheetViews>
    <sheetView zoomScale="40" zoomScaleNormal="40" workbookViewId="0"/>
  </sheetViews>
  <sheetFormatPr defaultColWidth="8.88671875" defaultRowHeight="14.4" x14ac:dyDescent="0.3"/>
  <cols>
    <col min="1" max="4" width="8.88671875" style="100"/>
    <col min="5" max="5" width="43" style="100" bestFit="1" customWidth="1"/>
    <col min="6" max="6" width="13.6640625" style="100" bestFit="1" customWidth="1"/>
    <col min="7" max="7" width="19.109375" style="100" customWidth="1"/>
    <col min="8" max="8" width="28" style="100" customWidth="1"/>
    <col min="9" max="9" width="22.88671875" style="100" bestFit="1" customWidth="1"/>
    <col min="10" max="10" width="25" style="100" customWidth="1"/>
    <col min="11" max="11" width="43" style="100" bestFit="1" customWidth="1"/>
    <col min="12" max="12" width="40.44140625" style="100" customWidth="1"/>
    <col min="13" max="13" width="19.33203125" style="100" customWidth="1"/>
    <col min="14" max="14" width="47.88671875" style="100" bestFit="1" customWidth="1"/>
    <col min="15" max="15" width="29.33203125" style="100" customWidth="1"/>
    <col min="16" max="16" width="73.44140625" style="100" customWidth="1"/>
    <col min="17" max="17" width="15.55468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464"/>
      <c r="B4" s="464"/>
      <c r="C4" s="464"/>
      <c r="D4" s="464"/>
      <c r="E4" s="464"/>
      <c r="F4" s="464"/>
      <c r="G4" s="464"/>
      <c r="H4" s="464"/>
      <c r="I4" s="464"/>
      <c r="J4" s="464"/>
      <c r="K4" s="464"/>
      <c r="L4" s="464"/>
      <c r="M4" s="464"/>
      <c r="N4" s="464"/>
      <c r="O4" s="464"/>
      <c r="P4" s="464"/>
      <c r="Q4" s="464"/>
      <c r="R4" s="464"/>
      <c r="S4" s="464"/>
      <c r="T4" s="464"/>
      <c r="U4" s="464"/>
      <c r="V4" s="464"/>
      <c r="W4" s="464"/>
      <c r="X4" s="464"/>
      <c r="Y4" s="464"/>
      <c r="Z4" s="464"/>
      <c r="AA4" s="464"/>
      <c r="AB4" s="464"/>
      <c r="AC4" s="464"/>
      <c r="AD4" s="464"/>
      <c r="AE4" s="464"/>
      <c r="AF4" s="464"/>
      <c r="AG4" s="464"/>
      <c r="AH4" s="464"/>
      <c r="AI4" s="464"/>
      <c r="AJ4" s="464"/>
      <c r="AK4" s="464"/>
      <c r="AL4" s="464"/>
      <c r="AM4" s="464"/>
      <c r="AN4" s="464"/>
      <c r="AO4" s="464"/>
      <c r="AP4" s="464"/>
      <c r="AQ4" s="464"/>
      <c r="AR4" s="464"/>
      <c r="AS4" s="464"/>
      <c r="AT4" s="464"/>
      <c r="AU4" s="464"/>
      <c r="AV4" s="464"/>
      <c r="AW4" s="464"/>
    </row>
    <row r="5" spans="1:49" x14ac:dyDescent="0.3">
      <c r="A5" s="464"/>
      <c r="B5" s="464"/>
      <c r="C5" s="464"/>
      <c r="D5" s="464"/>
      <c r="E5" s="464"/>
      <c r="F5" s="464"/>
      <c r="G5" s="464"/>
      <c r="H5" s="464"/>
      <c r="I5" s="464"/>
      <c r="J5" s="464"/>
      <c r="K5" s="464"/>
      <c r="L5" s="464"/>
      <c r="M5" s="464"/>
      <c r="N5" s="464"/>
      <c r="O5" s="464"/>
      <c r="P5" s="464"/>
      <c r="Q5" s="464"/>
      <c r="R5" s="464"/>
      <c r="S5" s="464"/>
      <c r="T5" s="464"/>
      <c r="U5" s="464"/>
      <c r="V5" s="464"/>
      <c r="W5" s="464"/>
      <c r="X5" s="464"/>
      <c r="Y5" s="464"/>
      <c r="Z5" s="464"/>
      <c r="AA5" s="464"/>
      <c r="AB5" s="464"/>
      <c r="AC5" s="464"/>
      <c r="AD5" s="464"/>
      <c r="AE5" s="464"/>
      <c r="AF5" s="464"/>
      <c r="AG5" s="464"/>
      <c r="AH5" s="464"/>
      <c r="AI5" s="464"/>
      <c r="AJ5" s="464"/>
      <c r="AK5" s="464"/>
      <c r="AL5" s="464"/>
      <c r="AM5" s="464"/>
      <c r="AN5" s="464"/>
      <c r="AO5" s="464"/>
      <c r="AP5" s="464"/>
      <c r="AQ5" s="464"/>
      <c r="AR5" s="464"/>
      <c r="AS5" s="464"/>
      <c r="AT5" s="464"/>
      <c r="AU5" s="464"/>
      <c r="AV5" s="464"/>
      <c r="AW5" s="464"/>
    </row>
    <row r="6" spans="1:49" x14ac:dyDescent="0.3">
      <c r="A6" s="464"/>
      <c r="B6" s="464"/>
      <c r="C6" s="464"/>
      <c r="D6" s="464"/>
      <c r="E6" s="464"/>
      <c r="F6" s="464"/>
      <c r="G6" s="464"/>
      <c r="H6" s="464"/>
      <c r="I6" s="464"/>
      <c r="J6" s="464"/>
      <c r="K6" s="464"/>
      <c r="L6" s="464"/>
      <c r="M6" s="464"/>
      <c r="N6" s="464"/>
      <c r="O6" s="464"/>
      <c r="P6" s="464"/>
      <c r="Q6" s="464"/>
      <c r="R6" s="464"/>
      <c r="S6" s="464"/>
      <c r="T6" s="464"/>
      <c r="U6" s="464"/>
      <c r="V6" s="464"/>
      <c r="W6" s="464"/>
      <c r="X6" s="464"/>
      <c r="Y6" s="464"/>
      <c r="Z6" s="464"/>
      <c r="AA6" s="464"/>
      <c r="AB6" s="464"/>
      <c r="AC6" s="464"/>
      <c r="AD6" s="464"/>
      <c r="AE6" s="464"/>
      <c r="AF6" s="464"/>
      <c r="AG6" s="464"/>
      <c r="AH6" s="464"/>
      <c r="AI6" s="464"/>
      <c r="AJ6" s="464"/>
      <c r="AK6" s="464"/>
      <c r="AL6" s="464"/>
      <c r="AM6" s="464"/>
      <c r="AN6" s="464"/>
      <c r="AO6" s="464"/>
      <c r="AP6" s="464"/>
      <c r="AQ6" s="464"/>
      <c r="AR6" s="464"/>
      <c r="AS6" s="464"/>
      <c r="AT6" s="464"/>
      <c r="AU6" s="464"/>
      <c r="AV6" s="464"/>
      <c r="AW6" s="464"/>
    </row>
    <row r="7" spans="1:49" x14ac:dyDescent="0.3">
      <c r="A7" s="464"/>
      <c r="B7" s="464"/>
      <c r="C7" s="464"/>
      <c r="D7" s="464"/>
      <c r="E7" s="464"/>
      <c r="F7" s="464"/>
      <c r="G7" s="464"/>
      <c r="H7" s="464"/>
      <c r="I7" s="464"/>
      <c r="J7" s="464"/>
      <c r="K7" s="464"/>
      <c r="L7" s="464"/>
      <c r="M7" s="464"/>
      <c r="N7" s="464"/>
      <c r="O7" s="464"/>
      <c r="P7" s="464"/>
      <c r="Q7" s="464"/>
      <c r="R7" s="464"/>
      <c r="S7" s="464"/>
      <c r="T7" s="464"/>
      <c r="U7" s="464"/>
      <c r="V7" s="464"/>
      <c r="W7" s="464"/>
      <c r="X7" s="464"/>
      <c r="Y7" s="464"/>
      <c r="Z7" s="464"/>
      <c r="AA7" s="464"/>
      <c r="AB7" s="464"/>
      <c r="AC7" s="464"/>
      <c r="AD7" s="464"/>
      <c r="AE7" s="464"/>
      <c r="AF7" s="464"/>
      <c r="AG7" s="464"/>
      <c r="AH7" s="464"/>
      <c r="AI7" s="464"/>
      <c r="AJ7" s="464"/>
      <c r="AK7" s="464"/>
      <c r="AL7" s="464"/>
      <c r="AM7" s="464"/>
      <c r="AN7" s="464"/>
      <c r="AO7" s="464"/>
      <c r="AP7" s="464"/>
      <c r="AQ7" s="464"/>
      <c r="AR7" s="464"/>
      <c r="AS7" s="464"/>
      <c r="AT7" s="464"/>
      <c r="AU7" s="464"/>
      <c r="AV7" s="464"/>
      <c r="AW7" s="464"/>
    </row>
    <row r="8" spans="1:49" ht="28.95" customHeight="1" x14ac:dyDescent="0.3"/>
    <row r="9" spans="1:49" ht="28.95" customHeight="1" x14ac:dyDescent="0.3"/>
    <row r="10" spans="1:49" ht="28.95" customHeight="1" x14ac:dyDescent="0.3"/>
    <row r="11" spans="1:49" ht="28.95" customHeight="1" x14ac:dyDescent="0.3">
      <c r="K11" s="151" t="s">
        <v>392</v>
      </c>
      <c r="L11" s="151" t="s">
        <v>393</v>
      </c>
      <c r="M11" s="151" t="s">
        <v>384</v>
      </c>
      <c r="N11" s="151" t="s">
        <v>225</v>
      </c>
    </row>
    <row r="12" spans="1:49" ht="28.95" customHeight="1" x14ac:dyDescent="0.4">
      <c r="H12" s="487"/>
      <c r="I12" s="488"/>
      <c r="J12" s="487"/>
      <c r="K12" s="467" t="s">
        <v>742</v>
      </c>
      <c r="L12" s="470" t="s">
        <v>742</v>
      </c>
      <c r="M12" s="470" t="s">
        <v>742</v>
      </c>
      <c r="N12" s="485" t="s">
        <v>742</v>
      </c>
    </row>
    <row r="13" spans="1:49" ht="28.95" customHeight="1" x14ac:dyDescent="0.3">
      <c r="K13" s="84"/>
      <c r="L13" s="85"/>
      <c r="M13" s="85"/>
      <c r="N13" s="86"/>
    </row>
    <row r="14" spans="1:49" ht="28.95" customHeight="1" x14ac:dyDescent="0.3">
      <c r="K14" s="487"/>
      <c r="L14" s="489"/>
      <c r="M14" s="487"/>
    </row>
    <row r="15" spans="1:49" ht="28.95" customHeight="1" x14ac:dyDescent="0.3"/>
    <row r="16" spans="1:49" ht="28.95" customHeight="1" x14ac:dyDescent="0.3"/>
    <row r="17" ht="28.95" customHeight="1" x14ac:dyDescent="0.3"/>
    <row r="18" ht="28.95" customHeight="1" x14ac:dyDescent="0.3"/>
    <row r="19" ht="28.95" customHeight="1" x14ac:dyDescent="0.3"/>
    <row r="20" ht="28.95" customHeight="1" x14ac:dyDescent="0.3"/>
    <row r="21" ht="28.95" customHeight="1" x14ac:dyDescent="0.3"/>
    <row r="22" ht="28.95" customHeight="1" x14ac:dyDescent="0.3"/>
    <row r="23" ht="28.95" customHeight="1" x14ac:dyDescent="0.3"/>
    <row r="24" ht="28.95" customHeight="1" x14ac:dyDescent="0.3"/>
    <row r="25" ht="28.95" customHeight="1" x14ac:dyDescent="0.3"/>
    <row r="26" ht="28.95" customHeight="1" x14ac:dyDescent="0.3"/>
    <row r="27" ht="28.95" customHeight="1" x14ac:dyDescent="0.3"/>
    <row r="28" ht="28.95" customHeight="1" x14ac:dyDescent="0.3"/>
    <row r="29" ht="28.95" customHeight="1" x14ac:dyDescent="0.3"/>
    <row r="30" ht="28.95" customHeight="1" x14ac:dyDescent="0.3"/>
    <row r="31" ht="28.95" customHeight="1" x14ac:dyDescent="0.3"/>
    <row r="32" ht="28.95" customHeight="1" x14ac:dyDescent="0.3"/>
    <row r="33" ht="28.95" customHeight="1" x14ac:dyDescent="0.3"/>
    <row r="34" ht="28.95" customHeight="1" x14ac:dyDescent="0.3"/>
    <row r="35" ht="28.95" customHeight="1" x14ac:dyDescent="0.3"/>
    <row r="36" ht="28.95" customHeight="1" x14ac:dyDescent="0.3"/>
    <row r="37" ht="28.95" customHeight="1" x14ac:dyDescent="0.3"/>
    <row r="38" ht="28.95" customHeight="1" x14ac:dyDescent="0.3"/>
    <row r="39" ht="28.95" customHeight="1" x14ac:dyDescent="0.3"/>
    <row r="40" ht="28.95" customHeight="1" x14ac:dyDescent="0.3"/>
    <row r="41" ht="28.95" customHeight="1" x14ac:dyDescent="0.3"/>
    <row r="42" ht="28.95" customHeight="1" x14ac:dyDescent="0.3"/>
    <row r="43" ht="28.95" customHeight="1" x14ac:dyDescent="0.3"/>
    <row r="44" ht="28.95" customHeight="1" x14ac:dyDescent="0.3"/>
    <row r="45" ht="28.95" customHeight="1" x14ac:dyDescent="0.3"/>
    <row r="46" ht="28.95" customHeight="1" x14ac:dyDescent="0.3"/>
    <row r="47" ht="28.95" customHeight="1" x14ac:dyDescent="0.3"/>
    <row r="48" ht="28.95" customHeight="1" x14ac:dyDescent="0.3"/>
    <row r="49" ht="28.95" customHeight="1" x14ac:dyDescent="0.3"/>
    <row r="50" ht="28.95" customHeight="1" x14ac:dyDescent="0.3"/>
    <row r="51" ht="28.95" customHeight="1" x14ac:dyDescent="0.3"/>
    <row r="52" ht="28.95" customHeight="1" x14ac:dyDescent="0.3"/>
    <row r="53" ht="28.95" customHeight="1" x14ac:dyDescent="0.3"/>
    <row r="54" ht="28.95" customHeight="1" x14ac:dyDescent="0.3"/>
    <row r="55" ht="28.95" customHeight="1" x14ac:dyDescent="0.3"/>
    <row r="56" ht="28.95" customHeight="1" x14ac:dyDescent="0.3"/>
    <row r="57" ht="28.95" customHeight="1" x14ac:dyDescent="0.3"/>
    <row r="58" ht="28.95" customHeight="1" x14ac:dyDescent="0.3"/>
    <row r="59" ht="28.95" customHeight="1" x14ac:dyDescent="0.3"/>
    <row r="60" ht="28.95" customHeight="1" x14ac:dyDescent="0.3"/>
    <row r="61" ht="28.95" customHeight="1" x14ac:dyDescent="0.3"/>
    <row r="62" ht="28.95" customHeight="1" x14ac:dyDescent="0.3"/>
    <row r="63" ht="28.95" customHeight="1" x14ac:dyDescent="0.3"/>
    <row r="64" ht="28.95" customHeight="1" x14ac:dyDescent="0.3"/>
    <row r="65" ht="28.95" customHeight="1" x14ac:dyDescent="0.3"/>
    <row r="66" ht="28.95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0E4CC-6104-488F-9AA4-70B2843E0C52}">
  <sheetPr codeName="Planilha53">
    <tabColor rgb="FFFF0000"/>
  </sheetPr>
  <dimension ref="A1:AW66"/>
  <sheetViews>
    <sheetView topLeftCell="A4" zoomScale="40" zoomScaleNormal="40" workbookViewId="0">
      <selection activeCell="G30" sqref="G30"/>
    </sheetView>
  </sheetViews>
  <sheetFormatPr defaultColWidth="8.88671875" defaultRowHeight="14.4" x14ac:dyDescent="0.3"/>
  <cols>
    <col min="1" max="4" width="8.88671875" style="100"/>
    <col min="5" max="5" width="72.33203125" style="100" bestFit="1" customWidth="1"/>
    <col min="6" max="6" width="23.33203125" style="100" bestFit="1" customWidth="1"/>
    <col min="7" max="7" width="26" style="100" customWidth="1"/>
    <col min="8" max="8" width="15.33203125" style="100" customWidth="1"/>
    <col min="9" max="9" width="22.88671875" style="100" bestFit="1" customWidth="1"/>
    <col min="10" max="10" width="27.88671875" style="100" bestFit="1" customWidth="1"/>
    <col min="11" max="11" width="29.5546875" style="100" customWidth="1"/>
    <col min="12" max="12" width="43.6640625" style="100" customWidth="1"/>
    <col min="13" max="13" width="19.33203125" style="100" customWidth="1"/>
    <col min="14" max="14" width="47.88671875" style="100" bestFit="1" customWidth="1"/>
    <col min="15" max="15" width="29.33203125" style="100" customWidth="1"/>
    <col min="16" max="16" width="73.44140625" style="100" customWidth="1"/>
    <col min="17" max="17" width="15.55468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464"/>
      <c r="B4" s="464"/>
      <c r="C4" s="464"/>
      <c r="D4" s="464"/>
      <c r="E4" s="464"/>
      <c r="F4" s="464"/>
      <c r="G4" s="464"/>
      <c r="H4" s="464"/>
      <c r="I4" s="464"/>
      <c r="J4" s="464"/>
      <c r="K4" s="464"/>
      <c r="L4" s="464"/>
      <c r="M4" s="464"/>
      <c r="N4" s="464"/>
      <c r="O4" s="464"/>
      <c r="P4" s="464"/>
      <c r="Q4" s="464"/>
      <c r="R4" s="464"/>
      <c r="S4" s="464"/>
      <c r="T4" s="464"/>
      <c r="U4" s="464"/>
      <c r="V4" s="464"/>
      <c r="W4" s="464"/>
      <c r="X4" s="464"/>
      <c r="Y4" s="464"/>
      <c r="Z4" s="464"/>
      <c r="AA4" s="464"/>
      <c r="AB4" s="464"/>
      <c r="AC4" s="464"/>
      <c r="AD4" s="464"/>
      <c r="AE4" s="464"/>
      <c r="AF4" s="464"/>
      <c r="AG4" s="464"/>
      <c r="AH4" s="464"/>
      <c r="AI4" s="464"/>
      <c r="AJ4" s="464"/>
      <c r="AK4" s="464"/>
      <c r="AL4" s="464"/>
      <c r="AM4" s="464"/>
      <c r="AN4" s="464"/>
      <c r="AO4" s="464"/>
      <c r="AP4" s="464"/>
      <c r="AQ4" s="464"/>
      <c r="AR4" s="464"/>
      <c r="AS4" s="464"/>
      <c r="AT4" s="464"/>
      <c r="AU4" s="464"/>
      <c r="AV4" s="464"/>
      <c r="AW4" s="464"/>
    </row>
    <row r="5" spans="1:49" x14ac:dyDescent="0.3">
      <c r="A5" s="464"/>
      <c r="B5" s="464"/>
      <c r="C5" s="464"/>
      <c r="D5" s="464"/>
      <c r="E5" s="464"/>
      <c r="F5" s="464"/>
      <c r="G5" s="464"/>
      <c r="H5" s="464"/>
      <c r="I5" s="464"/>
      <c r="J5" s="464"/>
      <c r="K5" s="464"/>
      <c r="L5" s="464"/>
      <c r="M5" s="464"/>
      <c r="N5" s="464"/>
      <c r="O5" s="464"/>
      <c r="P5" s="464"/>
      <c r="Q5" s="464"/>
      <c r="R5" s="464"/>
      <c r="S5" s="464"/>
      <c r="T5" s="464"/>
      <c r="U5" s="464"/>
      <c r="V5" s="464"/>
      <c r="W5" s="464"/>
      <c r="X5" s="464"/>
      <c r="Y5" s="464"/>
      <c r="Z5" s="464"/>
      <c r="AA5" s="464"/>
      <c r="AB5" s="464"/>
      <c r="AC5" s="464"/>
      <c r="AD5" s="464"/>
      <c r="AE5" s="464"/>
      <c r="AF5" s="464"/>
      <c r="AG5" s="464"/>
      <c r="AH5" s="464"/>
      <c r="AI5" s="464"/>
      <c r="AJ5" s="464"/>
      <c r="AK5" s="464"/>
      <c r="AL5" s="464"/>
      <c r="AM5" s="464"/>
      <c r="AN5" s="464"/>
      <c r="AO5" s="464"/>
      <c r="AP5" s="464"/>
      <c r="AQ5" s="464"/>
      <c r="AR5" s="464"/>
      <c r="AS5" s="464"/>
      <c r="AT5" s="464"/>
      <c r="AU5" s="464"/>
      <c r="AV5" s="464"/>
      <c r="AW5" s="464"/>
    </row>
    <row r="6" spans="1:49" x14ac:dyDescent="0.3">
      <c r="A6" s="464"/>
      <c r="B6" s="464"/>
      <c r="C6" s="464"/>
      <c r="D6" s="464"/>
      <c r="E6" s="464"/>
      <c r="F6" s="464"/>
      <c r="G6" s="464"/>
      <c r="H6" s="464"/>
      <c r="I6" s="464"/>
      <c r="J6" s="464"/>
      <c r="K6" s="464"/>
      <c r="L6" s="464"/>
      <c r="M6" s="464"/>
      <c r="N6" s="464"/>
      <c r="O6" s="464"/>
      <c r="P6" s="464"/>
      <c r="Q6" s="464"/>
      <c r="R6" s="464"/>
      <c r="S6" s="464"/>
      <c r="T6" s="464"/>
      <c r="U6" s="464"/>
      <c r="V6" s="464"/>
      <c r="W6" s="464"/>
      <c r="X6" s="464"/>
      <c r="Y6" s="464"/>
      <c r="Z6" s="464"/>
      <c r="AA6" s="464"/>
      <c r="AB6" s="464"/>
      <c r="AC6" s="464"/>
      <c r="AD6" s="464"/>
      <c r="AE6" s="464"/>
      <c r="AF6" s="464"/>
      <c r="AG6" s="464"/>
      <c r="AH6" s="464"/>
      <c r="AI6" s="464"/>
      <c r="AJ6" s="464"/>
      <c r="AK6" s="464"/>
      <c r="AL6" s="464"/>
      <c r="AM6" s="464"/>
      <c r="AN6" s="464"/>
      <c r="AO6" s="464"/>
      <c r="AP6" s="464"/>
      <c r="AQ6" s="464"/>
      <c r="AR6" s="464"/>
      <c r="AS6" s="464"/>
      <c r="AT6" s="464"/>
      <c r="AU6" s="464"/>
      <c r="AV6" s="464"/>
      <c r="AW6" s="464"/>
    </row>
    <row r="7" spans="1:49" x14ac:dyDescent="0.3">
      <c r="A7" s="464"/>
      <c r="B7" s="464"/>
      <c r="C7" s="464"/>
      <c r="D7" s="464"/>
      <c r="E7" s="464"/>
      <c r="F7" s="464"/>
      <c r="G7" s="464"/>
      <c r="H7" s="464"/>
      <c r="I7" s="464"/>
      <c r="J7" s="464"/>
      <c r="K7" s="464"/>
      <c r="L7" s="464"/>
      <c r="M7" s="464"/>
      <c r="N7" s="464"/>
      <c r="O7" s="464"/>
      <c r="P7" s="464"/>
      <c r="Q7" s="464"/>
      <c r="R7" s="464"/>
      <c r="S7" s="464"/>
      <c r="T7" s="464"/>
      <c r="U7" s="464"/>
      <c r="V7" s="464"/>
      <c r="W7" s="464"/>
      <c r="X7" s="464"/>
      <c r="Y7" s="464"/>
      <c r="Z7" s="464"/>
      <c r="AA7" s="464"/>
      <c r="AB7" s="464"/>
      <c r="AC7" s="464"/>
      <c r="AD7" s="464"/>
      <c r="AE7" s="464"/>
      <c r="AF7" s="464"/>
      <c r="AG7" s="464"/>
      <c r="AH7" s="464"/>
      <c r="AI7" s="464"/>
      <c r="AJ7" s="464"/>
      <c r="AK7" s="464"/>
      <c r="AL7" s="464"/>
      <c r="AM7" s="464"/>
      <c r="AN7" s="464"/>
      <c r="AO7" s="464"/>
      <c r="AP7" s="464"/>
      <c r="AQ7" s="464"/>
      <c r="AR7" s="464"/>
      <c r="AS7" s="464"/>
      <c r="AT7" s="464"/>
      <c r="AU7" s="464"/>
      <c r="AV7" s="464"/>
      <c r="AW7" s="464"/>
    </row>
    <row r="8" spans="1:49" ht="28.95" customHeight="1" x14ac:dyDescent="0.3"/>
    <row r="9" spans="1:49" ht="28.95" customHeight="1" x14ac:dyDescent="0.3"/>
    <row r="10" spans="1:49" ht="28.95" customHeight="1" x14ac:dyDescent="0.3"/>
    <row r="11" spans="1:49" ht="28.95" customHeight="1" thickBot="1" x14ac:dyDescent="0.35"/>
    <row r="12" spans="1:49" ht="28.95" customHeight="1" x14ac:dyDescent="0.3">
      <c r="H12" s="299" t="s">
        <v>399</v>
      </c>
      <c r="I12" s="300"/>
      <c r="J12" s="300"/>
      <c r="K12" s="300"/>
      <c r="L12" s="300"/>
      <c r="M12" s="301"/>
    </row>
    <row r="13" spans="1:49" ht="28.95" customHeight="1" x14ac:dyDescent="0.3">
      <c r="H13" s="305"/>
      <c r="I13" s="465"/>
      <c r="J13" s="465"/>
      <c r="K13" s="465"/>
      <c r="L13" s="465"/>
      <c r="M13" s="307"/>
    </row>
    <row r="14" spans="1:49" ht="28.95" customHeight="1" x14ac:dyDescent="0.3">
      <c r="H14" s="88"/>
      <c r="I14" s="338"/>
      <c r="J14" s="338"/>
      <c r="K14" s="338"/>
      <c r="L14" s="338"/>
      <c r="M14" s="89"/>
    </row>
    <row r="15" spans="1:49" ht="28.95" customHeight="1" x14ac:dyDescent="0.3">
      <c r="H15" s="90"/>
      <c r="I15" s="490" t="s">
        <v>395</v>
      </c>
      <c r="J15" s="339"/>
      <c r="K15" s="339"/>
      <c r="L15" s="84"/>
      <c r="M15" s="91"/>
    </row>
    <row r="16" spans="1:49" ht="28.95" customHeight="1" x14ac:dyDescent="0.3">
      <c r="H16" s="90"/>
      <c r="I16" s="490"/>
      <c r="J16" s="339"/>
      <c r="K16" s="339"/>
      <c r="L16" s="340"/>
      <c r="M16" s="91"/>
    </row>
    <row r="17" spans="8:13" ht="28.95" customHeight="1" x14ac:dyDescent="0.3">
      <c r="H17" s="92"/>
      <c r="I17" s="490" t="s">
        <v>373</v>
      </c>
      <c r="J17" s="341"/>
      <c r="K17" s="342"/>
      <c r="L17" s="85"/>
      <c r="M17" s="93"/>
    </row>
    <row r="18" spans="8:13" ht="28.95" customHeight="1" x14ac:dyDescent="0.3">
      <c r="H18" s="92"/>
      <c r="I18" s="490"/>
      <c r="J18" s="341"/>
      <c r="K18" s="342"/>
      <c r="L18" s="342"/>
      <c r="M18" s="93"/>
    </row>
    <row r="19" spans="8:13" ht="28.95" customHeight="1" x14ac:dyDescent="0.3">
      <c r="H19" s="92"/>
      <c r="I19" s="490" t="s">
        <v>396</v>
      </c>
      <c r="J19" s="341"/>
      <c r="K19" s="342"/>
      <c r="L19" s="85"/>
      <c r="M19" s="93"/>
    </row>
    <row r="20" spans="8:13" ht="28.95" customHeight="1" x14ac:dyDescent="0.3">
      <c r="H20" s="92"/>
      <c r="I20" s="490"/>
      <c r="J20" s="342"/>
      <c r="K20" s="342"/>
      <c r="L20" s="342"/>
      <c r="M20" s="93"/>
    </row>
    <row r="21" spans="8:13" ht="28.95" customHeight="1" x14ac:dyDescent="0.3">
      <c r="H21" s="92"/>
      <c r="I21" s="490" t="s">
        <v>35</v>
      </c>
      <c r="J21" s="342"/>
      <c r="K21" s="342"/>
      <c r="L21" s="86"/>
      <c r="M21" s="93"/>
    </row>
    <row r="22" spans="8:13" ht="28.95" customHeight="1" x14ac:dyDescent="0.3">
      <c r="H22" s="92"/>
      <c r="I22" s="490"/>
      <c r="J22" s="342"/>
      <c r="K22" s="342"/>
      <c r="L22" s="342"/>
      <c r="M22" s="93"/>
    </row>
    <row r="23" spans="8:13" ht="28.95" customHeight="1" x14ac:dyDescent="0.3">
      <c r="H23" s="92"/>
      <c r="I23" s="490" t="s">
        <v>384</v>
      </c>
      <c r="J23" s="342"/>
      <c r="K23" s="342"/>
      <c r="L23" s="85"/>
      <c r="M23" s="93"/>
    </row>
    <row r="24" spans="8:13" ht="28.95" customHeight="1" x14ac:dyDescent="0.3">
      <c r="H24" s="92"/>
      <c r="I24" s="491"/>
      <c r="J24" s="342"/>
      <c r="K24" s="342"/>
      <c r="L24" s="342"/>
      <c r="M24" s="93"/>
    </row>
    <row r="25" spans="8:13" ht="28.95" customHeight="1" x14ac:dyDescent="0.3">
      <c r="H25" s="92"/>
      <c r="I25" s="490" t="s">
        <v>397</v>
      </c>
      <c r="J25" s="342"/>
      <c r="K25" s="342"/>
      <c r="L25" s="85"/>
      <c r="M25" s="93"/>
    </row>
    <row r="26" spans="8:13" ht="28.95" customHeight="1" x14ac:dyDescent="0.3">
      <c r="H26" s="92"/>
      <c r="I26" s="490"/>
      <c r="J26" s="342"/>
      <c r="K26" s="343"/>
      <c r="L26" s="343"/>
      <c r="M26" s="94"/>
    </row>
    <row r="27" spans="8:13" ht="28.95" customHeight="1" x14ac:dyDescent="0.3">
      <c r="H27" s="92"/>
      <c r="I27" s="490" t="s">
        <v>225</v>
      </c>
      <c r="J27" s="342"/>
      <c r="K27" s="343"/>
      <c r="L27" s="87"/>
      <c r="M27" s="94"/>
    </row>
    <row r="28" spans="8:13" ht="28.95" customHeight="1" x14ac:dyDescent="0.3">
      <c r="H28" s="90"/>
      <c r="I28" s="490"/>
      <c r="J28" s="339"/>
      <c r="K28" s="339"/>
      <c r="L28" s="340"/>
      <c r="M28" s="91"/>
    </row>
    <row r="29" spans="8:13" ht="28.95" customHeight="1" x14ac:dyDescent="0.3">
      <c r="H29" s="92"/>
      <c r="I29" s="490" t="s">
        <v>398</v>
      </c>
      <c r="J29" s="342"/>
      <c r="K29" s="343"/>
      <c r="L29" s="87"/>
      <c r="M29" s="94"/>
    </row>
    <row r="30" spans="8:13" ht="28.95" customHeight="1" x14ac:dyDescent="0.35">
      <c r="H30" s="92"/>
      <c r="I30" s="471"/>
      <c r="J30" s="342"/>
      <c r="K30" s="343"/>
      <c r="L30" s="343"/>
      <c r="M30" s="94"/>
    </row>
    <row r="31" spans="8:13" ht="28.95" customHeight="1" x14ac:dyDescent="0.4">
      <c r="H31" s="92"/>
      <c r="I31" s="469"/>
      <c r="J31" s="342"/>
      <c r="K31" s="343"/>
      <c r="L31" s="492"/>
      <c r="M31" s="94"/>
    </row>
    <row r="32" spans="8:13" ht="28.95" customHeight="1" x14ac:dyDescent="0.3">
      <c r="H32" s="92"/>
      <c r="I32" s="342"/>
      <c r="J32" s="342"/>
      <c r="K32" s="343"/>
      <c r="L32" s="343"/>
      <c r="M32" s="94"/>
    </row>
    <row r="33" spans="8:13" ht="28.95" customHeight="1" x14ac:dyDescent="0.3">
      <c r="H33" s="92"/>
      <c r="I33" s="342"/>
      <c r="J33" s="342"/>
      <c r="K33" s="343"/>
      <c r="L33" s="343"/>
      <c r="M33" s="94"/>
    </row>
    <row r="34" spans="8:13" ht="28.95" customHeight="1" x14ac:dyDescent="0.3">
      <c r="H34" s="92"/>
      <c r="I34" s="342"/>
      <c r="J34" s="342"/>
      <c r="K34" s="343"/>
      <c r="L34" s="343"/>
      <c r="M34" s="94"/>
    </row>
    <row r="35" spans="8:13" ht="28.95" customHeight="1" thickBot="1" x14ac:dyDescent="0.35">
      <c r="H35" s="95"/>
      <c r="I35" s="96"/>
      <c r="J35" s="96"/>
      <c r="K35" s="97"/>
      <c r="L35" s="97"/>
      <c r="M35" s="98"/>
    </row>
    <row r="36" spans="8:13" ht="28.95" customHeight="1" x14ac:dyDescent="0.3">
      <c r="H36" s="493"/>
      <c r="I36" s="493"/>
      <c r="J36" s="493"/>
      <c r="K36" s="494"/>
      <c r="L36" s="494"/>
      <c r="M36" s="494"/>
    </row>
    <row r="37" spans="8:13" ht="28.95" customHeight="1" x14ac:dyDescent="0.3"/>
    <row r="38" spans="8:13" ht="28.95" customHeight="1" x14ac:dyDescent="0.3"/>
    <row r="39" spans="8:13" ht="28.95" customHeight="1" x14ac:dyDescent="0.3"/>
    <row r="40" spans="8:13" ht="28.95" customHeight="1" x14ac:dyDescent="0.3"/>
    <row r="41" spans="8:13" ht="28.95" customHeight="1" x14ac:dyDescent="0.3"/>
    <row r="42" spans="8:13" ht="28.95" customHeight="1" x14ac:dyDescent="0.3"/>
    <row r="43" spans="8:13" ht="28.95" customHeight="1" x14ac:dyDescent="0.3"/>
    <row r="44" spans="8:13" ht="28.95" customHeight="1" x14ac:dyDescent="0.3"/>
    <row r="45" spans="8:13" ht="28.95" customHeight="1" x14ac:dyDescent="0.3"/>
    <row r="46" spans="8:13" ht="28.95" customHeight="1" x14ac:dyDescent="0.3"/>
    <row r="47" spans="8:13" ht="28.95" customHeight="1" x14ac:dyDescent="0.3"/>
    <row r="48" spans="8:13" ht="28.95" customHeight="1" x14ac:dyDescent="0.3"/>
    <row r="49" ht="28.95" customHeight="1" x14ac:dyDescent="0.3"/>
    <row r="50" ht="28.95" customHeight="1" x14ac:dyDescent="0.3"/>
    <row r="51" ht="28.95" customHeight="1" x14ac:dyDescent="0.3"/>
    <row r="52" ht="28.95" customHeight="1" x14ac:dyDescent="0.3"/>
    <row r="53" ht="28.95" customHeight="1" x14ac:dyDescent="0.3"/>
    <row r="54" ht="28.95" customHeight="1" x14ac:dyDescent="0.3"/>
    <row r="55" ht="28.95" customHeight="1" x14ac:dyDescent="0.3"/>
    <row r="56" ht="28.95" customHeight="1" x14ac:dyDescent="0.3"/>
    <row r="57" ht="28.95" customHeight="1" x14ac:dyDescent="0.3"/>
    <row r="58" ht="28.95" customHeight="1" x14ac:dyDescent="0.3"/>
    <row r="59" ht="28.95" customHeight="1" x14ac:dyDescent="0.3"/>
    <row r="60" ht="28.95" customHeight="1" x14ac:dyDescent="0.3"/>
    <row r="61" ht="28.95" customHeight="1" x14ac:dyDescent="0.3"/>
    <row r="62" ht="28.95" customHeight="1" x14ac:dyDescent="0.3"/>
    <row r="63" ht="28.95" customHeight="1" x14ac:dyDescent="0.3"/>
    <row r="64" ht="28.95" customHeight="1" x14ac:dyDescent="0.3"/>
    <row r="65" ht="28.95" customHeight="1" x14ac:dyDescent="0.3"/>
    <row r="66" ht="28.95" customHeight="1" x14ac:dyDescent="0.3"/>
  </sheetData>
  <mergeCells count="1">
    <mergeCell ref="H12:M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80B09-05C0-4DFA-99A0-5FFD8CCB78DA}">
  <sheetPr codeName="Planilha64">
    <tabColor rgb="FFF13FF5"/>
  </sheetPr>
  <dimension ref="A1:AW66"/>
  <sheetViews>
    <sheetView zoomScale="40" zoomScaleNormal="40" workbookViewId="0"/>
  </sheetViews>
  <sheetFormatPr defaultRowHeight="14.4" x14ac:dyDescent="0.3"/>
  <cols>
    <col min="1" max="4" width="8.88671875" style="100"/>
    <col min="5" max="5" width="72.33203125" style="100" bestFit="1" customWidth="1"/>
    <col min="6" max="6" width="23.21875" style="100" bestFit="1" customWidth="1"/>
    <col min="7" max="7" width="26" style="100" customWidth="1"/>
    <col min="8" max="8" width="15.33203125" style="100" customWidth="1"/>
    <col min="9" max="9" width="22.88671875" style="100" bestFit="1" customWidth="1"/>
    <col min="10" max="10" width="10.109375" style="100" bestFit="1" customWidth="1"/>
    <col min="11" max="11" width="22.44140625" style="100" customWidth="1"/>
    <col min="12" max="12" width="15.33203125" style="100" customWidth="1"/>
    <col min="13" max="13" width="21" style="100" bestFit="1" customWidth="1"/>
    <col min="14" max="14" width="10.109375" style="100" bestFit="1" customWidth="1"/>
    <col min="15" max="15" width="21" style="100" bestFit="1" customWidth="1"/>
    <col min="16" max="16" width="25.109375" style="100" customWidth="1"/>
    <col min="17" max="17" width="15.55468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  <c r="AV4" s="150"/>
      <c r="AW4" s="150"/>
    </row>
    <row r="5" spans="1:49" x14ac:dyDescent="0.3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  <c r="AV5" s="150"/>
      <c r="AW5" s="150"/>
    </row>
    <row r="6" spans="1:49" x14ac:dyDescent="0.3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  <c r="AV6" s="150"/>
      <c r="AW6" s="150"/>
    </row>
    <row r="7" spans="1:49" x14ac:dyDescent="0.3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</row>
    <row r="8" spans="1:49" ht="28.8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</row>
    <row r="9" spans="1:49" ht="28.8" customHeight="1" x14ac:dyDescent="0.3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</row>
    <row r="10" spans="1:49" ht="28.8" customHeight="1" x14ac:dyDescent="0.3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</row>
    <row r="11" spans="1:49" ht="28.8" customHeight="1" x14ac:dyDescent="0.3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</row>
    <row r="12" spans="1:49" ht="28.8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</row>
    <row r="13" spans="1:49" ht="28.8" customHeight="1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</row>
    <row r="14" spans="1:49" ht="28.8" customHeight="1" x14ac:dyDescent="0.3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</row>
    <row r="15" spans="1:49" ht="28.8" customHeight="1" x14ac:dyDescent="0.3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</row>
    <row r="16" spans="1:49" ht="28.8" customHeight="1" x14ac:dyDescent="0.3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5"/>
    </row>
    <row r="17" spans="1:34" ht="28.8" customHeight="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</row>
    <row r="18" spans="1:34" ht="28.8" customHeight="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</row>
    <row r="19" spans="1:34" ht="28.8" customHeight="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</row>
    <row r="20" spans="1:34" ht="28.8" customHeight="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</row>
    <row r="21" spans="1:34" ht="28.8" customHeight="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</row>
    <row r="22" spans="1:34" ht="28.8" customHeight="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</row>
    <row r="23" spans="1:34" ht="28.8" customHeight="1" x14ac:dyDescent="0.3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</row>
    <row r="24" spans="1:34" ht="28.8" customHeight="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</row>
    <row r="25" spans="1:34" ht="28.8" customHeight="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  <c r="AH25" s="25"/>
    </row>
    <row r="26" spans="1:34" ht="28.8" customHeight="1" x14ac:dyDescent="0.3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</row>
    <row r="27" spans="1:34" ht="28.8" customHeight="1" x14ac:dyDescent="0.3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  <c r="AH27" s="25"/>
    </row>
    <row r="28" spans="1:34" ht="28.8" customHeight="1" x14ac:dyDescent="0.3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</row>
    <row r="29" spans="1:34" ht="28.8" customHeight="1" x14ac:dyDescent="0.3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</row>
    <row r="30" spans="1:34" ht="28.8" customHeight="1" x14ac:dyDescent="0.3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</row>
    <row r="31" spans="1:34" ht="28.8" customHeight="1" x14ac:dyDescent="0.3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</row>
    <row r="32" spans="1:34" ht="28.8" customHeight="1" x14ac:dyDescent="0.3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</row>
    <row r="33" spans="1:34" ht="28.8" customHeight="1" x14ac:dyDescent="0.3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</row>
    <row r="34" spans="1:34" ht="28.8" customHeight="1" x14ac:dyDescent="0.3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</row>
    <row r="35" spans="1:34" ht="28.8" customHeight="1" x14ac:dyDescent="0.3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</row>
    <row r="36" spans="1:34" ht="28.8" customHeight="1" x14ac:dyDescent="0.3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</row>
    <row r="37" spans="1:34" ht="28.8" customHeight="1" x14ac:dyDescent="0.3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</row>
    <row r="38" spans="1:34" ht="28.8" customHeight="1" x14ac:dyDescent="0.3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</row>
    <row r="39" spans="1:34" ht="28.8" customHeight="1" x14ac:dyDescent="0.3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</row>
    <row r="40" spans="1:34" ht="28.8" customHeight="1" x14ac:dyDescent="0.3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</row>
    <row r="41" spans="1:34" ht="28.8" customHeight="1" x14ac:dyDescent="0.3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</row>
    <row r="42" spans="1:34" ht="28.8" customHeight="1" x14ac:dyDescent="0.3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</row>
    <row r="43" spans="1:34" ht="28.8" customHeight="1" x14ac:dyDescent="0.3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</row>
    <row r="44" spans="1:34" ht="28.8" customHeight="1" x14ac:dyDescent="0.3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</row>
    <row r="45" spans="1:34" ht="28.8" customHeight="1" x14ac:dyDescent="0.3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</row>
    <row r="46" spans="1:34" ht="28.8" customHeight="1" x14ac:dyDescent="0.3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</row>
    <row r="47" spans="1:34" ht="28.8" customHeight="1" x14ac:dyDescent="0.3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</row>
    <row r="48" spans="1:34" ht="28.8" customHeight="1" x14ac:dyDescent="0.3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</row>
    <row r="49" spans="1:34" ht="28.8" customHeight="1" x14ac:dyDescent="0.3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</row>
    <row r="50" spans="1:34" ht="28.8" customHeight="1" x14ac:dyDescent="0.3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</row>
    <row r="51" spans="1:34" ht="28.8" customHeight="1" x14ac:dyDescent="0.3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</row>
    <row r="52" spans="1:34" ht="28.8" customHeight="1" x14ac:dyDescent="0.3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</row>
    <row r="53" spans="1:34" ht="28.8" customHeight="1" x14ac:dyDescent="0.3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</row>
    <row r="54" spans="1:34" ht="28.8" customHeight="1" x14ac:dyDescent="0.3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</row>
    <row r="55" spans="1:34" ht="28.8" customHeight="1" x14ac:dyDescent="0.3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</row>
    <row r="56" spans="1:34" ht="28.8" customHeight="1" x14ac:dyDescent="0.3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</row>
    <row r="57" spans="1:34" ht="28.8" customHeight="1" x14ac:dyDescent="0.3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</row>
    <row r="58" spans="1:34" ht="28.8" customHeight="1" x14ac:dyDescent="0.3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</row>
    <row r="59" spans="1:34" ht="28.8" customHeight="1" x14ac:dyDescent="0.3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</row>
    <row r="60" spans="1:34" ht="28.8" customHeight="1" x14ac:dyDescent="0.3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</row>
    <row r="61" spans="1:34" ht="28.8" customHeight="1" x14ac:dyDescent="0.3">
      <c r="A61" s="25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</row>
    <row r="62" spans="1:34" ht="28.8" customHeight="1" x14ac:dyDescent="0.3">
      <c r="A62" s="25"/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</row>
    <row r="63" spans="1:34" ht="28.8" customHeight="1" x14ac:dyDescent="0.3"/>
    <row r="64" spans="1:34" ht="28.8" customHeight="1" x14ac:dyDescent="0.3"/>
    <row r="65" ht="28.8" customHeight="1" x14ac:dyDescent="0.3"/>
    <row r="66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57179-3184-45A2-ADFF-8DD1D6DB2E21}">
  <sheetPr codeName="Planilha54">
    <tabColor rgb="FFF13FF5"/>
  </sheetPr>
  <dimension ref="A1:AW66"/>
  <sheetViews>
    <sheetView zoomScale="40" zoomScaleNormal="40" workbookViewId="0">
      <selection activeCell="J30" sqref="J30"/>
    </sheetView>
  </sheetViews>
  <sheetFormatPr defaultRowHeight="14.4" x14ac:dyDescent="0.3"/>
  <cols>
    <col min="1" max="4" width="8.88671875" style="100"/>
    <col min="5" max="5" width="72.33203125" style="100" bestFit="1" customWidth="1"/>
    <col min="6" max="6" width="23.21875" style="100" bestFit="1" customWidth="1"/>
    <col min="7" max="7" width="26" style="100" customWidth="1"/>
    <col min="8" max="8" width="15.33203125" style="100" customWidth="1"/>
    <col min="9" max="9" width="22.88671875" style="100" bestFit="1" customWidth="1"/>
    <col min="10" max="10" width="10.109375" style="100" bestFit="1" customWidth="1"/>
    <col min="11" max="11" width="14.88671875" style="100" bestFit="1" customWidth="1"/>
    <col min="12" max="12" width="15.33203125" style="100" customWidth="1"/>
    <col min="13" max="13" width="21" style="100" bestFit="1" customWidth="1"/>
    <col min="14" max="14" width="10.109375" style="100" bestFit="1" customWidth="1"/>
    <col min="15" max="15" width="21" style="100" bestFit="1" customWidth="1"/>
    <col min="16" max="16" width="25.109375" style="100" customWidth="1"/>
    <col min="17" max="17" width="15.55468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  <c r="AV4" s="150"/>
      <c r="AW4" s="150"/>
    </row>
    <row r="5" spans="1:49" x14ac:dyDescent="0.3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  <c r="AV5" s="150"/>
      <c r="AW5" s="150"/>
    </row>
    <row r="6" spans="1:49" x14ac:dyDescent="0.3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  <c r="AV6" s="150"/>
      <c r="AW6" s="150"/>
    </row>
    <row r="7" spans="1:49" x14ac:dyDescent="0.3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</row>
    <row r="8" spans="1:49" ht="28.8" customHeight="1" x14ac:dyDescent="0.3"/>
    <row r="9" spans="1:49" ht="28.8" customHeight="1" x14ac:dyDescent="0.3"/>
    <row r="10" spans="1:49" ht="28.8" customHeight="1" x14ac:dyDescent="0.3">
      <c r="C10" s="363" t="s">
        <v>581</v>
      </c>
      <c r="D10" s="364"/>
      <c r="E10" s="364"/>
      <c r="F10" s="364"/>
      <c r="G10" s="365"/>
      <c r="I10" s="366" t="s">
        <v>596</v>
      </c>
      <c r="J10" s="151" t="s">
        <v>597</v>
      </c>
      <c r="K10" s="151" t="s">
        <v>598</v>
      </c>
      <c r="M10" s="367" t="s">
        <v>606</v>
      </c>
      <c r="N10" s="367" t="s">
        <v>597</v>
      </c>
      <c r="O10" s="151" t="s">
        <v>598</v>
      </c>
      <c r="Q10" s="372" t="s">
        <v>611</v>
      </c>
      <c r="R10" s="372"/>
      <c r="S10" s="372"/>
      <c r="T10" s="372"/>
      <c r="U10" s="372"/>
      <c r="V10" s="372"/>
      <c r="W10" s="372"/>
      <c r="X10" s="372"/>
    </row>
    <row r="11" spans="1:49" ht="28.8" customHeight="1" x14ac:dyDescent="0.4">
      <c r="C11" s="354" t="s">
        <v>582</v>
      </c>
      <c r="D11" s="354"/>
      <c r="E11" s="354"/>
      <c r="F11" s="354"/>
      <c r="G11" s="355" t="s">
        <v>583</v>
      </c>
      <c r="I11" s="359" t="s">
        <v>599</v>
      </c>
      <c r="J11" s="360">
        <v>1</v>
      </c>
      <c r="K11" s="361" t="e">
        <f>('[3]N_RHREF '!#REF!-'[3]N_RHREF '!#REF!-'[3]N_RHREF '!#REF!-'[3]N_RHREF '!#REF!-'[3]N_RHREF '!#REF!)</f>
        <v>#REF!</v>
      </c>
      <c r="M11" s="368" t="s">
        <v>599</v>
      </c>
      <c r="N11" s="368"/>
      <c r="O11" s="369" t="e">
        <f>'[3]N_RHREF '!#REF!</f>
        <v>#REF!</v>
      </c>
      <c r="Q11" s="373" t="s">
        <v>612</v>
      </c>
      <c r="R11" s="373"/>
      <c r="S11" s="373"/>
      <c r="T11" s="373"/>
      <c r="U11" s="373"/>
      <c r="V11" s="373"/>
      <c r="W11" s="374"/>
      <c r="X11" s="375"/>
    </row>
    <row r="12" spans="1:49" ht="28.8" customHeight="1" x14ac:dyDescent="0.35">
      <c r="C12" s="352" t="s">
        <v>584</v>
      </c>
      <c r="D12" s="352"/>
      <c r="E12" s="352"/>
      <c r="F12" s="352"/>
      <c r="G12" s="353">
        <v>450</v>
      </c>
      <c r="I12" s="359" t="s">
        <v>600</v>
      </c>
      <c r="J12" s="360">
        <v>4</v>
      </c>
      <c r="K12" s="361" t="e">
        <f>'[3]N_RHREF '!#REF!</f>
        <v>#REF!</v>
      </c>
      <c r="M12" s="368" t="s">
        <v>606</v>
      </c>
      <c r="N12" s="368"/>
      <c r="O12" s="369" t="e">
        <f>'[3]N_RHREF '!#REF!</f>
        <v>#REF!</v>
      </c>
      <c r="Q12" s="373" t="s">
        <v>613</v>
      </c>
      <c r="R12" s="373"/>
      <c r="S12" s="373"/>
      <c r="T12" s="373"/>
      <c r="U12" s="373"/>
      <c r="V12" s="373"/>
      <c r="W12" s="376">
        <f>(K29*L29)+(K30*L30)+(K31*L31)</f>
        <v>0</v>
      </c>
      <c r="X12" s="376"/>
    </row>
    <row r="13" spans="1:49" ht="28.8" customHeight="1" x14ac:dyDescent="0.35">
      <c r="C13" s="352" t="s">
        <v>585</v>
      </c>
      <c r="D13" s="352"/>
      <c r="E13" s="352"/>
      <c r="F13" s="352"/>
      <c r="G13" s="353">
        <v>4500</v>
      </c>
      <c r="I13" s="359" t="s">
        <v>601</v>
      </c>
      <c r="J13" s="360">
        <v>4</v>
      </c>
      <c r="K13" s="361" t="e">
        <f>'[3]N_RHREF '!#REF!</f>
        <v>#REF!</v>
      </c>
      <c r="Q13" s="373" t="s">
        <v>614</v>
      </c>
      <c r="R13" s="373"/>
      <c r="S13" s="373"/>
      <c r="T13" s="373"/>
      <c r="U13" s="373"/>
      <c r="V13" s="373"/>
      <c r="W13" s="376"/>
      <c r="X13" s="376"/>
    </row>
    <row r="14" spans="1:49" ht="28.8" customHeight="1" x14ac:dyDescent="0.35">
      <c r="C14" s="352" t="s">
        <v>586</v>
      </c>
      <c r="D14" s="352"/>
      <c r="E14" s="352"/>
      <c r="F14" s="352"/>
      <c r="G14" s="353">
        <v>37500</v>
      </c>
      <c r="J14" s="356"/>
      <c r="K14" s="357"/>
      <c r="M14" s="366" t="s">
        <v>607</v>
      </c>
      <c r="N14" s="151" t="s">
        <v>597</v>
      </c>
      <c r="O14" s="151" t="s">
        <v>598</v>
      </c>
      <c r="Q14" s="373" t="s">
        <v>615</v>
      </c>
      <c r="R14" s="373"/>
      <c r="S14" s="373"/>
      <c r="T14" s="373"/>
      <c r="U14" s="373"/>
      <c r="V14" s="373"/>
      <c r="W14" s="376"/>
      <c r="X14" s="376"/>
    </row>
    <row r="15" spans="1:49" ht="28.8" customHeight="1" x14ac:dyDescent="0.35">
      <c r="C15" s="352" t="s">
        <v>587</v>
      </c>
      <c r="D15" s="352"/>
      <c r="E15" s="352"/>
      <c r="F15" s="352"/>
      <c r="G15" s="353"/>
      <c r="I15" s="367" t="s">
        <v>602</v>
      </c>
      <c r="J15" s="367" t="s">
        <v>597</v>
      </c>
      <c r="K15" s="151" t="s">
        <v>598</v>
      </c>
      <c r="M15" s="359" t="s">
        <v>599</v>
      </c>
      <c r="N15" s="360"/>
      <c r="O15" s="361" t="e">
        <f>'[3]N_RHREF '!#REF!</f>
        <v>#REF!</v>
      </c>
    </row>
    <row r="16" spans="1:49" ht="28.8" customHeight="1" x14ac:dyDescent="0.35">
      <c r="C16" s="352" t="s">
        <v>588</v>
      </c>
      <c r="D16" s="352"/>
      <c r="E16" s="352"/>
      <c r="F16" s="352"/>
      <c r="G16" s="353"/>
      <c r="I16" s="368" t="s">
        <v>599</v>
      </c>
      <c r="J16" s="368"/>
      <c r="K16" s="369" t="e">
        <f>'[3]N_RHREF '!#REF!</f>
        <v>#REF!</v>
      </c>
      <c r="M16" s="359" t="s">
        <v>603</v>
      </c>
      <c r="N16" s="360"/>
      <c r="O16" s="361">
        <f>'[3]N_RHREF '!J1</f>
        <v>0</v>
      </c>
    </row>
    <row r="17" spans="3:15" ht="28.8" customHeight="1" x14ac:dyDescent="0.35">
      <c r="C17" s="352" t="s">
        <v>295</v>
      </c>
      <c r="D17" s="352"/>
      <c r="E17" s="352"/>
      <c r="F17" s="352"/>
      <c r="G17" s="353"/>
      <c r="I17" s="368" t="s">
        <v>603</v>
      </c>
      <c r="J17" s="368"/>
      <c r="K17" s="369" t="e">
        <f>'[3]N_RHREF '!#REF!</f>
        <v>#REF!</v>
      </c>
      <c r="M17" s="359" t="s">
        <v>601</v>
      </c>
      <c r="N17" s="360"/>
      <c r="O17" s="361">
        <f>'[3]N_RHREF '!J2</f>
        <v>0</v>
      </c>
    </row>
    <row r="18" spans="3:15" ht="28.8" customHeight="1" x14ac:dyDescent="0.35">
      <c r="C18" s="352" t="s">
        <v>589</v>
      </c>
      <c r="D18" s="352"/>
      <c r="E18" s="352"/>
      <c r="F18" s="352"/>
      <c r="G18" s="353">
        <v>130</v>
      </c>
      <c r="I18" s="368" t="s">
        <v>604</v>
      </c>
      <c r="J18" s="368"/>
      <c r="K18" s="369" t="e">
        <f>'[3]N_RHREF '!#REF!</f>
        <v>#REF!</v>
      </c>
    </row>
    <row r="19" spans="3:15" ht="28.8" customHeight="1" x14ac:dyDescent="0.35">
      <c r="C19" s="352" t="s">
        <v>590</v>
      </c>
      <c r="D19" s="352"/>
      <c r="E19" s="352"/>
      <c r="F19" s="352"/>
      <c r="G19" s="353">
        <v>45000</v>
      </c>
      <c r="J19" s="337"/>
      <c r="K19" s="358"/>
      <c r="M19" s="366" t="s">
        <v>608</v>
      </c>
      <c r="N19" s="151" t="s">
        <v>597</v>
      </c>
      <c r="O19" s="151" t="s">
        <v>598</v>
      </c>
    </row>
    <row r="20" spans="3:15" ht="28.8" customHeight="1" x14ac:dyDescent="0.35">
      <c r="C20" s="352" t="s">
        <v>591</v>
      </c>
      <c r="D20" s="352"/>
      <c r="E20" s="352"/>
      <c r="F20" s="352"/>
      <c r="G20" s="353"/>
      <c r="I20" s="367" t="s">
        <v>605</v>
      </c>
      <c r="J20" s="367" t="s">
        <v>597</v>
      </c>
      <c r="K20" s="151" t="s">
        <v>598</v>
      </c>
      <c r="M20" s="359" t="s">
        <v>599</v>
      </c>
      <c r="N20" s="360"/>
      <c r="O20" s="361">
        <f>'[3]N_RHREF '!J3</f>
        <v>0</v>
      </c>
    </row>
    <row r="21" spans="3:15" ht="28.8" customHeight="1" x14ac:dyDescent="0.35">
      <c r="C21" s="352" t="s">
        <v>592</v>
      </c>
      <c r="D21" s="352"/>
      <c r="E21" s="352"/>
      <c r="F21" s="352"/>
      <c r="G21" s="353"/>
      <c r="I21" s="368" t="s">
        <v>599</v>
      </c>
      <c r="J21" s="368"/>
      <c r="K21" s="369" t="e">
        <f>'[3]N_RHREF '!#REF!</f>
        <v>#REF!</v>
      </c>
      <c r="M21" s="359" t="s">
        <v>609</v>
      </c>
      <c r="N21" s="360"/>
      <c r="O21" s="361">
        <f>'[3]N_RHREF '!J4</f>
        <v>0</v>
      </c>
    </row>
    <row r="22" spans="3:15" ht="28.8" customHeight="1" x14ac:dyDescent="0.35">
      <c r="C22" s="352" t="s">
        <v>593</v>
      </c>
      <c r="D22" s="352"/>
      <c r="E22" s="352"/>
      <c r="F22" s="352"/>
      <c r="G22" s="353">
        <v>2500</v>
      </c>
      <c r="I22" s="368" t="s">
        <v>603</v>
      </c>
      <c r="J22" s="368"/>
      <c r="K22" s="369" t="e">
        <f>'[3]N_RHREF '!#REF!</f>
        <v>#REF!</v>
      </c>
      <c r="M22" s="359" t="s">
        <v>603</v>
      </c>
      <c r="N22" s="360"/>
      <c r="O22" s="361">
        <f>'[3]N_RHREF '!J5</f>
        <v>0</v>
      </c>
    </row>
    <row r="23" spans="3:15" ht="28.8" customHeight="1" x14ac:dyDescent="0.35">
      <c r="C23" s="352" t="s">
        <v>594</v>
      </c>
      <c r="D23" s="352"/>
      <c r="E23" s="352"/>
      <c r="F23" s="352"/>
      <c r="G23" s="353">
        <v>6000</v>
      </c>
      <c r="I23" s="368" t="s">
        <v>604</v>
      </c>
      <c r="J23" s="368"/>
      <c r="K23" s="369" t="e">
        <f>'[3]N_RHREF '!#REF!</f>
        <v>#REF!</v>
      </c>
      <c r="M23" s="368" t="s">
        <v>604</v>
      </c>
      <c r="N23" s="370"/>
      <c r="O23" s="371">
        <f>'[3]N_RHREF '!J6</f>
        <v>0</v>
      </c>
    </row>
    <row r="24" spans="3:15" ht="28.8" customHeight="1" x14ac:dyDescent="0.35">
      <c r="C24" s="352" t="s">
        <v>573</v>
      </c>
      <c r="D24" s="352"/>
      <c r="E24" s="352"/>
      <c r="F24" s="352"/>
      <c r="G24" s="353"/>
    </row>
    <row r="25" spans="3:15" ht="28.8" customHeight="1" x14ac:dyDescent="0.35">
      <c r="C25" s="352" t="s">
        <v>595</v>
      </c>
      <c r="D25" s="352"/>
      <c r="E25" s="352"/>
      <c r="F25" s="352"/>
      <c r="G25" s="353"/>
      <c r="M25" s="366" t="s">
        <v>610</v>
      </c>
      <c r="N25" s="151" t="s">
        <v>597</v>
      </c>
      <c r="O25" s="151" t="s">
        <v>598</v>
      </c>
    </row>
    <row r="26" spans="3:15" ht="28.8" customHeight="1" x14ac:dyDescent="0.35">
      <c r="M26" s="359" t="s">
        <v>599</v>
      </c>
      <c r="N26" s="360"/>
      <c r="O26" s="361">
        <f>'[3]N_RHREF '!J7</f>
        <v>0</v>
      </c>
    </row>
    <row r="27" spans="3:15" ht="28.8" customHeight="1" x14ac:dyDescent="0.35">
      <c r="M27" s="359" t="s">
        <v>609</v>
      </c>
      <c r="N27" s="360"/>
      <c r="O27" s="361">
        <f>'[3]N_RHREF '!J8</f>
        <v>0</v>
      </c>
    </row>
    <row r="28" spans="3:15" ht="28.8" customHeight="1" x14ac:dyDescent="0.35">
      <c r="M28" s="359" t="s">
        <v>601</v>
      </c>
      <c r="N28" s="360"/>
      <c r="O28" s="361">
        <f>'[3]N_RHREF '!J9</f>
        <v>2259.1999999999998</v>
      </c>
    </row>
    <row r="29" spans="3:15" ht="28.8" customHeight="1" x14ac:dyDescent="0.3"/>
    <row r="30" spans="3:15" ht="28.8" customHeight="1" x14ac:dyDescent="0.3"/>
    <row r="31" spans="3:15" ht="28.8" customHeight="1" x14ac:dyDescent="0.3"/>
    <row r="32" spans="3:15" ht="28.8" customHeight="1" x14ac:dyDescent="0.3"/>
    <row r="33" ht="28.8" customHeight="1" x14ac:dyDescent="0.3"/>
    <row r="34" ht="28.8" customHeight="1" x14ac:dyDescent="0.3"/>
    <row r="35" ht="28.8" customHeight="1" x14ac:dyDescent="0.3"/>
    <row r="36" ht="28.8" customHeight="1" x14ac:dyDescent="0.3"/>
    <row r="37" ht="28.8" customHeight="1" x14ac:dyDescent="0.3"/>
    <row r="38" ht="28.8" customHeight="1" x14ac:dyDescent="0.3"/>
    <row r="39" ht="28.8" customHeight="1" x14ac:dyDescent="0.3"/>
    <row r="40" ht="28.8" customHeight="1" x14ac:dyDescent="0.3"/>
    <row r="41" ht="28.8" customHeight="1" x14ac:dyDescent="0.3"/>
    <row r="42" ht="28.8" customHeight="1" x14ac:dyDescent="0.3"/>
    <row r="43" ht="28.8" customHeight="1" x14ac:dyDescent="0.3"/>
    <row r="44" ht="28.8" customHeight="1" x14ac:dyDescent="0.3"/>
    <row r="45" ht="28.8" customHeight="1" x14ac:dyDescent="0.3"/>
    <row r="46" ht="28.8" customHeight="1" x14ac:dyDescent="0.3"/>
    <row r="47" ht="28.8" customHeight="1" x14ac:dyDescent="0.3"/>
    <row r="48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25">
    <mergeCell ref="Q14:V14"/>
    <mergeCell ref="W14:X14"/>
    <mergeCell ref="Q10:X10"/>
    <mergeCell ref="Q11:V11"/>
    <mergeCell ref="W11:X11"/>
    <mergeCell ref="Q12:V12"/>
    <mergeCell ref="W12:X12"/>
    <mergeCell ref="Q13:V13"/>
    <mergeCell ref="W13:X13"/>
    <mergeCell ref="C21:F21"/>
    <mergeCell ref="C22:F22"/>
    <mergeCell ref="C23:F23"/>
    <mergeCell ref="C24:F24"/>
    <mergeCell ref="C25:F25"/>
    <mergeCell ref="C10:G10"/>
    <mergeCell ref="C15:F15"/>
    <mergeCell ref="C16:F16"/>
    <mergeCell ref="C17:F17"/>
    <mergeCell ref="C18:F18"/>
    <mergeCell ref="C19:F19"/>
    <mergeCell ref="C20:F20"/>
    <mergeCell ref="C11:F11"/>
    <mergeCell ref="C12:F12"/>
    <mergeCell ref="C13:F13"/>
    <mergeCell ref="C14:F14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19231-4B36-4A98-85EA-46C9F1B9BF1E}">
  <sheetPr codeName="Planilha55">
    <tabColor rgb="FFF13FF5"/>
  </sheetPr>
  <dimension ref="A1:AW66"/>
  <sheetViews>
    <sheetView zoomScale="40" zoomScaleNormal="40" workbookViewId="0">
      <selection activeCell="P35" sqref="P35"/>
    </sheetView>
  </sheetViews>
  <sheetFormatPr defaultRowHeight="14.4" x14ac:dyDescent="0.3"/>
  <cols>
    <col min="1" max="4" width="8.88671875" style="100"/>
    <col min="5" max="5" width="72.33203125" style="100" bestFit="1" customWidth="1"/>
    <col min="6" max="6" width="23.21875" style="100" bestFit="1" customWidth="1"/>
    <col min="7" max="7" width="26" style="100" customWidth="1"/>
    <col min="8" max="8" width="15.33203125" style="100" customWidth="1"/>
    <col min="9" max="9" width="22.88671875" style="100" bestFit="1" customWidth="1"/>
    <col min="10" max="10" width="81.77734375" style="100" bestFit="1" customWidth="1"/>
    <col min="11" max="11" width="22.44140625" style="100" customWidth="1"/>
    <col min="12" max="12" width="16.77734375" style="100" bestFit="1" customWidth="1"/>
    <col min="13" max="13" width="21" style="100" bestFit="1" customWidth="1"/>
    <col min="14" max="14" width="10.109375" style="100" bestFit="1" customWidth="1"/>
    <col min="15" max="15" width="21" style="100" bestFit="1" customWidth="1"/>
    <col min="16" max="16" width="25.109375" style="100" customWidth="1"/>
    <col min="17" max="17" width="15.5546875" style="100" customWidth="1"/>
    <col min="18" max="21" width="8.88671875" style="100"/>
    <col min="22" max="22" width="23.44140625" style="100" bestFit="1" customWidth="1"/>
    <col min="23" max="23" width="2.6640625" style="100" bestFit="1" customWidth="1"/>
    <col min="24" max="24" width="51.109375" style="100" customWidth="1"/>
    <col min="25" max="16384" width="8.88671875" style="100"/>
  </cols>
  <sheetData>
    <row r="1" spans="1:49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</row>
    <row r="2" spans="1:49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  <c r="AV2" s="101"/>
      <c r="AW2" s="101"/>
    </row>
    <row r="3" spans="1:49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</row>
    <row r="4" spans="1:49" ht="46.2" customHeight="1" x14ac:dyDescent="0.3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  <c r="AV4" s="150"/>
      <c r="AW4" s="150"/>
    </row>
    <row r="5" spans="1:49" x14ac:dyDescent="0.3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  <c r="AV5" s="150"/>
      <c r="AW5" s="150"/>
    </row>
    <row r="6" spans="1:49" x14ac:dyDescent="0.3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  <c r="AV6" s="150"/>
      <c r="AW6" s="150"/>
    </row>
    <row r="7" spans="1:49" x14ac:dyDescent="0.3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</row>
    <row r="8" spans="1:49" ht="28.8" customHeight="1" x14ac:dyDescent="0.3"/>
    <row r="9" spans="1:49" ht="28.8" customHeight="1" x14ac:dyDescent="0.3"/>
    <row r="10" spans="1:49" ht="28.8" customHeight="1" x14ac:dyDescent="0.3">
      <c r="J10" s="366" t="s">
        <v>616</v>
      </c>
      <c r="K10" s="151" t="s">
        <v>617</v>
      </c>
      <c r="L10" s="151" t="s">
        <v>618</v>
      </c>
    </row>
    <row r="11" spans="1:49" ht="28.8" customHeight="1" x14ac:dyDescent="0.4">
      <c r="J11" s="368"/>
      <c r="K11" s="389"/>
      <c r="L11" s="390"/>
    </row>
    <row r="12" spans="1:49" ht="28.8" customHeight="1" x14ac:dyDescent="0.4">
      <c r="J12" s="391" t="s">
        <v>619</v>
      </c>
      <c r="K12" s="392"/>
      <c r="L12" s="393"/>
    </row>
    <row r="13" spans="1:49" ht="28.8" customHeight="1" x14ac:dyDescent="0.3">
      <c r="J13" s="378"/>
      <c r="K13" s="379"/>
      <c r="L13" s="380"/>
    </row>
    <row r="14" spans="1:49" ht="28.8" customHeight="1" x14ac:dyDescent="0.3">
      <c r="J14" s="381"/>
      <c r="K14" s="382"/>
      <c r="L14" s="383"/>
    </row>
    <row r="15" spans="1:49" ht="28.8" customHeight="1" x14ac:dyDescent="0.4">
      <c r="J15" s="394" t="s">
        <v>620</v>
      </c>
      <c r="K15" s="377"/>
      <c r="L15" s="351"/>
    </row>
    <row r="16" spans="1:49" ht="28.8" customHeight="1" x14ac:dyDescent="0.4">
      <c r="J16" s="394" t="s">
        <v>621</v>
      </c>
      <c r="K16" s="377"/>
      <c r="L16" s="351"/>
    </row>
    <row r="17" spans="10:12" ht="28.8" customHeight="1" x14ac:dyDescent="0.4">
      <c r="J17" s="395" t="s">
        <v>622</v>
      </c>
      <c r="K17" s="384"/>
      <c r="L17" s="385"/>
    </row>
    <row r="18" spans="10:12" ht="28.8" customHeight="1" x14ac:dyDescent="0.3">
      <c r="J18" s="386"/>
      <c r="K18" s="387"/>
      <c r="L18" s="388"/>
    </row>
    <row r="19" spans="10:12" ht="28.8" customHeight="1" x14ac:dyDescent="0.3">
      <c r="J19" s="396" t="s">
        <v>623</v>
      </c>
      <c r="K19" s="397"/>
      <c r="L19" s="398"/>
    </row>
    <row r="20" spans="10:12" ht="28.8" customHeight="1" x14ac:dyDescent="0.35">
      <c r="J20" s="368" t="s">
        <v>624</v>
      </c>
      <c r="K20" s="389">
        <f>[3]N_CUSTOFIXOEVARIAVEL!Q20</f>
        <v>0</v>
      </c>
      <c r="L20" s="389"/>
    </row>
    <row r="21" spans="10:12" ht="28.8" customHeight="1" x14ac:dyDescent="0.35">
      <c r="J21" s="368" t="s">
        <v>625</v>
      </c>
      <c r="K21" s="389">
        <f>[3]N_CUSTOFIXOEVARIAVEL!Q21</f>
        <v>0</v>
      </c>
      <c r="L21" s="389"/>
    </row>
    <row r="22" spans="10:12" ht="28.8" customHeight="1" x14ac:dyDescent="0.4">
      <c r="J22" s="368" t="s">
        <v>586</v>
      </c>
      <c r="K22" s="389">
        <f>[3]N_CUSTOFIXOEVARIAVEL!Q22</f>
        <v>0</v>
      </c>
      <c r="L22" s="390"/>
    </row>
    <row r="23" spans="10:12" ht="28.8" customHeight="1" x14ac:dyDescent="0.4">
      <c r="J23" s="368" t="s">
        <v>626</v>
      </c>
      <c r="K23" s="389"/>
      <c r="L23" s="390"/>
    </row>
    <row r="24" spans="10:12" ht="28.8" customHeight="1" x14ac:dyDescent="0.4">
      <c r="J24" s="368" t="s">
        <v>627</v>
      </c>
      <c r="K24" s="389"/>
      <c r="L24" s="390"/>
    </row>
    <row r="25" spans="10:12" ht="28.8" customHeight="1" x14ac:dyDescent="0.35">
      <c r="J25" s="368" t="s">
        <v>628</v>
      </c>
      <c r="K25" s="389"/>
      <c r="L25" s="389"/>
    </row>
    <row r="26" spans="10:12" ht="28.8" customHeight="1" x14ac:dyDescent="0.35">
      <c r="J26" s="368" t="s">
        <v>629</v>
      </c>
      <c r="K26" s="399">
        <f>[3]N_CUSTOFIXOEVARIAVEL!Q26</f>
        <v>0</v>
      </c>
      <c r="L26" s="389"/>
    </row>
    <row r="27" spans="10:12" ht="28.8" customHeight="1" x14ac:dyDescent="0.35">
      <c r="J27" s="368" t="s">
        <v>630</v>
      </c>
      <c r="K27" s="389">
        <f>[3]N_CUSTOFIXOEVARIAVEL!Q27</f>
        <v>0</v>
      </c>
      <c r="L27" s="389"/>
    </row>
    <row r="28" spans="10:12" ht="28.8" customHeight="1" x14ac:dyDescent="0.35">
      <c r="J28" s="368" t="s">
        <v>631</v>
      </c>
      <c r="K28" s="389"/>
      <c r="L28" s="389"/>
    </row>
    <row r="29" spans="10:12" ht="28.8" customHeight="1" x14ac:dyDescent="0.35">
      <c r="J29" s="368" t="s">
        <v>632</v>
      </c>
      <c r="K29" s="389"/>
      <c r="L29" s="389"/>
    </row>
    <row r="30" spans="10:12" ht="28.8" customHeight="1" x14ac:dyDescent="0.35">
      <c r="J30" s="368" t="s">
        <v>633</v>
      </c>
      <c r="K30" s="389">
        <f>[3]N_CUSTOFIXOEVARIAVEL!Q30</f>
        <v>0</v>
      </c>
      <c r="L30" s="389"/>
    </row>
    <row r="31" spans="10:12" ht="28.8" customHeight="1" x14ac:dyDescent="0.35">
      <c r="J31" s="368" t="s">
        <v>634</v>
      </c>
      <c r="K31" s="389">
        <f>[3]N_CUSTOFIXOEVARIAVEL!Q31</f>
        <v>0</v>
      </c>
      <c r="L31" s="389"/>
    </row>
    <row r="32" spans="10:12" ht="28.8" customHeight="1" x14ac:dyDescent="0.35">
      <c r="J32" s="368" t="s">
        <v>635</v>
      </c>
      <c r="K32" s="389"/>
      <c r="L32" s="389"/>
    </row>
    <row r="33" spans="10:12" ht="28.8" customHeight="1" x14ac:dyDescent="0.35">
      <c r="J33" s="368" t="s">
        <v>636</v>
      </c>
      <c r="K33" s="389"/>
      <c r="L33" s="389"/>
    </row>
    <row r="34" spans="10:12" ht="28.8" customHeight="1" x14ac:dyDescent="0.35">
      <c r="J34" s="368" t="s">
        <v>637</v>
      </c>
      <c r="K34" s="389"/>
      <c r="L34" s="389"/>
    </row>
    <row r="35" spans="10:12" ht="28.8" customHeight="1" x14ac:dyDescent="0.35">
      <c r="J35" s="368" t="s">
        <v>638</v>
      </c>
      <c r="K35" s="389"/>
      <c r="L35" s="389"/>
    </row>
    <row r="36" spans="10:12" ht="28.8" customHeight="1" x14ac:dyDescent="0.35">
      <c r="J36" s="368" t="s">
        <v>639</v>
      </c>
      <c r="K36" s="389"/>
      <c r="L36" s="389"/>
    </row>
    <row r="37" spans="10:12" ht="28.8" customHeight="1" x14ac:dyDescent="0.35">
      <c r="J37" s="368" t="s">
        <v>640</v>
      </c>
      <c r="K37" s="389"/>
      <c r="L37" s="389"/>
    </row>
    <row r="38" spans="10:12" ht="28.8" customHeight="1" x14ac:dyDescent="0.35">
      <c r="J38" s="368" t="s">
        <v>641</v>
      </c>
      <c r="K38" s="389"/>
      <c r="L38" s="389"/>
    </row>
    <row r="39" spans="10:12" ht="28.8" customHeight="1" x14ac:dyDescent="0.35">
      <c r="J39" s="368" t="s">
        <v>642</v>
      </c>
      <c r="K39" s="389"/>
      <c r="L39" s="389"/>
    </row>
    <row r="40" spans="10:12" ht="28.8" customHeight="1" x14ac:dyDescent="0.3"/>
    <row r="41" spans="10:12" ht="28.8" customHeight="1" x14ac:dyDescent="0.3"/>
    <row r="42" spans="10:12" ht="28.8" customHeight="1" x14ac:dyDescent="0.3"/>
    <row r="43" spans="10:12" ht="28.8" customHeight="1" x14ac:dyDescent="0.3"/>
    <row r="44" spans="10:12" ht="28.8" customHeight="1" x14ac:dyDescent="0.3"/>
    <row r="45" spans="10:12" ht="28.8" customHeight="1" x14ac:dyDescent="0.3"/>
    <row r="46" spans="10:12" ht="28.8" customHeight="1" x14ac:dyDescent="0.3"/>
    <row r="47" spans="10:12" ht="28.8" customHeight="1" x14ac:dyDescent="0.3"/>
    <row r="48" spans="10:12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1">
    <mergeCell ref="J19:L19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F7299-CF97-4E05-A6F3-729CA59058C7}">
  <sheetPr codeName="Planilha56">
    <tabColor rgb="FFF13FF5"/>
  </sheetPr>
  <dimension ref="A1:AU66"/>
  <sheetViews>
    <sheetView zoomScale="40" zoomScaleNormal="40" workbookViewId="0">
      <selection activeCell="I12" sqref="I12"/>
    </sheetView>
  </sheetViews>
  <sheetFormatPr defaultRowHeight="14.4" x14ac:dyDescent="0.3"/>
  <cols>
    <col min="1" max="4" width="8.88671875" style="100"/>
    <col min="5" max="5" width="72.33203125" style="100" bestFit="1" customWidth="1"/>
    <col min="6" max="6" width="23.21875" style="100" bestFit="1" customWidth="1"/>
    <col min="7" max="7" width="26" style="100" customWidth="1"/>
    <col min="8" max="8" width="32.33203125" style="100" bestFit="1" customWidth="1"/>
    <col min="9" max="9" width="22.88671875" style="100" bestFit="1" customWidth="1"/>
    <col min="10" max="10" width="49.5546875" style="100" customWidth="1"/>
    <col min="11" max="11" width="22.44140625" style="100" customWidth="1"/>
    <col min="12" max="12" width="36.5546875" style="100" bestFit="1" customWidth="1"/>
    <col min="13" max="13" width="21" style="100" bestFit="1" customWidth="1"/>
    <col min="14" max="14" width="25.109375" style="100" customWidth="1"/>
    <col min="15" max="15" width="15.5546875" style="100" customWidth="1"/>
    <col min="16" max="19" width="8.88671875" style="100"/>
    <col min="20" max="20" width="23.44140625" style="100" bestFit="1" customWidth="1"/>
    <col min="21" max="21" width="2.6640625" style="100" bestFit="1" customWidth="1"/>
    <col min="22" max="22" width="51.109375" style="100" customWidth="1"/>
    <col min="23" max="16384" width="8.88671875" style="100"/>
  </cols>
  <sheetData>
    <row r="1" spans="1:47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</row>
    <row r="2" spans="1:47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</row>
    <row r="3" spans="1:47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</row>
    <row r="4" spans="1:47" ht="46.2" customHeight="1" x14ac:dyDescent="0.3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</row>
    <row r="5" spans="1:47" x14ac:dyDescent="0.3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</row>
    <row r="6" spans="1:47" x14ac:dyDescent="0.3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</row>
    <row r="7" spans="1:47" x14ac:dyDescent="0.3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</row>
    <row r="8" spans="1:47" ht="28.8" customHeight="1" x14ac:dyDescent="0.3"/>
    <row r="9" spans="1:47" ht="28.8" customHeight="1" x14ac:dyDescent="0.3"/>
    <row r="10" spans="1:47" ht="28.8" customHeight="1" x14ac:dyDescent="0.3"/>
    <row r="11" spans="1:47" ht="28.8" customHeight="1" x14ac:dyDescent="0.3">
      <c r="H11" s="366" t="s">
        <v>9</v>
      </c>
      <c r="I11" s="151" t="s">
        <v>597</v>
      </c>
      <c r="J11" s="367" t="s">
        <v>643</v>
      </c>
      <c r="K11" s="401"/>
      <c r="L11" s="366" t="s">
        <v>11</v>
      </c>
      <c r="M11" s="151" t="s">
        <v>597</v>
      </c>
      <c r="N11" s="367" t="s">
        <v>643</v>
      </c>
    </row>
    <row r="12" spans="1:47" ht="28.8" customHeight="1" x14ac:dyDescent="0.4">
      <c r="H12" s="368" t="s">
        <v>3</v>
      </c>
      <c r="I12" s="402">
        <f>[3]N_PRODREQ!N31</f>
        <v>0</v>
      </c>
      <c r="J12" s="389"/>
      <c r="L12" s="368" t="s">
        <v>3</v>
      </c>
      <c r="M12" s="402"/>
      <c r="N12" s="389"/>
    </row>
    <row r="13" spans="1:47" ht="28.8" customHeight="1" x14ac:dyDescent="0.4">
      <c r="H13" s="368" t="s">
        <v>4</v>
      </c>
      <c r="I13" s="402">
        <f>[3]N_PRODREQ!N33</f>
        <v>0</v>
      </c>
      <c r="J13" s="389"/>
      <c r="L13" s="368" t="s">
        <v>4</v>
      </c>
      <c r="M13" s="402"/>
      <c r="N13" s="389"/>
    </row>
    <row r="14" spans="1:47" ht="28.8" customHeight="1" x14ac:dyDescent="0.4">
      <c r="H14" s="368" t="s">
        <v>644</v>
      </c>
      <c r="I14" s="402">
        <f>[3]N_PRODREQ!N35</f>
        <v>0</v>
      </c>
      <c r="J14" s="390"/>
      <c r="L14" s="368" t="s">
        <v>644</v>
      </c>
      <c r="M14" s="402"/>
      <c r="N14" s="390"/>
    </row>
    <row r="15" spans="1:47" ht="28.8" customHeight="1" x14ac:dyDescent="0.4">
      <c r="H15" s="368" t="s">
        <v>645</v>
      </c>
      <c r="I15" s="402">
        <f>[3]N_PRODREQ!N37</f>
        <v>0</v>
      </c>
      <c r="J15" s="390"/>
      <c r="L15" s="368" t="s">
        <v>645</v>
      </c>
      <c r="M15" s="402"/>
      <c r="N15" s="390"/>
    </row>
    <row r="16" spans="1:47" ht="28.8" customHeight="1" x14ac:dyDescent="0.4">
      <c r="H16" s="368" t="s">
        <v>646</v>
      </c>
      <c r="I16" s="402">
        <f>[3]N_PRODREQ!N39</f>
        <v>0</v>
      </c>
      <c r="J16" s="390"/>
      <c r="L16" s="368" t="s">
        <v>646</v>
      </c>
      <c r="M16" s="402"/>
      <c r="N16" s="390"/>
    </row>
    <row r="17" spans="8:14" ht="28.8" customHeight="1" x14ac:dyDescent="0.3"/>
    <row r="18" spans="8:14" ht="28.8" customHeight="1" x14ac:dyDescent="0.3"/>
    <row r="19" spans="8:14" ht="28.8" customHeight="1" x14ac:dyDescent="0.3">
      <c r="H19" s="366" t="s">
        <v>647</v>
      </c>
      <c r="I19" s="151" t="s">
        <v>597</v>
      </c>
      <c r="J19" s="367" t="s">
        <v>643</v>
      </c>
      <c r="K19" s="401"/>
      <c r="L19" s="366" t="s">
        <v>10</v>
      </c>
      <c r="M19" s="151" t="s">
        <v>597</v>
      </c>
      <c r="N19" s="367" t="s">
        <v>643</v>
      </c>
    </row>
    <row r="20" spans="8:14" ht="28.8" customHeight="1" x14ac:dyDescent="0.4">
      <c r="H20" s="368" t="s">
        <v>3</v>
      </c>
      <c r="I20" s="402"/>
      <c r="J20" s="389"/>
      <c r="L20" s="368" t="s">
        <v>3</v>
      </c>
      <c r="M20" s="402"/>
      <c r="N20" s="389"/>
    </row>
    <row r="21" spans="8:14" ht="28.8" customHeight="1" x14ac:dyDescent="0.4">
      <c r="H21" s="368" t="s">
        <v>4</v>
      </c>
      <c r="I21" s="402"/>
      <c r="J21" s="389"/>
      <c r="L21" s="368" t="s">
        <v>4</v>
      </c>
      <c r="M21" s="402"/>
      <c r="N21" s="389"/>
    </row>
    <row r="22" spans="8:14" ht="28.8" customHeight="1" x14ac:dyDescent="0.4">
      <c r="H22" s="368" t="s">
        <v>644</v>
      </c>
      <c r="I22" s="402"/>
      <c r="J22" s="390"/>
      <c r="L22" s="368" t="s">
        <v>644</v>
      </c>
      <c r="M22" s="402"/>
      <c r="N22" s="390"/>
    </row>
    <row r="23" spans="8:14" ht="28.8" customHeight="1" x14ac:dyDescent="0.4">
      <c r="H23" s="368" t="s">
        <v>645</v>
      </c>
      <c r="I23" s="402"/>
      <c r="J23" s="390"/>
      <c r="L23" s="368" t="s">
        <v>645</v>
      </c>
      <c r="M23" s="402"/>
      <c r="N23" s="390"/>
    </row>
    <row r="24" spans="8:14" ht="28.8" customHeight="1" x14ac:dyDescent="0.4">
      <c r="H24" s="368" t="s">
        <v>646</v>
      </c>
      <c r="I24" s="402"/>
      <c r="J24" s="390"/>
      <c r="L24" s="368" t="s">
        <v>646</v>
      </c>
      <c r="M24" s="402"/>
      <c r="N24" s="390"/>
    </row>
    <row r="25" spans="8:14" ht="28.8" customHeight="1" x14ac:dyDescent="0.3"/>
    <row r="26" spans="8:14" ht="28.8" customHeight="1" x14ac:dyDescent="0.3"/>
    <row r="27" spans="8:14" ht="28.8" customHeight="1" x14ac:dyDescent="0.3"/>
    <row r="28" spans="8:14" ht="28.8" customHeight="1" x14ac:dyDescent="0.3"/>
    <row r="29" spans="8:14" ht="28.8" customHeight="1" x14ac:dyDescent="0.3"/>
    <row r="30" spans="8:14" ht="28.8" customHeight="1" x14ac:dyDescent="0.3"/>
    <row r="31" spans="8:14" ht="28.8" customHeight="1" x14ac:dyDescent="0.3"/>
    <row r="32" spans="8:14" ht="28.8" customHeight="1" x14ac:dyDescent="0.3"/>
    <row r="33" ht="28.8" customHeight="1" x14ac:dyDescent="0.3"/>
    <row r="34" ht="28.8" customHeight="1" x14ac:dyDescent="0.3"/>
    <row r="35" ht="28.8" customHeight="1" x14ac:dyDescent="0.3"/>
    <row r="36" ht="28.8" customHeight="1" x14ac:dyDescent="0.3"/>
    <row r="37" ht="28.8" customHeight="1" x14ac:dyDescent="0.3"/>
    <row r="38" ht="28.8" customHeight="1" x14ac:dyDescent="0.3"/>
    <row r="39" ht="28.8" customHeight="1" x14ac:dyDescent="0.3"/>
    <row r="40" ht="28.8" customHeight="1" x14ac:dyDescent="0.3"/>
    <row r="41" ht="28.8" customHeight="1" x14ac:dyDescent="0.3"/>
    <row r="42" ht="28.8" customHeight="1" x14ac:dyDescent="0.3"/>
    <row r="43" ht="28.8" customHeight="1" x14ac:dyDescent="0.3"/>
    <row r="44" ht="28.8" customHeight="1" x14ac:dyDescent="0.3"/>
    <row r="45" ht="28.8" customHeight="1" x14ac:dyDescent="0.3"/>
    <row r="46" ht="28.8" customHeight="1" x14ac:dyDescent="0.3"/>
    <row r="47" ht="28.8" customHeight="1" x14ac:dyDescent="0.3"/>
    <row r="48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312C9-F24C-43CF-B842-FE55AFC41AE7}">
  <sheetPr codeName="Planilha65">
    <tabColor rgb="FF171717"/>
  </sheetPr>
  <dimension ref="A1:AU66"/>
  <sheetViews>
    <sheetView zoomScale="40" zoomScaleNormal="40" workbookViewId="0">
      <selection activeCell="F19" sqref="F19"/>
    </sheetView>
  </sheetViews>
  <sheetFormatPr defaultRowHeight="14.4" x14ac:dyDescent="0.3"/>
  <cols>
    <col min="1" max="4" width="8.88671875" style="100"/>
    <col min="5" max="5" width="72.33203125" style="100" bestFit="1" customWidth="1"/>
    <col min="6" max="6" width="41.5546875" style="100" bestFit="1" customWidth="1"/>
    <col min="7" max="7" width="26" style="100" customWidth="1"/>
    <col min="8" max="8" width="32.33203125" style="100" bestFit="1" customWidth="1"/>
    <col min="9" max="9" width="22.88671875" style="100" bestFit="1" customWidth="1"/>
    <col min="10" max="10" width="26.77734375" style="100" customWidth="1"/>
    <col min="11" max="11" width="32.109375" style="100" bestFit="1" customWidth="1"/>
    <col min="12" max="12" width="36.5546875" style="100" bestFit="1" customWidth="1"/>
    <col min="13" max="13" width="21" style="100" bestFit="1" customWidth="1"/>
    <col min="14" max="14" width="25.109375" style="100" customWidth="1"/>
    <col min="15" max="15" width="15.5546875" style="100" customWidth="1"/>
    <col min="16" max="19" width="8.88671875" style="100"/>
    <col min="20" max="20" width="23.44140625" style="100" bestFit="1" customWidth="1"/>
    <col min="21" max="21" width="2.6640625" style="100" bestFit="1" customWidth="1"/>
    <col min="22" max="22" width="51.109375" style="100" customWidth="1"/>
    <col min="23" max="16384" width="8.88671875" style="100"/>
  </cols>
  <sheetData>
    <row r="1" spans="1:47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</row>
    <row r="2" spans="1:47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</row>
    <row r="3" spans="1:47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</row>
    <row r="4" spans="1:47" ht="46.2" customHeight="1" x14ac:dyDescent="0.3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</row>
    <row r="5" spans="1:47" x14ac:dyDescent="0.3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</row>
    <row r="6" spans="1:47" x14ac:dyDescent="0.3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</row>
    <row r="7" spans="1:47" x14ac:dyDescent="0.3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</row>
    <row r="8" spans="1:47" ht="28.8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</row>
    <row r="9" spans="1:47" ht="28.8" customHeight="1" x14ac:dyDescent="0.3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</row>
    <row r="10" spans="1:47" ht="28.8" customHeight="1" x14ac:dyDescent="0.3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</row>
    <row r="11" spans="1:47" ht="28.8" customHeight="1" x14ac:dyDescent="0.3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</row>
    <row r="12" spans="1:47" ht="28.8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</row>
    <row r="13" spans="1:47" ht="28.8" customHeight="1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</row>
    <row r="14" spans="1:47" ht="28.8" customHeight="1" x14ac:dyDescent="0.3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</row>
    <row r="15" spans="1:47" ht="28.8" customHeight="1" x14ac:dyDescent="0.3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</row>
    <row r="16" spans="1:47" ht="28.8" customHeight="1" x14ac:dyDescent="0.3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</row>
    <row r="17" spans="1:26" ht="28.8" customHeight="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</row>
    <row r="18" spans="1:26" ht="28.8" customHeight="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</row>
    <row r="19" spans="1:26" ht="28.8" customHeight="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</row>
    <row r="20" spans="1:26" ht="28.8" customHeight="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</row>
    <row r="21" spans="1:26" ht="28.8" customHeight="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</row>
    <row r="22" spans="1:26" ht="28.8" customHeight="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</row>
    <row r="23" spans="1:26" ht="28.8" customHeight="1" x14ac:dyDescent="0.3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</row>
    <row r="24" spans="1:26" ht="28.8" customHeight="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</row>
    <row r="25" spans="1:26" ht="28.8" customHeight="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</row>
    <row r="26" spans="1:26" ht="28.8" customHeight="1" x14ac:dyDescent="0.3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</row>
    <row r="27" spans="1:26" ht="28.8" customHeight="1" x14ac:dyDescent="0.3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</row>
    <row r="28" spans="1:26" ht="28.8" customHeight="1" x14ac:dyDescent="0.3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</row>
    <row r="29" spans="1:26" ht="28.8" customHeight="1" x14ac:dyDescent="0.3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</row>
    <row r="30" spans="1:26" ht="28.8" customHeight="1" x14ac:dyDescent="0.3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</row>
    <row r="31" spans="1:26" ht="28.8" customHeight="1" x14ac:dyDescent="0.3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</row>
    <row r="32" spans="1:26" ht="28.8" customHeight="1" x14ac:dyDescent="0.3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</row>
    <row r="33" spans="1:26" ht="28.8" customHeight="1" x14ac:dyDescent="0.3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</row>
    <row r="34" spans="1:26" ht="28.8" customHeight="1" x14ac:dyDescent="0.3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</row>
    <row r="35" spans="1:26" ht="28.8" customHeight="1" x14ac:dyDescent="0.3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</row>
    <row r="36" spans="1:26" ht="28.8" customHeight="1" x14ac:dyDescent="0.3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</row>
    <row r="37" spans="1:26" ht="28.8" customHeight="1" x14ac:dyDescent="0.3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</row>
    <row r="38" spans="1:26" ht="28.8" customHeight="1" x14ac:dyDescent="0.3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</row>
    <row r="39" spans="1:26" ht="28.8" customHeight="1" x14ac:dyDescent="0.3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</row>
    <row r="40" spans="1:26" ht="28.8" customHeight="1" x14ac:dyDescent="0.3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</row>
    <row r="41" spans="1:26" ht="28.8" customHeight="1" x14ac:dyDescent="0.3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</row>
    <row r="42" spans="1:26" ht="28.8" customHeight="1" x14ac:dyDescent="0.3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</row>
    <row r="43" spans="1:26" ht="28.8" customHeight="1" x14ac:dyDescent="0.3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</row>
    <row r="44" spans="1:26" ht="28.8" customHeight="1" x14ac:dyDescent="0.3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</row>
    <row r="45" spans="1:26" ht="28.8" customHeight="1" x14ac:dyDescent="0.3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</row>
    <row r="46" spans="1:26" ht="28.8" customHeight="1" x14ac:dyDescent="0.3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</row>
    <row r="47" spans="1:26" ht="28.8" customHeight="1" x14ac:dyDescent="0.3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</row>
    <row r="48" spans="1:26" ht="28.8" customHeight="1" x14ac:dyDescent="0.3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</row>
    <row r="49" spans="1:26" ht="28.8" customHeight="1" x14ac:dyDescent="0.3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</row>
    <row r="50" spans="1:26" ht="28.8" customHeight="1" x14ac:dyDescent="0.3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</row>
    <row r="51" spans="1:26" ht="28.8" customHeight="1" x14ac:dyDescent="0.3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</row>
    <row r="52" spans="1:26" ht="28.8" customHeight="1" x14ac:dyDescent="0.3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</row>
    <row r="53" spans="1:26" ht="28.8" customHeight="1" x14ac:dyDescent="0.3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</row>
    <row r="54" spans="1:26" ht="28.8" customHeight="1" x14ac:dyDescent="0.3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</row>
    <row r="55" spans="1:26" ht="28.8" customHeight="1" x14ac:dyDescent="0.3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</row>
    <row r="56" spans="1:26" ht="28.8" customHeight="1" x14ac:dyDescent="0.3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</row>
    <row r="57" spans="1:26" ht="28.8" customHeight="1" x14ac:dyDescent="0.3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</row>
    <row r="58" spans="1:26" ht="28.8" customHeight="1" x14ac:dyDescent="0.3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</row>
    <row r="59" spans="1:26" ht="28.8" customHeight="1" x14ac:dyDescent="0.3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</row>
    <row r="60" spans="1:26" ht="28.8" customHeight="1" x14ac:dyDescent="0.3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</row>
    <row r="61" spans="1:26" ht="28.8" customHeight="1" x14ac:dyDescent="0.3">
      <c r="A61" s="25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</row>
    <row r="62" spans="1:26" ht="28.8" customHeight="1" x14ac:dyDescent="0.3">
      <c r="A62" s="25"/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</row>
    <row r="63" spans="1:26" ht="28.8" customHeight="1" x14ac:dyDescent="0.3">
      <c r="A63" s="25"/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</row>
    <row r="64" spans="1:26" ht="28.8" customHeight="1" x14ac:dyDescent="0.3"/>
    <row r="65" ht="28.8" customHeight="1" x14ac:dyDescent="0.3"/>
    <row r="66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B5723-395D-4049-A718-9E36FFC302E7}">
  <sheetPr codeName="Planilha57">
    <tabColor rgb="FF171717"/>
  </sheetPr>
  <dimension ref="A1:AU66"/>
  <sheetViews>
    <sheetView zoomScale="40" zoomScaleNormal="40" workbookViewId="0"/>
  </sheetViews>
  <sheetFormatPr defaultRowHeight="14.4" x14ac:dyDescent="0.3"/>
  <cols>
    <col min="1" max="4" width="8.88671875" style="100"/>
    <col min="5" max="5" width="72.33203125" style="100" bestFit="1" customWidth="1"/>
    <col min="6" max="6" width="41.5546875" style="100" bestFit="1" customWidth="1"/>
    <col min="7" max="7" width="26" style="100" customWidth="1"/>
    <col min="8" max="8" width="32.33203125" style="100" bestFit="1" customWidth="1"/>
    <col min="9" max="9" width="22.88671875" style="100" bestFit="1" customWidth="1"/>
    <col min="10" max="10" width="26.77734375" style="100" customWidth="1"/>
    <col min="11" max="11" width="32.109375" style="100" bestFit="1" customWidth="1"/>
    <col min="12" max="12" width="36.5546875" style="100" bestFit="1" customWidth="1"/>
    <col min="13" max="13" width="21" style="100" bestFit="1" customWidth="1"/>
    <col min="14" max="14" width="25.109375" style="100" customWidth="1"/>
    <col min="15" max="15" width="15.5546875" style="100" customWidth="1"/>
    <col min="16" max="19" width="8.88671875" style="100"/>
    <col min="20" max="20" width="23.44140625" style="100" bestFit="1" customWidth="1"/>
    <col min="21" max="21" width="2.6640625" style="100" bestFit="1" customWidth="1"/>
    <col min="22" max="22" width="51.109375" style="100" customWidth="1"/>
    <col min="23" max="16384" width="8.88671875" style="100"/>
  </cols>
  <sheetData>
    <row r="1" spans="1:47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</row>
    <row r="2" spans="1:47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</row>
    <row r="3" spans="1:47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</row>
    <row r="4" spans="1:47" ht="46.2" customHeight="1" x14ac:dyDescent="0.3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</row>
    <row r="5" spans="1:47" x14ac:dyDescent="0.3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</row>
    <row r="6" spans="1:47" x14ac:dyDescent="0.3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</row>
    <row r="7" spans="1:47" x14ac:dyDescent="0.3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</row>
    <row r="8" spans="1:47" ht="28.8" customHeight="1" x14ac:dyDescent="0.3"/>
    <row r="9" spans="1:47" ht="28.8" customHeight="1" x14ac:dyDescent="0.3"/>
    <row r="10" spans="1:47" ht="28.8" customHeight="1" x14ac:dyDescent="0.3"/>
    <row r="11" spans="1:47" ht="28.8" customHeight="1" x14ac:dyDescent="0.3"/>
    <row r="12" spans="1:47" ht="28.8" customHeight="1" x14ac:dyDescent="0.3">
      <c r="F12" s="403"/>
      <c r="G12" s="407" t="s">
        <v>283</v>
      </c>
      <c r="H12" s="407"/>
      <c r="K12" s="403"/>
      <c r="L12" s="407" t="s">
        <v>283</v>
      </c>
      <c r="M12" s="407"/>
    </row>
    <row r="13" spans="1:47" ht="28.8" customHeight="1" x14ac:dyDescent="0.3">
      <c r="F13" s="406" t="s">
        <v>282</v>
      </c>
      <c r="G13" s="408" t="s">
        <v>648</v>
      </c>
      <c r="H13" s="408" t="s">
        <v>649</v>
      </c>
      <c r="K13" s="406" t="s">
        <v>650</v>
      </c>
      <c r="L13" s="408" t="s">
        <v>648</v>
      </c>
      <c r="M13" s="408" t="s">
        <v>649</v>
      </c>
    </row>
    <row r="14" spans="1:47" ht="28.8" customHeight="1" x14ac:dyDescent="0.3">
      <c r="F14" s="405" t="s">
        <v>647</v>
      </c>
      <c r="G14" s="409"/>
      <c r="H14" s="410"/>
      <c r="K14" s="405" t="s">
        <v>3</v>
      </c>
      <c r="L14" s="404"/>
      <c r="M14" s="404"/>
    </row>
    <row r="15" spans="1:47" ht="28.8" customHeight="1" x14ac:dyDescent="0.3">
      <c r="F15" s="405" t="s">
        <v>9</v>
      </c>
      <c r="G15" s="410"/>
      <c r="H15" s="410"/>
      <c r="K15" s="405" t="s">
        <v>4</v>
      </c>
      <c r="L15" s="404"/>
      <c r="M15" s="404"/>
    </row>
    <row r="16" spans="1:47" ht="28.8" customHeight="1" x14ac:dyDescent="0.3">
      <c r="F16" s="405" t="s">
        <v>10</v>
      </c>
      <c r="G16" s="410"/>
      <c r="H16" s="410"/>
      <c r="K16" s="405" t="s">
        <v>5</v>
      </c>
      <c r="L16" s="404"/>
      <c r="M16" s="404"/>
    </row>
    <row r="17" spans="6:13" ht="28.8" customHeight="1" x14ac:dyDescent="0.3">
      <c r="F17" s="405" t="s">
        <v>11</v>
      </c>
      <c r="G17" s="410"/>
      <c r="H17" s="410"/>
      <c r="K17" s="405" t="s">
        <v>6</v>
      </c>
      <c r="L17" s="404"/>
      <c r="M17" s="404"/>
    </row>
    <row r="18" spans="6:13" ht="28.8" customHeight="1" x14ac:dyDescent="0.3">
      <c r="K18" s="405" t="s">
        <v>7</v>
      </c>
      <c r="L18" s="322"/>
      <c r="M18" s="322"/>
    </row>
    <row r="19" spans="6:13" ht="28.8" customHeight="1" x14ac:dyDescent="0.3"/>
    <row r="20" spans="6:13" ht="28.8" customHeight="1" x14ac:dyDescent="0.3"/>
    <row r="21" spans="6:13" ht="28.8" customHeight="1" x14ac:dyDescent="0.3"/>
    <row r="22" spans="6:13" ht="28.8" customHeight="1" x14ac:dyDescent="0.3"/>
    <row r="23" spans="6:13" ht="28.8" customHeight="1" x14ac:dyDescent="0.3"/>
    <row r="24" spans="6:13" ht="28.8" customHeight="1" x14ac:dyDescent="0.3"/>
    <row r="25" spans="6:13" ht="28.8" customHeight="1" x14ac:dyDescent="0.3"/>
    <row r="26" spans="6:13" ht="28.8" customHeight="1" x14ac:dyDescent="0.3"/>
    <row r="27" spans="6:13" ht="28.8" customHeight="1" x14ac:dyDescent="0.3"/>
    <row r="28" spans="6:13" ht="28.8" customHeight="1" x14ac:dyDescent="0.3"/>
    <row r="29" spans="6:13" ht="28.8" customHeight="1" x14ac:dyDescent="0.3"/>
    <row r="30" spans="6:13" ht="28.8" customHeight="1" x14ac:dyDescent="0.3"/>
    <row r="31" spans="6:13" ht="28.8" customHeight="1" x14ac:dyDescent="0.3"/>
    <row r="32" spans="6:13" ht="28.8" customHeight="1" x14ac:dyDescent="0.3"/>
    <row r="33" ht="28.8" customHeight="1" x14ac:dyDescent="0.3"/>
    <row r="34" ht="28.8" customHeight="1" x14ac:dyDescent="0.3"/>
    <row r="35" ht="28.8" customHeight="1" x14ac:dyDescent="0.3"/>
    <row r="36" ht="28.8" customHeight="1" x14ac:dyDescent="0.3"/>
    <row r="37" ht="28.8" customHeight="1" x14ac:dyDescent="0.3"/>
    <row r="38" ht="28.8" customHeight="1" x14ac:dyDescent="0.3"/>
    <row r="39" ht="28.8" customHeight="1" x14ac:dyDescent="0.3"/>
    <row r="40" ht="28.8" customHeight="1" x14ac:dyDescent="0.3"/>
    <row r="41" ht="28.8" customHeight="1" x14ac:dyDescent="0.3"/>
    <row r="42" ht="28.8" customHeight="1" x14ac:dyDescent="0.3"/>
    <row r="43" ht="28.8" customHeight="1" x14ac:dyDescent="0.3"/>
    <row r="44" ht="28.8" customHeight="1" x14ac:dyDescent="0.3"/>
    <row r="45" ht="28.8" customHeight="1" x14ac:dyDescent="0.3"/>
    <row r="46" ht="28.8" customHeight="1" x14ac:dyDescent="0.3"/>
    <row r="47" ht="28.8" customHeight="1" x14ac:dyDescent="0.3"/>
    <row r="48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2">
    <mergeCell ref="G12:H12"/>
    <mergeCell ref="L12:M1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38CC7-3D80-40CF-B89A-6AE31FA636E0}">
  <sheetPr codeName="Planilha58">
    <tabColor rgb="FF171717"/>
  </sheetPr>
  <dimension ref="A1:AU66"/>
  <sheetViews>
    <sheetView zoomScale="25" zoomScaleNormal="25" workbookViewId="0"/>
  </sheetViews>
  <sheetFormatPr defaultRowHeight="14.4" x14ac:dyDescent="0.3"/>
  <cols>
    <col min="1" max="1" width="8.88671875" style="100"/>
    <col min="2" max="2" width="14.33203125" style="100" bestFit="1" customWidth="1"/>
    <col min="3" max="3" width="36.109375" style="100" customWidth="1"/>
    <col min="4" max="4" width="30.33203125" style="100" customWidth="1"/>
    <col min="5" max="5" width="47.6640625" style="100" customWidth="1"/>
    <col min="6" max="6" width="32.109375" style="100" bestFit="1" customWidth="1"/>
    <col min="7" max="7" width="26" style="100" customWidth="1"/>
    <col min="8" max="8" width="49" style="100" customWidth="1"/>
    <col min="9" max="9" width="25.44140625" style="100" bestFit="1" customWidth="1"/>
    <col min="10" max="10" width="21.44140625" style="100" bestFit="1" customWidth="1"/>
    <col min="11" max="11" width="51.6640625" style="100" customWidth="1"/>
    <col min="12" max="12" width="34.77734375" style="100" bestFit="1" customWidth="1"/>
    <col min="13" max="13" width="49.44140625" style="100" customWidth="1"/>
    <col min="14" max="14" width="28.109375" style="100" bestFit="1" customWidth="1"/>
    <col min="15" max="15" width="17" style="100" bestFit="1" customWidth="1"/>
    <col min="16" max="16" width="33" style="100" bestFit="1" customWidth="1"/>
    <col min="17" max="17" width="12.5546875" style="100" bestFit="1" customWidth="1"/>
    <col min="18" max="18" width="13" style="100" bestFit="1" customWidth="1"/>
    <col min="19" max="19" width="8.88671875" style="100"/>
    <col min="20" max="20" width="23.44140625" style="100" bestFit="1" customWidth="1"/>
    <col min="21" max="21" width="2.6640625" style="100" bestFit="1" customWidth="1"/>
    <col min="22" max="22" width="51.109375" style="100" customWidth="1"/>
    <col min="23" max="16384" width="8.88671875" style="100"/>
  </cols>
  <sheetData>
    <row r="1" spans="1:47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</row>
    <row r="2" spans="1:47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</row>
    <row r="3" spans="1:47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</row>
    <row r="4" spans="1:47" ht="46.2" customHeight="1" x14ac:dyDescent="0.3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</row>
    <row r="5" spans="1:47" x14ac:dyDescent="0.3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</row>
    <row r="6" spans="1:47" x14ac:dyDescent="0.3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</row>
    <row r="7" spans="1:47" x14ac:dyDescent="0.3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</row>
    <row r="8" spans="1:47" ht="28.8" customHeight="1" x14ac:dyDescent="0.3"/>
    <row r="9" spans="1:47" ht="28.8" customHeight="1" thickBot="1" x14ac:dyDescent="0.35"/>
    <row r="10" spans="1:47" ht="28.8" customHeight="1" thickBot="1" x14ac:dyDescent="0.45">
      <c r="E10" s="414" t="s">
        <v>361</v>
      </c>
      <c r="F10" s="415"/>
      <c r="G10" s="415"/>
      <c r="H10" s="415"/>
      <c r="I10" s="415"/>
      <c r="J10" s="415"/>
      <c r="K10" s="416"/>
      <c r="L10" s="417"/>
      <c r="M10" s="418" t="s">
        <v>406</v>
      </c>
      <c r="N10" s="419"/>
      <c r="O10" s="419"/>
      <c r="P10" s="420"/>
      <c r="Q10" s="320"/>
    </row>
    <row r="11" spans="1:47" ht="28.8" customHeight="1" x14ac:dyDescent="0.4">
      <c r="E11" s="421" t="s">
        <v>287</v>
      </c>
      <c r="F11" s="422" t="s">
        <v>362</v>
      </c>
      <c r="G11" s="422" t="s">
        <v>407</v>
      </c>
      <c r="H11" s="422" t="s">
        <v>293</v>
      </c>
      <c r="I11" s="422" t="s">
        <v>403</v>
      </c>
      <c r="J11" s="422" t="s">
        <v>408</v>
      </c>
      <c r="K11" s="423" t="s">
        <v>409</v>
      </c>
      <c r="L11" s="318"/>
      <c r="M11" s="436" t="s">
        <v>410</v>
      </c>
      <c r="N11" s="400" t="s">
        <v>362</v>
      </c>
      <c r="O11" s="400" t="s">
        <v>294</v>
      </c>
      <c r="P11" s="437" t="s">
        <v>407</v>
      </c>
      <c r="Q11" s="321"/>
    </row>
    <row r="12" spans="1:47" ht="28.8" customHeight="1" x14ac:dyDescent="0.4">
      <c r="E12" s="424" t="s">
        <v>411</v>
      </c>
      <c r="F12" s="425" t="s">
        <v>412</v>
      </c>
      <c r="G12" s="425" t="s">
        <v>413</v>
      </c>
      <c r="H12" s="426" t="s">
        <v>414</v>
      </c>
      <c r="I12" s="425" t="s">
        <v>415</v>
      </c>
      <c r="J12" s="425" t="s">
        <v>416</v>
      </c>
      <c r="K12" s="427" t="s">
        <v>417</v>
      </c>
      <c r="L12" s="318"/>
      <c r="M12" s="438"/>
      <c r="N12" s="439"/>
      <c r="O12" s="439"/>
      <c r="P12" s="440"/>
      <c r="Q12" s="321"/>
    </row>
    <row r="13" spans="1:47" ht="28.8" customHeight="1" x14ac:dyDescent="0.4">
      <c r="E13" s="424" t="s">
        <v>418</v>
      </c>
      <c r="F13" s="425" t="s">
        <v>419</v>
      </c>
      <c r="G13" s="425" t="s">
        <v>420</v>
      </c>
      <c r="H13" s="426" t="s">
        <v>421</v>
      </c>
      <c r="I13" s="425" t="s">
        <v>422</v>
      </c>
      <c r="J13" s="425" t="s">
        <v>416</v>
      </c>
      <c r="K13" s="428" t="s">
        <v>423</v>
      </c>
      <c r="L13" s="318"/>
      <c r="M13" s="438"/>
      <c r="N13" s="439"/>
      <c r="O13" s="439"/>
      <c r="P13" s="440"/>
      <c r="Q13" s="321"/>
    </row>
    <row r="14" spans="1:47" ht="28.8" customHeight="1" x14ac:dyDescent="0.4">
      <c r="E14" s="424" t="s">
        <v>424</v>
      </c>
      <c r="F14" s="425" t="s">
        <v>425</v>
      </c>
      <c r="G14" s="425" t="s">
        <v>426</v>
      </c>
      <c r="H14" s="426" t="s">
        <v>427</v>
      </c>
      <c r="I14" s="425" t="s">
        <v>428</v>
      </c>
      <c r="J14" s="425" t="s">
        <v>416</v>
      </c>
      <c r="K14" s="427" t="s">
        <v>429</v>
      </c>
      <c r="L14" s="318"/>
      <c r="M14" s="438"/>
      <c r="N14" s="439"/>
      <c r="O14" s="439"/>
      <c r="P14" s="440"/>
      <c r="Q14" s="321"/>
    </row>
    <row r="15" spans="1:47" ht="28.8" customHeight="1" x14ac:dyDescent="0.4">
      <c r="E15" s="424" t="s">
        <v>430</v>
      </c>
      <c r="F15" s="425" t="s">
        <v>431</v>
      </c>
      <c r="G15" s="425" t="s">
        <v>432</v>
      </c>
      <c r="H15" s="426" t="s">
        <v>433</v>
      </c>
      <c r="I15" s="425" t="s">
        <v>416</v>
      </c>
      <c r="J15" s="425" t="s">
        <v>416</v>
      </c>
      <c r="K15" s="429" t="s">
        <v>434</v>
      </c>
      <c r="L15" s="1"/>
      <c r="M15" s="438"/>
      <c r="N15" s="439"/>
      <c r="O15" s="439"/>
      <c r="P15" s="440"/>
      <c r="Q15" s="321"/>
    </row>
    <row r="16" spans="1:47" ht="28.8" customHeight="1" x14ac:dyDescent="0.4">
      <c r="E16" s="424" t="s">
        <v>435</v>
      </c>
      <c r="F16" s="425" t="s">
        <v>436</v>
      </c>
      <c r="G16" s="425" t="s">
        <v>437</v>
      </c>
      <c r="H16" s="426" t="s">
        <v>438</v>
      </c>
      <c r="I16" s="425" t="s">
        <v>439</v>
      </c>
      <c r="J16" s="425" t="s">
        <v>416</v>
      </c>
      <c r="K16" s="428" t="s">
        <v>440</v>
      </c>
      <c r="L16" s="1"/>
      <c r="M16" s="438"/>
      <c r="N16" s="439"/>
      <c r="O16" s="439"/>
      <c r="P16" s="440"/>
      <c r="Q16" s="321"/>
    </row>
    <row r="17" spans="5:17" ht="28.8" customHeight="1" x14ac:dyDescent="0.4">
      <c r="E17" s="424" t="s">
        <v>441</v>
      </c>
      <c r="F17" s="425" t="s">
        <v>442</v>
      </c>
      <c r="G17" s="425" t="s">
        <v>443</v>
      </c>
      <c r="H17" s="426" t="s">
        <v>444</v>
      </c>
      <c r="I17" s="425" t="s">
        <v>445</v>
      </c>
      <c r="J17" s="425" t="s">
        <v>416</v>
      </c>
      <c r="K17" s="427" t="s">
        <v>446</v>
      </c>
      <c r="L17" s="1"/>
      <c r="M17" s="438"/>
      <c r="N17" s="439"/>
      <c r="O17" s="439"/>
      <c r="P17" s="440"/>
      <c r="Q17" s="321"/>
    </row>
    <row r="18" spans="5:17" ht="28.8" customHeight="1" x14ac:dyDescent="0.4">
      <c r="E18" s="424" t="s">
        <v>447</v>
      </c>
      <c r="F18" s="425" t="s">
        <v>448</v>
      </c>
      <c r="G18" s="425" t="s">
        <v>449</v>
      </c>
      <c r="H18" s="426" t="s">
        <v>450</v>
      </c>
      <c r="I18" s="425" t="s">
        <v>451</v>
      </c>
      <c r="J18" s="425" t="s">
        <v>416</v>
      </c>
      <c r="K18" s="427" t="s">
        <v>452</v>
      </c>
      <c r="M18" s="438"/>
      <c r="N18" s="439"/>
      <c r="O18" s="439"/>
      <c r="P18" s="440"/>
      <c r="Q18" s="321"/>
    </row>
    <row r="19" spans="5:17" ht="28.8" customHeight="1" x14ac:dyDescent="0.4">
      <c r="E19" s="424" t="s">
        <v>453</v>
      </c>
      <c r="F19" s="425" t="s">
        <v>454</v>
      </c>
      <c r="G19" s="425" t="s">
        <v>455</v>
      </c>
      <c r="H19" s="426" t="s">
        <v>456</v>
      </c>
      <c r="I19" s="425" t="s">
        <v>457</v>
      </c>
      <c r="J19" s="425" t="s">
        <v>416</v>
      </c>
      <c r="K19" s="430" t="s">
        <v>458</v>
      </c>
      <c r="M19" s="438"/>
      <c r="N19" s="439"/>
      <c r="O19" s="439"/>
      <c r="P19" s="440"/>
      <c r="Q19" s="321"/>
    </row>
    <row r="20" spans="5:17" ht="28.8" customHeight="1" x14ac:dyDescent="0.4">
      <c r="E20" s="424" t="s">
        <v>459</v>
      </c>
      <c r="F20" s="425" t="s">
        <v>460</v>
      </c>
      <c r="G20" s="425" t="s">
        <v>461</v>
      </c>
      <c r="H20" s="426" t="s">
        <v>462</v>
      </c>
      <c r="I20" s="425" t="s">
        <v>463</v>
      </c>
      <c r="J20" s="425" t="s">
        <v>464</v>
      </c>
      <c r="K20" s="427" t="s">
        <v>465</v>
      </c>
      <c r="M20" s="438"/>
      <c r="N20" s="439"/>
      <c r="O20" s="439"/>
      <c r="P20" s="440"/>
      <c r="Q20" s="321"/>
    </row>
    <row r="21" spans="5:17" ht="28.8" customHeight="1" x14ac:dyDescent="0.4">
      <c r="E21" s="424" t="s">
        <v>466</v>
      </c>
      <c r="F21" s="425" t="s">
        <v>467</v>
      </c>
      <c r="G21" s="425" t="s">
        <v>468</v>
      </c>
      <c r="H21" s="426" t="s">
        <v>469</v>
      </c>
      <c r="I21" s="425" t="s">
        <v>470</v>
      </c>
      <c r="J21" s="425" t="s">
        <v>464</v>
      </c>
      <c r="K21" s="428" t="s">
        <v>471</v>
      </c>
      <c r="M21" s="438"/>
      <c r="N21" s="439"/>
      <c r="O21" s="439"/>
      <c r="P21" s="440"/>
      <c r="Q21" s="321"/>
    </row>
    <row r="22" spans="5:17" ht="28.8" customHeight="1" x14ac:dyDescent="0.4">
      <c r="E22" s="424" t="s">
        <v>472</v>
      </c>
      <c r="F22" s="425" t="s">
        <v>473</v>
      </c>
      <c r="G22" s="425" t="s">
        <v>474</v>
      </c>
      <c r="H22" s="426" t="s">
        <v>475</v>
      </c>
      <c r="I22" s="425" t="s">
        <v>476</v>
      </c>
      <c r="J22" s="425" t="s">
        <v>464</v>
      </c>
      <c r="K22" s="428" t="s">
        <v>477</v>
      </c>
      <c r="M22" s="438"/>
      <c r="N22" s="439"/>
      <c r="O22" s="439"/>
      <c r="P22" s="440"/>
      <c r="Q22" s="321"/>
    </row>
    <row r="23" spans="5:17" ht="28.8" customHeight="1" x14ac:dyDescent="0.4">
      <c r="E23" s="424" t="s">
        <v>478</v>
      </c>
      <c r="F23" s="425" t="s">
        <v>479</v>
      </c>
      <c r="G23" s="425" t="s">
        <v>480</v>
      </c>
      <c r="H23" s="426" t="s">
        <v>481</v>
      </c>
      <c r="I23" s="425" t="s">
        <v>482</v>
      </c>
      <c r="J23" s="425" t="s">
        <v>464</v>
      </c>
      <c r="K23" s="431" t="s">
        <v>483</v>
      </c>
      <c r="M23" s="438"/>
      <c r="N23" s="439"/>
      <c r="O23" s="439"/>
      <c r="P23" s="440"/>
      <c r="Q23" s="321"/>
    </row>
    <row r="24" spans="5:17" ht="28.8" customHeight="1" thickBot="1" x14ac:dyDescent="0.45">
      <c r="E24" s="424" t="s">
        <v>484</v>
      </c>
      <c r="F24" s="425" t="s">
        <v>485</v>
      </c>
      <c r="G24" s="425" t="s">
        <v>486</v>
      </c>
      <c r="H24" s="426" t="s">
        <v>487</v>
      </c>
      <c r="I24" s="425" t="s">
        <v>470</v>
      </c>
      <c r="J24" s="425" t="s">
        <v>464</v>
      </c>
      <c r="K24" s="427" t="s">
        <v>488</v>
      </c>
      <c r="L24" s="323"/>
      <c r="M24" s="441"/>
      <c r="N24" s="442"/>
      <c r="O24" s="442"/>
      <c r="P24" s="443"/>
    </row>
    <row r="25" spans="5:17" ht="28.8" customHeight="1" x14ac:dyDescent="0.35">
      <c r="E25" s="424" t="s">
        <v>489</v>
      </c>
      <c r="F25" s="425" t="s">
        <v>490</v>
      </c>
      <c r="G25" s="425" t="s">
        <v>491</v>
      </c>
      <c r="H25" s="426" t="s">
        <v>492</v>
      </c>
      <c r="I25" s="425" t="s">
        <v>493</v>
      </c>
      <c r="J25" s="425" t="s">
        <v>464</v>
      </c>
      <c r="K25" s="427" t="s">
        <v>494</v>
      </c>
    </row>
    <row r="26" spans="5:17" ht="28.8" customHeight="1" x14ac:dyDescent="0.35">
      <c r="E26" s="424" t="s">
        <v>495</v>
      </c>
      <c r="F26" s="425" t="s">
        <v>496</v>
      </c>
      <c r="G26" s="425" t="s">
        <v>497</v>
      </c>
      <c r="H26" s="426" t="s">
        <v>498</v>
      </c>
      <c r="I26" s="425" t="s">
        <v>499</v>
      </c>
      <c r="J26" s="425" t="s">
        <v>464</v>
      </c>
      <c r="K26" s="429" t="s">
        <v>500</v>
      </c>
    </row>
    <row r="27" spans="5:17" ht="28.8" customHeight="1" x14ac:dyDescent="0.35">
      <c r="E27" s="424" t="s">
        <v>501</v>
      </c>
      <c r="F27" s="425" t="s">
        <v>502</v>
      </c>
      <c r="G27" s="425" t="s">
        <v>503</v>
      </c>
      <c r="H27" s="426" t="s">
        <v>504</v>
      </c>
      <c r="I27" s="425" t="s">
        <v>505</v>
      </c>
      <c r="J27" s="425" t="s">
        <v>464</v>
      </c>
      <c r="K27" s="427" t="s">
        <v>506</v>
      </c>
    </row>
    <row r="28" spans="5:17" ht="28.8" customHeight="1" x14ac:dyDescent="0.35">
      <c r="E28" s="424" t="s">
        <v>507</v>
      </c>
      <c r="F28" s="425" t="s">
        <v>508</v>
      </c>
      <c r="G28" s="425" t="s">
        <v>509</v>
      </c>
      <c r="H28" s="426" t="s">
        <v>510</v>
      </c>
      <c r="I28" s="425" t="s">
        <v>511</v>
      </c>
      <c r="J28" s="425" t="s">
        <v>512</v>
      </c>
      <c r="K28" s="427" t="s">
        <v>513</v>
      </c>
    </row>
    <row r="29" spans="5:17" ht="28.8" customHeight="1" x14ac:dyDescent="0.35">
      <c r="E29" s="424" t="s">
        <v>514</v>
      </c>
      <c r="F29" s="425" t="s">
        <v>515</v>
      </c>
      <c r="G29" s="425" t="s">
        <v>516</v>
      </c>
      <c r="H29" s="426" t="s">
        <v>517</v>
      </c>
      <c r="I29" s="425" t="s">
        <v>518</v>
      </c>
      <c r="J29" s="425" t="s">
        <v>512</v>
      </c>
      <c r="K29" s="427" t="s">
        <v>519</v>
      </c>
    </row>
    <row r="30" spans="5:17" ht="28.8" customHeight="1" x14ac:dyDescent="0.35">
      <c r="E30" s="424" t="s">
        <v>520</v>
      </c>
      <c r="F30" s="425" t="s">
        <v>521</v>
      </c>
      <c r="G30" s="425" t="s">
        <v>522</v>
      </c>
      <c r="H30" s="426" t="s">
        <v>523</v>
      </c>
      <c r="I30" s="425" t="s">
        <v>524</v>
      </c>
      <c r="J30" s="425" t="s">
        <v>512</v>
      </c>
      <c r="K30" s="427" t="s">
        <v>525</v>
      </c>
    </row>
    <row r="31" spans="5:17" ht="28.8" customHeight="1" x14ac:dyDescent="0.35">
      <c r="E31" s="424" t="s">
        <v>526</v>
      </c>
      <c r="F31" s="425" t="s">
        <v>527</v>
      </c>
      <c r="G31" s="425" t="s">
        <v>528</v>
      </c>
      <c r="H31" s="426" t="s">
        <v>529</v>
      </c>
      <c r="I31" s="425" t="s">
        <v>530</v>
      </c>
      <c r="J31" s="425" t="s">
        <v>512</v>
      </c>
      <c r="K31" s="427" t="s">
        <v>531</v>
      </c>
    </row>
    <row r="32" spans="5:17" ht="28.8" customHeight="1" thickBot="1" x14ac:dyDescent="0.4">
      <c r="E32" s="432" t="s">
        <v>532</v>
      </c>
      <c r="F32" s="433" t="s">
        <v>533</v>
      </c>
      <c r="G32" s="433" t="s">
        <v>534</v>
      </c>
      <c r="H32" s="434" t="s">
        <v>535</v>
      </c>
      <c r="I32" s="433" t="s">
        <v>536</v>
      </c>
      <c r="J32" s="433" t="s">
        <v>512</v>
      </c>
      <c r="K32" s="435" t="s">
        <v>537</v>
      </c>
    </row>
    <row r="33" spans="2:18" ht="28.8" customHeight="1" x14ac:dyDescent="0.3"/>
    <row r="34" spans="2:18" ht="28.8" customHeight="1" thickBot="1" x14ac:dyDescent="0.35"/>
    <row r="35" spans="2:18" ht="28.8" customHeight="1" thickBot="1" x14ac:dyDescent="0.45">
      <c r="B35" s="444" t="s">
        <v>538</v>
      </c>
      <c r="C35" s="445"/>
      <c r="D35" s="445"/>
      <c r="E35" s="445"/>
      <c r="F35" s="445"/>
      <c r="G35" s="445"/>
      <c r="H35" s="445"/>
      <c r="I35" s="445"/>
      <c r="J35" s="445"/>
      <c r="K35" s="445"/>
      <c r="L35" s="445"/>
      <c r="M35" s="445"/>
      <c r="N35" s="445"/>
      <c r="O35" s="445"/>
      <c r="P35" s="445"/>
      <c r="Q35" s="445"/>
      <c r="R35" s="446"/>
    </row>
    <row r="36" spans="2:18" ht="28.8" customHeight="1" x14ac:dyDescent="0.4">
      <c r="B36" s="447" t="s">
        <v>287</v>
      </c>
      <c r="C36" s="448" t="s">
        <v>288</v>
      </c>
      <c r="D36" s="448" t="s">
        <v>289</v>
      </c>
      <c r="E36" s="448" t="s">
        <v>290</v>
      </c>
      <c r="F36" s="448" t="s">
        <v>291</v>
      </c>
      <c r="G36" s="448" t="s">
        <v>292</v>
      </c>
      <c r="H36" s="448" t="s">
        <v>293</v>
      </c>
      <c r="I36" s="448" t="s">
        <v>294</v>
      </c>
      <c r="J36" s="448" t="s">
        <v>295</v>
      </c>
      <c r="K36" s="448" t="s">
        <v>311</v>
      </c>
      <c r="L36" s="449" t="s">
        <v>539</v>
      </c>
      <c r="M36" s="449" t="s">
        <v>540</v>
      </c>
      <c r="N36" s="449" t="s">
        <v>541</v>
      </c>
      <c r="O36" s="449" t="s">
        <v>360</v>
      </c>
      <c r="P36" s="449" t="s">
        <v>542</v>
      </c>
      <c r="Q36" s="449" t="s">
        <v>543</v>
      </c>
      <c r="R36" s="450" t="s">
        <v>319</v>
      </c>
    </row>
    <row r="37" spans="2:18" ht="28.8" customHeight="1" x14ac:dyDescent="0.3">
      <c r="B37" s="327" t="s">
        <v>544</v>
      </c>
      <c r="C37" s="322" t="s">
        <v>545</v>
      </c>
      <c r="D37" s="322" t="s">
        <v>546</v>
      </c>
      <c r="E37" s="322" t="s">
        <v>547</v>
      </c>
      <c r="F37" s="322">
        <v>3336859865</v>
      </c>
      <c r="G37" s="322" t="s">
        <v>548</v>
      </c>
      <c r="H37" s="328" t="s">
        <v>444</v>
      </c>
      <c r="I37" s="329" t="s">
        <v>549</v>
      </c>
      <c r="J37" s="322" t="s">
        <v>550</v>
      </c>
      <c r="K37" s="322" t="s">
        <v>551</v>
      </c>
      <c r="L37" s="330">
        <v>3000</v>
      </c>
      <c r="M37" s="330"/>
      <c r="N37" s="330"/>
      <c r="O37" s="330"/>
      <c r="P37" s="330"/>
      <c r="Q37" s="330"/>
      <c r="R37" s="331"/>
    </row>
    <row r="38" spans="2:18" ht="28.8" customHeight="1" x14ac:dyDescent="0.3">
      <c r="B38" s="327" t="s">
        <v>552</v>
      </c>
      <c r="C38" s="322" t="s">
        <v>545</v>
      </c>
      <c r="D38" s="322" t="s">
        <v>553</v>
      </c>
      <c r="E38" s="322" t="s">
        <v>554</v>
      </c>
      <c r="F38" s="322">
        <v>3336859865</v>
      </c>
      <c r="G38" s="322" t="s">
        <v>555</v>
      </c>
      <c r="H38" s="328" t="s">
        <v>450</v>
      </c>
      <c r="I38" s="329" t="s">
        <v>556</v>
      </c>
      <c r="J38" s="322" t="s">
        <v>557</v>
      </c>
      <c r="K38" s="322" t="s">
        <v>551</v>
      </c>
      <c r="L38" s="330">
        <v>3000</v>
      </c>
      <c r="M38" s="330"/>
      <c r="N38" s="330"/>
      <c r="O38" s="330"/>
      <c r="P38" s="330"/>
      <c r="Q38" s="330"/>
      <c r="R38" s="331"/>
    </row>
    <row r="39" spans="2:18" ht="28.8" customHeight="1" x14ac:dyDescent="0.3">
      <c r="B39" s="327" t="s">
        <v>558</v>
      </c>
      <c r="C39" s="322" t="s">
        <v>545</v>
      </c>
      <c r="D39" s="322" t="s">
        <v>546</v>
      </c>
      <c r="E39" s="322" t="s">
        <v>547</v>
      </c>
      <c r="F39" s="322">
        <v>3336859865</v>
      </c>
      <c r="G39" s="322" t="s">
        <v>559</v>
      </c>
      <c r="H39" s="328" t="s">
        <v>456</v>
      </c>
      <c r="I39" s="329" t="s">
        <v>560</v>
      </c>
      <c r="J39" s="322" t="s">
        <v>561</v>
      </c>
      <c r="K39" s="322" t="s">
        <v>551</v>
      </c>
      <c r="L39" s="330">
        <v>3000</v>
      </c>
      <c r="M39" s="330"/>
      <c r="N39" s="330"/>
      <c r="O39" s="330"/>
      <c r="P39" s="330"/>
      <c r="Q39" s="330"/>
      <c r="R39" s="331"/>
    </row>
    <row r="40" spans="2:18" ht="28.8" customHeight="1" x14ac:dyDescent="0.3">
      <c r="B40" s="327" t="s">
        <v>562</v>
      </c>
      <c r="C40" s="322" t="s">
        <v>545</v>
      </c>
      <c r="D40" s="322" t="s">
        <v>563</v>
      </c>
      <c r="E40" s="322" t="s">
        <v>554</v>
      </c>
      <c r="F40" s="322">
        <v>3336859865</v>
      </c>
      <c r="G40" s="322" t="s">
        <v>564</v>
      </c>
      <c r="H40" s="328" t="s">
        <v>462</v>
      </c>
      <c r="I40" s="329" t="s">
        <v>565</v>
      </c>
      <c r="J40" s="322" t="s">
        <v>566</v>
      </c>
      <c r="K40" s="322" t="s">
        <v>551</v>
      </c>
      <c r="L40" s="330">
        <v>3000</v>
      </c>
      <c r="M40" s="330"/>
      <c r="N40" s="330"/>
      <c r="O40" s="330"/>
      <c r="P40" s="330"/>
      <c r="Q40" s="330"/>
      <c r="R40" s="331"/>
    </row>
    <row r="41" spans="2:18" ht="28.8" customHeight="1" thickBot="1" x14ac:dyDescent="0.35">
      <c r="B41" s="324"/>
      <c r="C41" s="325"/>
      <c r="D41" s="325"/>
      <c r="E41" s="325"/>
      <c r="F41" s="325"/>
      <c r="G41" s="325"/>
      <c r="H41" s="325"/>
      <c r="I41" s="325"/>
      <c r="J41" s="325"/>
      <c r="K41" s="325"/>
      <c r="L41" s="325"/>
      <c r="M41" s="325"/>
      <c r="N41" s="325"/>
      <c r="O41" s="325"/>
      <c r="P41" s="325"/>
      <c r="Q41" s="325"/>
      <c r="R41" s="326"/>
    </row>
    <row r="42" spans="2:18" ht="28.8" customHeight="1" x14ac:dyDescent="0.3"/>
    <row r="43" spans="2:18" ht="28.8" customHeight="1" x14ac:dyDescent="0.3"/>
    <row r="44" spans="2:18" ht="28.8" customHeight="1" x14ac:dyDescent="0.3"/>
    <row r="45" spans="2:18" ht="28.8" customHeight="1" x14ac:dyDescent="0.3"/>
    <row r="46" spans="2:18" ht="28.8" customHeight="1" x14ac:dyDescent="0.3"/>
    <row r="47" spans="2:18" ht="28.8" customHeight="1" x14ac:dyDescent="0.3"/>
    <row r="48" spans="2:18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3">
    <mergeCell ref="E10:K10"/>
    <mergeCell ref="M10:P10"/>
    <mergeCell ref="B35:R35"/>
  </mergeCells>
  <hyperlinks>
    <hyperlink ref="M28" r:id="rId1" display="andréa.melo29@email.com" xr:uid="{C4EA4A1B-26E0-42C9-BF70-66E6A36F238C}"/>
    <hyperlink ref="K15" r:id="rId2" xr:uid="{C21EECCD-46A6-4E2F-AC67-9E52B4A1B3D2}"/>
    <hyperlink ref="K26" r:id="rId3" xr:uid="{01799DF7-0412-4547-A33A-EA963AC7CC6F}"/>
    <hyperlink ref="K19" r:id="rId4" xr:uid="{9669162A-2754-450F-82E3-02FF3260D66E}"/>
    <hyperlink ref="I37" r:id="rId5" xr:uid="{7D8812B5-5549-4813-820A-E534AC0B5D92}"/>
    <hyperlink ref="I38" r:id="rId6" xr:uid="{25BE2819-D5BA-41F5-9755-92749E0ADFC9}"/>
    <hyperlink ref="I39" r:id="rId7" xr:uid="{949DFCA6-CB6D-4FA8-99CD-A6C4D233CD59}"/>
    <hyperlink ref="I40" r:id="rId8" xr:uid="{284D7F50-88EB-4A0B-94B5-EF2ACECCDABA}"/>
  </hyperlinks>
  <pageMargins left="0.511811024" right="0.511811024" top="0.78740157499999996" bottom="0.78740157499999996" header="0.31496062000000002" footer="0.31496062000000002"/>
  <pageSetup paperSize="9" orientation="portrait" r:id="rId9"/>
  <drawing r:id="rId10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7C82B-B2A8-4BD4-9508-2C22EEC577A0}">
  <sheetPr codeName="Planilha59">
    <tabColor rgb="FF171717"/>
  </sheetPr>
  <dimension ref="A1:AU66"/>
  <sheetViews>
    <sheetView zoomScale="40" zoomScaleNormal="40" workbookViewId="0"/>
  </sheetViews>
  <sheetFormatPr defaultRowHeight="14.4" x14ac:dyDescent="0.3"/>
  <cols>
    <col min="1" max="1" width="8.88671875" style="100"/>
    <col min="2" max="2" width="14.33203125" style="100" bestFit="1" customWidth="1"/>
    <col min="3" max="3" width="36.109375" style="100" customWidth="1"/>
    <col min="4" max="4" width="30.33203125" style="100" customWidth="1"/>
    <col min="5" max="5" width="21" style="100" bestFit="1" customWidth="1"/>
    <col min="6" max="6" width="45.44140625" style="100" bestFit="1" customWidth="1"/>
    <col min="7" max="7" width="34" style="100" bestFit="1" customWidth="1"/>
    <col min="8" max="8" width="50.44140625" style="100" bestFit="1" customWidth="1"/>
    <col min="9" max="9" width="46.21875" style="100" bestFit="1" customWidth="1"/>
    <col min="10" max="10" width="35.6640625" style="100" bestFit="1" customWidth="1"/>
    <col min="11" max="11" width="36.21875" style="100" bestFit="1" customWidth="1"/>
    <col min="12" max="12" width="36" style="100" bestFit="1" customWidth="1"/>
    <col min="13" max="13" width="49.44140625" style="100" customWidth="1"/>
    <col min="14" max="14" width="28.109375" style="100" bestFit="1" customWidth="1"/>
    <col min="15" max="15" width="17" style="100" bestFit="1" customWidth="1"/>
    <col min="16" max="16" width="33" style="100" bestFit="1" customWidth="1"/>
    <col min="17" max="17" width="12.5546875" style="100" bestFit="1" customWidth="1"/>
    <col min="18" max="18" width="13" style="100" bestFit="1" customWidth="1"/>
    <col min="19" max="19" width="8.88671875" style="100"/>
    <col min="20" max="20" width="23.44140625" style="100" bestFit="1" customWidth="1"/>
    <col min="21" max="21" width="2.6640625" style="100" bestFit="1" customWidth="1"/>
    <col min="22" max="22" width="51.109375" style="100" customWidth="1"/>
    <col min="23" max="16384" width="8.88671875" style="100"/>
  </cols>
  <sheetData>
    <row r="1" spans="1:47" x14ac:dyDescent="0.3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</row>
    <row r="2" spans="1:47" x14ac:dyDescent="0.3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101"/>
      <c r="AL2" s="101"/>
      <c r="AM2" s="101"/>
      <c r="AN2" s="101"/>
      <c r="AO2" s="101"/>
      <c r="AP2" s="101"/>
      <c r="AQ2" s="101"/>
      <c r="AR2" s="101"/>
      <c r="AS2" s="101"/>
      <c r="AT2" s="101"/>
      <c r="AU2" s="101"/>
    </row>
    <row r="3" spans="1:47" ht="61.2" customHeight="1" x14ac:dyDescent="0.3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</row>
    <row r="4" spans="1:47" ht="46.2" customHeight="1" x14ac:dyDescent="0.3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50"/>
    </row>
    <row r="5" spans="1:47" x14ac:dyDescent="0.3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0"/>
      <c r="AR5" s="150"/>
      <c r="AS5" s="150"/>
      <c r="AT5" s="150"/>
      <c r="AU5" s="150"/>
    </row>
    <row r="6" spans="1:47" x14ac:dyDescent="0.3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0"/>
      <c r="AQ6" s="150"/>
      <c r="AR6" s="150"/>
      <c r="AS6" s="150"/>
      <c r="AT6" s="150"/>
      <c r="AU6" s="150"/>
    </row>
    <row r="7" spans="1:47" x14ac:dyDescent="0.3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</row>
    <row r="8" spans="1:47" ht="28.8" customHeight="1" x14ac:dyDescent="0.3"/>
    <row r="9" spans="1:47" ht="28.8" customHeight="1" x14ac:dyDescent="0.3"/>
    <row r="10" spans="1:47" ht="28.8" customHeight="1" x14ac:dyDescent="0.3"/>
    <row r="11" spans="1:47" ht="28.8" customHeight="1" x14ac:dyDescent="0.3">
      <c r="E11" s="451" t="s">
        <v>567</v>
      </c>
      <c r="F11" s="451"/>
      <c r="G11" s="451"/>
      <c r="H11" s="451"/>
      <c r="I11" s="451"/>
      <c r="J11" s="332"/>
      <c r="K11" s="332"/>
      <c r="L11" s="319"/>
    </row>
    <row r="12" spans="1:47" ht="28.8" customHeight="1" x14ac:dyDescent="0.4">
      <c r="E12" s="452" t="s">
        <v>282</v>
      </c>
      <c r="F12" s="452" t="s">
        <v>568</v>
      </c>
      <c r="G12" s="453" t="s">
        <v>364</v>
      </c>
      <c r="H12" s="452" t="s">
        <v>365</v>
      </c>
      <c r="I12" s="452" t="s">
        <v>569</v>
      </c>
      <c r="J12" s="333"/>
      <c r="K12" s="333"/>
      <c r="L12" s="318"/>
    </row>
    <row r="13" spans="1:47" ht="28.8" customHeight="1" x14ac:dyDescent="0.4">
      <c r="E13" s="454"/>
      <c r="F13" s="454"/>
      <c r="G13" s="455">
        <v>20</v>
      </c>
      <c r="H13" s="454"/>
      <c r="I13" s="454" t="s">
        <v>570</v>
      </c>
      <c r="J13" s="81"/>
      <c r="K13" s="334"/>
      <c r="L13" s="318"/>
    </row>
    <row r="14" spans="1:47" ht="28.8" customHeight="1" x14ac:dyDescent="0.35">
      <c r="E14" s="454"/>
      <c r="F14" s="456"/>
      <c r="G14" s="457">
        <v>30</v>
      </c>
      <c r="H14" s="454"/>
      <c r="I14" s="454" t="s">
        <v>570</v>
      </c>
      <c r="J14" s="81"/>
      <c r="K14" s="321"/>
      <c r="L14" s="318"/>
    </row>
    <row r="15" spans="1:47" ht="28.8" customHeight="1" x14ac:dyDescent="0.35">
      <c r="E15" s="454"/>
      <c r="F15" s="454"/>
      <c r="G15" s="457">
        <v>23</v>
      </c>
      <c r="H15" s="454"/>
      <c r="I15" s="454" t="s">
        <v>570</v>
      </c>
      <c r="J15" s="81"/>
      <c r="K15" s="334"/>
      <c r="L15" s="318"/>
    </row>
    <row r="16" spans="1:47" ht="28.8" customHeight="1" x14ac:dyDescent="0.35">
      <c r="E16" s="454"/>
      <c r="F16" s="454"/>
      <c r="G16" s="457">
        <v>50</v>
      </c>
      <c r="H16" s="454"/>
      <c r="I16" s="454" t="s">
        <v>570</v>
      </c>
      <c r="J16" s="81"/>
      <c r="K16" s="335"/>
      <c r="L16" s="1"/>
    </row>
    <row r="17" spans="5:12" ht="28.8" customHeight="1" x14ac:dyDescent="0.35">
      <c r="E17" s="454"/>
      <c r="F17" s="454"/>
      <c r="G17" s="457">
        <v>77</v>
      </c>
      <c r="H17" s="454"/>
      <c r="I17" s="454" t="s">
        <v>570</v>
      </c>
      <c r="J17" s="81"/>
      <c r="K17" s="321"/>
      <c r="L17" s="1"/>
    </row>
    <row r="18" spans="5:12" ht="28.8" customHeight="1" x14ac:dyDescent="0.35">
      <c r="E18" s="454"/>
      <c r="F18" s="454"/>
      <c r="G18" s="457">
        <v>55</v>
      </c>
      <c r="H18" s="454"/>
      <c r="I18" s="454" t="s">
        <v>570</v>
      </c>
      <c r="J18" s="81"/>
      <c r="K18" s="334"/>
      <c r="L18" s="1"/>
    </row>
    <row r="19" spans="5:12" ht="28.8" customHeight="1" x14ac:dyDescent="0.35">
      <c r="E19" s="454"/>
      <c r="F19" s="454"/>
      <c r="G19" s="457">
        <v>130</v>
      </c>
      <c r="H19" s="454"/>
      <c r="I19" s="454" t="s">
        <v>570</v>
      </c>
      <c r="J19" s="81"/>
      <c r="K19" s="334"/>
    </row>
    <row r="20" spans="5:12" ht="28.8" customHeight="1" x14ac:dyDescent="0.35">
      <c r="E20" s="454"/>
      <c r="F20" s="454"/>
      <c r="G20" s="457">
        <v>62</v>
      </c>
      <c r="H20" s="454"/>
      <c r="I20" s="454" t="s">
        <v>570</v>
      </c>
      <c r="J20" s="81"/>
      <c r="K20" s="336"/>
    </row>
    <row r="21" spans="5:12" ht="28.8" customHeight="1" x14ac:dyDescent="0.35">
      <c r="E21" s="454"/>
      <c r="F21" s="454"/>
      <c r="G21" s="457">
        <v>8</v>
      </c>
      <c r="H21" s="454"/>
      <c r="I21" s="454" t="s">
        <v>570</v>
      </c>
      <c r="J21" s="81"/>
      <c r="K21" s="334"/>
    </row>
    <row r="22" spans="5:12" ht="28.8" customHeight="1" x14ac:dyDescent="0.35">
      <c r="E22" s="454"/>
      <c r="F22" s="454"/>
      <c r="G22" s="457">
        <v>54</v>
      </c>
      <c r="H22" s="454"/>
      <c r="I22" s="454" t="s">
        <v>570</v>
      </c>
      <c r="J22" s="81"/>
      <c r="K22" s="321"/>
    </row>
    <row r="23" spans="5:12" ht="28.8" customHeight="1" x14ac:dyDescent="0.35">
      <c r="E23" s="454"/>
      <c r="F23" s="454"/>
      <c r="G23" s="457">
        <v>4</v>
      </c>
      <c r="H23" s="454"/>
      <c r="I23" s="454" t="s">
        <v>570</v>
      </c>
      <c r="J23" s="81"/>
      <c r="K23" s="321"/>
    </row>
    <row r="24" spans="5:12" ht="28.8" customHeight="1" x14ac:dyDescent="0.35">
      <c r="E24" s="454"/>
      <c r="F24" s="454"/>
      <c r="G24" s="457">
        <v>64</v>
      </c>
      <c r="H24" s="454"/>
      <c r="I24" s="454" t="s">
        <v>570</v>
      </c>
      <c r="J24" s="81"/>
      <c r="K24" s="337"/>
    </row>
    <row r="25" spans="5:12" ht="28.8" customHeight="1" x14ac:dyDescent="0.35">
      <c r="E25" s="454"/>
      <c r="F25" s="454"/>
      <c r="G25" s="457">
        <v>78</v>
      </c>
      <c r="H25" s="454"/>
      <c r="I25" s="454" t="s">
        <v>570</v>
      </c>
      <c r="J25" s="81"/>
      <c r="K25" s="334"/>
      <c r="L25" s="323"/>
    </row>
    <row r="26" spans="5:12" ht="28.8" customHeight="1" thickBot="1" x14ac:dyDescent="0.35">
      <c r="E26" s="81"/>
      <c r="F26" s="81"/>
      <c r="G26" s="81"/>
      <c r="H26" s="334"/>
      <c r="I26" s="81"/>
      <c r="J26" s="81"/>
      <c r="K26" s="334"/>
    </row>
    <row r="27" spans="5:12" ht="28.8" customHeight="1" x14ac:dyDescent="0.4">
      <c r="E27" s="411" t="s">
        <v>571</v>
      </c>
      <c r="F27" s="412"/>
      <c r="G27" s="412"/>
      <c r="H27" s="412"/>
      <c r="I27" s="412"/>
      <c r="J27" s="412"/>
      <c r="K27" s="412"/>
      <c r="L27" s="413"/>
    </row>
    <row r="28" spans="5:12" ht="28.8" customHeight="1" x14ac:dyDescent="0.3">
      <c r="E28" s="458" t="s">
        <v>220</v>
      </c>
      <c r="F28" s="362" t="s">
        <v>572</v>
      </c>
      <c r="G28" s="362" t="s">
        <v>573</v>
      </c>
      <c r="H28" s="362" t="s">
        <v>574</v>
      </c>
      <c r="I28" s="362" t="s">
        <v>575</v>
      </c>
      <c r="J28" s="362" t="s">
        <v>576</v>
      </c>
      <c r="K28" s="362" t="s">
        <v>577</v>
      </c>
      <c r="L28" s="459" t="s">
        <v>578</v>
      </c>
    </row>
    <row r="29" spans="5:12" ht="28.8" customHeight="1" x14ac:dyDescent="0.4">
      <c r="E29" s="460"/>
      <c r="F29" s="410"/>
      <c r="G29" s="410"/>
      <c r="H29" s="410"/>
      <c r="I29" s="410"/>
      <c r="J29" s="439"/>
      <c r="K29" s="439"/>
      <c r="L29" s="440"/>
    </row>
    <row r="30" spans="5:12" ht="28.8" customHeight="1" x14ac:dyDescent="0.4">
      <c r="E30" s="460"/>
      <c r="F30" s="410"/>
      <c r="G30" s="410"/>
      <c r="H30" s="410"/>
      <c r="I30" s="410"/>
      <c r="J30" s="439"/>
      <c r="K30" s="439"/>
      <c r="L30" s="440"/>
    </row>
    <row r="31" spans="5:12" ht="28.8" customHeight="1" x14ac:dyDescent="0.4">
      <c r="E31" s="438"/>
      <c r="F31" s="439"/>
      <c r="G31" s="439"/>
      <c r="H31" s="439"/>
      <c r="I31" s="439"/>
      <c r="J31" s="439"/>
      <c r="K31" s="439"/>
      <c r="L31" s="440"/>
    </row>
    <row r="32" spans="5:12" ht="28.8" customHeight="1" x14ac:dyDescent="0.4">
      <c r="E32" s="438"/>
      <c r="F32" s="439"/>
      <c r="G32" s="439"/>
      <c r="H32" s="439"/>
      <c r="I32" s="439"/>
      <c r="J32" s="439"/>
      <c r="K32" s="439"/>
      <c r="L32" s="440"/>
    </row>
    <row r="33" spans="5:12" ht="28.8" customHeight="1" x14ac:dyDescent="0.4">
      <c r="E33" s="438"/>
      <c r="F33" s="439"/>
      <c r="G33" s="439"/>
      <c r="H33" s="439"/>
      <c r="I33" s="439"/>
      <c r="J33" s="439"/>
      <c r="K33" s="439"/>
      <c r="L33" s="440"/>
    </row>
    <row r="34" spans="5:12" ht="28.8" customHeight="1" thickBot="1" x14ac:dyDescent="0.45">
      <c r="E34" s="441"/>
      <c r="F34" s="442"/>
      <c r="G34" s="442"/>
      <c r="H34" s="442"/>
      <c r="I34" s="442"/>
      <c r="J34" s="442"/>
      <c r="K34" s="442"/>
      <c r="L34" s="443"/>
    </row>
    <row r="35" spans="5:12" ht="28.8" customHeight="1" x14ac:dyDescent="0.3"/>
    <row r="36" spans="5:12" ht="28.8" customHeight="1" x14ac:dyDescent="0.3"/>
    <row r="37" spans="5:12" ht="28.8" customHeight="1" x14ac:dyDescent="0.3"/>
    <row r="38" spans="5:12" ht="28.8" customHeight="1" x14ac:dyDescent="0.3"/>
    <row r="39" spans="5:12" ht="28.8" customHeight="1" x14ac:dyDescent="0.3"/>
    <row r="40" spans="5:12" ht="28.8" customHeight="1" x14ac:dyDescent="0.3"/>
    <row r="41" spans="5:12" ht="28.8" customHeight="1" x14ac:dyDescent="0.3"/>
    <row r="42" spans="5:12" ht="28.8" customHeight="1" x14ac:dyDescent="0.3"/>
    <row r="43" spans="5:12" ht="28.8" customHeight="1" x14ac:dyDescent="0.3"/>
    <row r="44" spans="5:12" ht="28.8" customHeight="1" x14ac:dyDescent="0.3"/>
    <row r="45" spans="5:12" ht="28.8" customHeight="1" x14ac:dyDescent="0.3"/>
    <row r="46" spans="5:12" ht="28.8" customHeight="1" x14ac:dyDescent="0.3"/>
    <row r="47" spans="5:12" ht="28.8" customHeight="1" x14ac:dyDescent="0.3"/>
    <row r="48" spans="5:12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2">
    <mergeCell ref="E11:I11"/>
    <mergeCell ref="E27:L27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43</vt:i4>
      </vt:variant>
    </vt:vector>
  </HeadingPairs>
  <TitlesOfParts>
    <vt:vector size="43" baseType="lpstr">
      <vt:lpstr>HOME</vt:lpstr>
      <vt:lpstr>PROD_HOME</vt:lpstr>
      <vt:lpstr>PRODUÇÃO_REQUISIÇÕES</vt:lpstr>
      <vt:lpstr>PRODUÇÃO_EQUIPES</vt:lpstr>
      <vt:lpstr>PRODUÇÃO_LANÇAMENTOS</vt:lpstr>
      <vt:lpstr>PRODUÇÃO_CONSULTA</vt:lpstr>
      <vt:lpstr>HOME_LOGISTICA</vt:lpstr>
      <vt:lpstr>N_LOGCLIENTES</vt:lpstr>
      <vt:lpstr>N_LOGVEIC</vt:lpstr>
      <vt:lpstr>N_LOGCRON</vt:lpstr>
      <vt:lpstr>N_LOGFRETE</vt:lpstr>
      <vt:lpstr>N_LOGRELAT</vt:lpstr>
      <vt:lpstr>N_LOGRAST</vt:lpstr>
      <vt:lpstr>N_LOGCAD</vt:lpstr>
      <vt:lpstr>HOME_ESTOQUE</vt:lpstr>
      <vt:lpstr>N_ESTQSAÍDAS</vt:lpstr>
      <vt:lpstr>N_ESTQENTRAD</vt:lpstr>
      <vt:lpstr>HOME_RH</vt:lpstr>
      <vt:lpstr>N_RHCONTRATAÇÃO</vt:lpstr>
      <vt:lpstr>N_CADASTRAR</vt:lpstr>
      <vt:lpstr>N_RHFOLHA</vt:lpstr>
      <vt:lpstr>N_RHREF </vt:lpstr>
      <vt:lpstr>HOME_VENDAS</vt:lpstr>
      <vt:lpstr>N_VCLIENTES (2)</vt:lpstr>
      <vt:lpstr>N_VCINTRL (2)</vt:lpstr>
      <vt:lpstr>N_VMETAS (2)</vt:lpstr>
      <vt:lpstr>N_VRELCOM (2)</vt:lpstr>
      <vt:lpstr>N_VRELMET (2)</vt:lpstr>
      <vt:lpstr>HOME_COMPRAS</vt:lpstr>
      <vt:lpstr>N_CCADASTROF</vt:lpstr>
      <vt:lpstr>N_PROCFOR</vt:lpstr>
      <vt:lpstr>N_CSOLICITAR</vt:lpstr>
      <vt:lpstr>N_CMP</vt:lpstr>
      <vt:lpstr>SOLICITAÇÕES</vt:lpstr>
      <vt:lpstr>N_CREALIZARP</vt:lpstr>
      <vt:lpstr>HOME_FINANCAS</vt:lpstr>
      <vt:lpstr>N_FINANÇAS</vt:lpstr>
      <vt:lpstr>N_FINANÇAS (2)</vt:lpstr>
      <vt:lpstr>N_FINANÇAS (3)</vt:lpstr>
      <vt:lpstr>HOME_BD</vt:lpstr>
      <vt:lpstr>B1</vt:lpstr>
      <vt:lpstr>B2</vt:lpstr>
      <vt:lpstr>B3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moraes369@gmail.com</dc:creator>
  <cp:keywords/>
  <dc:description/>
  <cp:lastModifiedBy>moraes369@gmail.com</cp:lastModifiedBy>
  <cp:revision/>
  <dcterms:created xsi:type="dcterms:W3CDTF">2024-10-25T18:08:44Z</dcterms:created>
  <dcterms:modified xsi:type="dcterms:W3CDTF">2024-11-27T01:08:51Z</dcterms:modified>
  <cp:category/>
  <cp:contentStatus/>
</cp:coreProperties>
</file>