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bookViews>
    <workbookView xWindow="0" yWindow="0" windowWidth="15510" windowHeight="7290" tabRatio="902" firstSheet="25" activeTab="26"/>
  </bookViews>
  <sheets>
    <sheet name="HOME" sheetId="64" r:id="rId1"/>
    <sheet name="PROD_HOME" sheetId="124" r:id="rId2"/>
    <sheet name="PRODUÇÃO_REQUISIÇÕES" sheetId="65" r:id="rId3"/>
    <sheet name="PRODUÇÃO_EQUIPES" sheetId="74" r:id="rId4"/>
    <sheet name="PRODUÇÃO_LANÇAMENTOS" sheetId="73" r:id="rId5"/>
    <sheet name="PRODUÇÃO_CONSULTA" sheetId="87" r:id="rId6"/>
    <sheet name="HOME_LOGISTICA" sheetId="125" r:id="rId7"/>
    <sheet name="N_LOGCLIENTES" sheetId="66" r:id="rId8"/>
    <sheet name="N_LOGVEIC" sheetId="93" r:id="rId9"/>
    <sheet name="N_LOGCRON" sheetId="94" r:id="rId10"/>
    <sheet name="N_LOGFRETE" sheetId="95" r:id="rId11"/>
    <sheet name="N_LOGRELAT" sheetId="96" r:id="rId12"/>
    <sheet name="N_LOGRAST" sheetId="97" r:id="rId13"/>
    <sheet name="N_LOGCAD" sheetId="98" r:id="rId14"/>
    <sheet name="HOME_ESTOQUE" sheetId="126" r:id="rId15"/>
    <sheet name="N_ESTQSAÍDAS" sheetId="99" r:id="rId16"/>
    <sheet name="N_ESTQENTRAD" sheetId="100" r:id="rId17"/>
    <sheet name="HOME_RH" sheetId="127" r:id="rId18"/>
    <sheet name="N_RHCONTRATAÇÃO" sheetId="101" r:id="rId19"/>
    <sheet name="N_CADASTRAR" sheetId="102" r:id="rId20"/>
    <sheet name="N_RHFOLHA" sheetId="103" r:id="rId21"/>
    <sheet name="N_RHREF " sheetId="104" r:id="rId22"/>
    <sheet name="HOME_VENDAS" sheetId="128" r:id="rId23"/>
    <sheet name="N_VCLIENTES" sheetId="144" r:id="rId24"/>
    <sheet name="N_VCINTRL" sheetId="145" r:id="rId25"/>
    <sheet name="N_VMETAS" sheetId="146" r:id="rId26"/>
    <sheet name="N_VRELCOM" sheetId="147" r:id="rId27"/>
    <sheet name="N_VRELMET" sheetId="148" r:id="rId28"/>
    <sheet name="HOME_COMPRAS" sheetId="129" r:id="rId29"/>
    <sheet name="N_CCADASTROF" sheetId="132" r:id="rId30"/>
    <sheet name="N_PROCFOR" sheetId="133" r:id="rId31"/>
    <sheet name="N_CSOLICITAR" sheetId="134" r:id="rId32"/>
    <sheet name="N_CMP" sheetId="135" r:id="rId33"/>
    <sheet name="SOLICITAÇÕES" sheetId="136" r:id="rId34"/>
    <sheet name="N_CREALIZARP" sheetId="137" r:id="rId35"/>
    <sheet name="HOME_FINANCAS" sheetId="130" r:id="rId36"/>
    <sheet name="N_FINANÇAS" sheetId="118" r:id="rId37"/>
    <sheet name="N_FINANÇAS (2)" sheetId="119" r:id="rId38"/>
    <sheet name="N_FINANÇAS (3)" sheetId="120" r:id="rId39"/>
    <sheet name="HOME_BD" sheetId="131" r:id="rId40"/>
    <sheet name="B1" sheetId="121" r:id="rId41"/>
    <sheet name="BD_CADAS" sheetId="143" r:id="rId42"/>
    <sheet name="B2" sheetId="122" r:id="rId43"/>
    <sheet name="B3" sheetId="123" r:id="rId44"/>
  </sheets>
  <externalReferences>
    <externalReference r:id="rId45"/>
    <externalReference r:id="rId46"/>
    <externalReference r:id="rId47"/>
    <externalReference r:id="rId48"/>
    <externalReference r:id="rId49"/>
  </externalReferences>
  <definedNames>
    <definedName name="_xlnm._FilterDatabase" localSheetId="30" hidden="1">N_PROCFOR!$G$12:$O$26</definedName>
    <definedName name="QUEIJOS" localSheetId="41">#REF!</definedName>
    <definedName name="QUEIJOS">#REF!</definedName>
    <definedName name="QUEIJOS_OFC" localSheetId="41">#REF!</definedName>
    <definedName name="QUEIJOS_OFC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147" l="1"/>
  <c r="H15" i="147"/>
  <c r="H16" i="147"/>
  <c r="H17" i="147"/>
  <c r="H14" i="121"/>
  <c r="H15" i="121"/>
  <c r="H16" i="121"/>
  <c r="H17" i="121"/>
  <c r="H10" i="147"/>
  <c r="K17" i="146"/>
  <c r="H12" i="147"/>
  <c r="H13" i="147"/>
  <c r="H11" i="147"/>
  <c r="K15" i="146" l="1"/>
  <c r="K19" i="146" s="1"/>
  <c r="K25" i="145"/>
  <c r="K27" i="145" s="1"/>
  <c r="K19" i="145"/>
  <c r="K17" i="145"/>
  <c r="W11" i="118" l="1"/>
  <c r="K12" i="119"/>
  <c r="K15" i="119" s="1"/>
  <c r="I16" i="120"/>
  <c r="I15" i="120"/>
  <c r="I14" i="120"/>
  <c r="I13" i="120"/>
  <c r="I12" i="120"/>
  <c r="K31" i="119"/>
  <c r="K30" i="119"/>
  <c r="K27" i="119"/>
  <c r="K26" i="119"/>
  <c r="K22" i="119"/>
  <c r="K21" i="119"/>
  <c r="K20" i="119"/>
  <c r="W12" i="118"/>
  <c r="O28" i="118"/>
  <c r="O27" i="118"/>
  <c r="O26" i="118"/>
  <c r="O23" i="118"/>
  <c r="O22" i="118"/>
  <c r="O21" i="118"/>
  <c r="O20" i="118"/>
  <c r="O17" i="118"/>
  <c r="O16" i="118"/>
  <c r="O15" i="118"/>
  <c r="O12" i="118"/>
  <c r="O11" i="118"/>
  <c r="K23" i="118"/>
  <c r="K22" i="118"/>
  <c r="K21" i="118"/>
  <c r="K18" i="118"/>
  <c r="K17" i="118"/>
  <c r="K16" i="118"/>
  <c r="K13" i="118"/>
  <c r="K12" i="118"/>
  <c r="K11" i="118"/>
  <c r="I16" i="104" l="1"/>
  <c r="H15" i="104"/>
  <c r="H14" i="104"/>
  <c r="H13" i="104"/>
  <c r="K15" i="98"/>
  <c r="K16" i="98" s="1"/>
  <c r="K17" i="98" s="1"/>
  <c r="K18" i="98" s="1"/>
  <c r="K19" i="98" s="1"/>
  <c r="K20" i="98" s="1"/>
  <c r="K21" i="98" s="1"/>
  <c r="K22" i="98" s="1"/>
  <c r="K23" i="98" s="1"/>
  <c r="K24" i="98" s="1"/>
  <c r="K25" i="98" s="1"/>
  <c r="K26" i="98" s="1"/>
  <c r="K27" i="98" s="1"/>
  <c r="K28" i="98" s="1"/>
  <c r="K29" i="98" s="1"/>
  <c r="K30" i="98" s="1"/>
  <c r="K31" i="98" s="1"/>
  <c r="K32" i="98" s="1"/>
  <c r="K33" i="98" s="1"/>
  <c r="N14" i="98"/>
  <c r="O14" i="98" s="1"/>
  <c r="K15" i="97" l="1"/>
  <c r="K16" i="97" s="1"/>
  <c r="K17" i="97" s="1"/>
  <c r="K18" i="97" s="1"/>
  <c r="K19" i="97" s="1"/>
  <c r="K20" i="97" s="1"/>
  <c r="K21" i="97" s="1"/>
  <c r="K22" i="97" s="1"/>
  <c r="K23" i="97" s="1"/>
  <c r="K24" i="97" s="1"/>
  <c r="K25" i="97" s="1"/>
  <c r="K26" i="97" s="1"/>
  <c r="K27" i="97" s="1"/>
  <c r="K28" i="97" s="1"/>
  <c r="K29" i="97" s="1"/>
  <c r="K30" i="97" s="1"/>
  <c r="K31" i="97" s="1"/>
  <c r="K32" i="97" s="1"/>
  <c r="K33" i="97" s="1"/>
  <c r="N14" i="97"/>
  <c r="O14" i="97" s="1"/>
  <c r="K15" i="96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N14" i="96"/>
  <c r="O14" i="96" s="1"/>
  <c r="K15" i="95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N14" i="95"/>
  <c r="O14" i="95" s="1"/>
  <c r="K15" i="94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15" i="93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T35" i="65" l="1"/>
  <c r="T33" i="65"/>
  <c r="T31" i="65"/>
  <c r="T29" i="65"/>
  <c r="T27" i="65"/>
  <c r="I14" i="66"/>
  <c r="I15" i="66" s="1"/>
  <c r="I16" i="66" s="1"/>
  <c r="I17" i="66" s="1"/>
  <c r="I18" i="66" s="1"/>
  <c r="I19" i="66" s="1"/>
  <c r="I20" i="66" s="1"/>
  <c r="I21" i="66" s="1"/>
  <c r="I22" i="66" s="1"/>
  <c r="I23" i="66" s="1"/>
  <c r="I24" i="66" s="1"/>
  <c r="I25" i="66" s="1"/>
  <c r="I26" i="66" s="1"/>
  <c r="I27" i="66" s="1"/>
  <c r="I28" i="66" s="1"/>
  <c r="I29" i="66" s="1"/>
  <c r="I30" i="66" s="1"/>
  <c r="I31" i="66" s="1"/>
  <c r="I32" i="66" s="1"/>
</calcChain>
</file>

<file path=xl/sharedStrings.xml><?xml version="1.0" encoding="utf-8"?>
<sst xmlns="http://schemas.openxmlformats.org/spreadsheetml/2006/main" count="1950" uniqueCount="765">
  <si>
    <t>DESENVOLVIDO POR: 1º SEMESTRE DO CURSO DE ADS 2024</t>
  </si>
  <si>
    <t xml:space="preserve">LISTA DE INGREDIENTES POR UNIDADE </t>
  </si>
  <si>
    <t>TIPOS DE QUEIJO</t>
  </si>
  <si>
    <t>LEITE (L)</t>
  </si>
  <si>
    <t>VINAGRE (L)</t>
  </si>
  <si>
    <t>COALHO(L)</t>
  </si>
  <si>
    <t>SAL(KG)</t>
  </si>
  <si>
    <t>FERMENTO(KG)</t>
  </si>
  <si>
    <t xml:space="preserve">QUEIJO MEIA CURA </t>
  </si>
  <si>
    <t>QUEIJO MINAS</t>
  </si>
  <si>
    <t>QUEIJO COALHO</t>
  </si>
  <si>
    <t>QUEIJO MUSSARELA</t>
  </si>
  <si>
    <t>DEMANDA</t>
  </si>
  <si>
    <t> </t>
  </si>
  <si>
    <t>GERENTE DE PRODUÇÃO</t>
  </si>
  <si>
    <t>ZÉZINHO</t>
  </si>
  <si>
    <t xml:space="preserve">MÁQUINA  QUEIJO MEIA CURA </t>
  </si>
  <si>
    <t>OPERADOR</t>
  </si>
  <si>
    <t>ZE OLIVIERA</t>
  </si>
  <si>
    <t>ZÉ GOMES</t>
  </si>
  <si>
    <t>AUXILIAR</t>
  </si>
  <si>
    <t xml:space="preserve">ZÉ </t>
  </si>
  <si>
    <t>ZÉ RIBEIRO</t>
  </si>
  <si>
    <t>ZÉ DA SILVA</t>
  </si>
  <si>
    <t>JOSÉ</t>
  </si>
  <si>
    <t>ZÉ MENDES</t>
  </si>
  <si>
    <t>SEU ZÉ</t>
  </si>
  <si>
    <t>LANÇAR PRODUÇÃO</t>
  </si>
  <si>
    <t>MÁQUINA/SETOR</t>
  </si>
  <si>
    <t>UNIDADES PRODUZIDAS</t>
  </si>
  <si>
    <t>ESTADO ATUAL</t>
  </si>
  <si>
    <t xml:space="preserve">ID </t>
  </si>
  <si>
    <t>Nome do Cliente</t>
  </si>
  <si>
    <t>Endereço Completo</t>
  </si>
  <si>
    <t>Cidade/Estado</t>
  </si>
  <si>
    <t>Telefone</t>
  </si>
  <si>
    <t>E-mail</t>
  </si>
  <si>
    <t>Preferências de Entrega</t>
  </si>
  <si>
    <t>Ana Silva</t>
  </si>
  <si>
    <t>Rua das Flores, 123, Apt 45</t>
  </si>
  <si>
    <t>São Paulo/SP</t>
  </si>
  <si>
    <t>(11) 91234-5678</t>
  </si>
  <si>
    <t>ana.silva@example.com</t>
  </si>
  <si>
    <t>Entregar pela manhã</t>
  </si>
  <si>
    <t>João Oliveira</t>
  </si>
  <si>
    <t>Av. Paulista, 456, Bloco B</t>
  </si>
  <si>
    <t>(11) 92345-6789</t>
  </si>
  <si>
    <t>joao.oliveira@example.com</t>
  </si>
  <si>
    <t>Deixar com o porteiro</t>
  </si>
  <si>
    <t>Maria Souza</t>
  </si>
  <si>
    <t>Rua do Sol, 789</t>
  </si>
  <si>
    <t>Rio de Janeiro/RJ</t>
  </si>
  <si>
    <t>(21) 93456-7890</t>
  </si>
  <si>
    <t>maria.souza@example.com</t>
  </si>
  <si>
    <t>Entregar após 18h</t>
  </si>
  <si>
    <t>Pedro Santos</t>
  </si>
  <si>
    <t>Av. das Américas, 101, Casa 3</t>
  </si>
  <si>
    <t>Curitiba/PR</t>
  </si>
  <si>
    <t>(41) 94567-8901</t>
  </si>
  <si>
    <t>pedro.santos@example.com</t>
  </si>
  <si>
    <t>Entregar em mãos</t>
  </si>
  <si>
    <t>Lucas Pereira</t>
  </si>
  <si>
    <t>Rua das Palmeiras, 500</t>
  </si>
  <si>
    <t>Belo Horizonte/MG</t>
  </si>
  <si>
    <t>(31) 95678-9012</t>
  </si>
  <si>
    <t>lucas.pereira@example.com</t>
  </si>
  <si>
    <t>Deixar na portaria</t>
  </si>
  <si>
    <t>Mariana Costa</t>
  </si>
  <si>
    <t>Rua da Praia, 23, Apt 101</t>
  </si>
  <si>
    <t>Salvador/BA</t>
  </si>
  <si>
    <t>(71) 96789-0123</t>
  </si>
  <si>
    <t>mariana.costa@example.com</t>
  </si>
  <si>
    <t>Entregar pela tarde</t>
  </si>
  <si>
    <t>Rafael Lima</t>
  </si>
  <si>
    <t>Av. Central, 77</t>
  </si>
  <si>
    <t>Porto Alegre/RS</t>
  </si>
  <si>
    <t>(51) 97890-1234</t>
  </si>
  <si>
    <t>rafael.lima@example.com</t>
  </si>
  <si>
    <t>Entrega urgente</t>
  </si>
  <si>
    <t>Julia Rocha</t>
  </si>
  <si>
    <t>Rua Verde, 222</t>
  </si>
  <si>
    <t>Recife/PE</t>
  </si>
  <si>
    <t>(81) 98901-2345</t>
  </si>
  <si>
    <t>julia.rocha@example.com</t>
  </si>
  <si>
    <t>Não tocar a campainha</t>
  </si>
  <si>
    <t>Gabriel Alves</t>
  </si>
  <si>
    <t>Rua Azul, 300, Casa A</t>
  </si>
  <si>
    <t>Belém/PA</t>
  </si>
  <si>
    <t>(91) 90012-3456</t>
  </si>
  <si>
    <t>gabriel.alves@example.com</t>
  </si>
  <si>
    <t>Entregar somente à tarde</t>
  </si>
  <si>
    <t>Camila Ribeiro</t>
  </si>
  <si>
    <t>Av. das Rosas, 121, Bloco C</t>
  </si>
  <si>
    <t>Fortaleza/CE</t>
  </si>
  <si>
    <t>(85) 91023-4567</t>
  </si>
  <si>
    <t>camila.ribeiro@example.com</t>
  </si>
  <si>
    <t>Horário comercial</t>
  </si>
  <si>
    <t>Thiago Martins</t>
  </si>
  <si>
    <t>Rua Amarela, 50, Apt 202</t>
  </si>
  <si>
    <t>Campinas/SP</t>
  </si>
  <si>
    <t>(19) 92134-5678</t>
  </si>
  <si>
    <t>thiago.martins@example.com</t>
  </si>
  <si>
    <t>Com aviso prévio</t>
  </si>
  <si>
    <t>Larissa Fernandes</t>
  </si>
  <si>
    <t>Av. Brasil, 1400, Casa B</t>
  </si>
  <si>
    <t>Manaus/AM</t>
  </si>
  <si>
    <t>(92) 93245-6789</t>
  </si>
  <si>
    <t>larissa.fernandes@example.com</t>
  </si>
  <si>
    <t>Sem preferência</t>
  </si>
  <si>
    <t>Felipe Mendes</t>
  </si>
  <si>
    <t>Rua do Campo, 765</t>
  </si>
  <si>
    <t>Vitória/ES</t>
  </si>
  <si>
    <t>(27) 94356-7890</t>
  </si>
  <si>
    <t>felipe.mendes@example.com</t>
  </si>
  <si>
    <t>Entregar após 17h</t>
  </si>
  <si>
    <t>Beatriz Nogueira</t>
  </si>
  <si>
    <t>Av. Independência, 2000, Apt 15</t>
  </si>
  <si>
    <t>Goiânia/GO</t>
  </si>
  <si>
    <t>(62) 95467-8901</t>
  </si>
  <si>
    <t>beatriz.nogueira@example.com</t>
  </si>
  <si>
    <t>Deixar com a vizinha</t>
  </si>
  <si>
    <t>Vinicius Matos</t>
  </si>
  <si>
    <t>Rua do Parque, 432, Casa C</t>
  </si>
  <si>
    <t>Natal/RN</t>
  </si>
  <si>
    <t>(84) 96578-9012</t>
  </si>
  <si>
    <t>vinicius.matos@example.com</t>
  </si>
  <si>
    <t>Somente pela manhã</t>
  </si>
  <si>
    <t>Renata Borges</t>
  </si>
  <si>
    <t>Rua da Igreja, 15, Bloco A</t>
  </si>
  <si>
    <t>Florianópolis/SC</t>
  </si>
  <si>
    <t>(48) 97689-0123</t>
  </si>
  <si>
    <t>renata.borges@example.com</t>
  </si>
  <si>
    <t>Igor Cardoso</t>
  </si>
  <si>
    <t>Av. Verde, 1010</t>
  </si>
  <si>
    <t>Campo Grande/MS</t>
  </si>
  <si>
    <t>(67) 98790-1234</t>
  </si>
  <si>
    <t>igor.cardoso@example.com</t>
  </si>
  <si>
    <t>Paula Azevedo</t>
  </si>
  <si>
    <t>Rua das Pedras, 89, Apt 309</t>
  </si>
  <si>
    <t>São Luís/MA</t>
  </si>
  <si>
    <t>(98) 99801-2345</t>
  </si>
  <si>
    <t>paula.azevedo@example.com</t>
  </si>
  <si>
    <t>Entregar após 19h</t>
  </si>
  <si>
    <t>Bruno Batista</t>
  </si>
  <si>
    <t>Av. Mar, 707</t>
  </si>
  <si>
    <t>João Pessoa/PB</t>
  </si>
  <si>
    <t>(83) 90912-3456</t>
  </si>
  <si>
    <t>bruno.batista@example.com</t>
  </si>
  <si>
    <t>Elisa Teixeira</t>
  </si>
  <si>
    <t>Rua Nova, 10, Casa 2</t>
  </si>
  <si>
    <t>Teresina/PI</t>
  </si>
  <si>
    <t>(86) 91923-4567</t>
  </si>
  <si>
    <t>elisa.teixeira@example.com</t>
  </si>
  <si>
    <t>Nome da Empresa</t>
  </si>
  <si>
    <t>Tipo de Veículo</t>
  </si>
  <si>
    <t>Capacidade de Carga (kg)</t>
  </si>
  <si>
    <t>Placa do Veículo</t>
  </si>
  <si>
    <t>Nome do Motorista</t>
  </si>
  <si>
    <t>Telefone do Motorista</t>
  </si>
  <si>
    <t>Status do Veículo</t>
  </si>
  <si>
    <t>TransLog</t>
  </si>
  <si>
    <t>Caminhão</t>
  </si>
  <si>
    <t>ABC1D23</t>
  </si>
  <si>
    <t>Carlos Souza</t>
  </si>
  <si>
    <t>Em operação</t>
  </si>
  <si>
    <t>Carga Rápida</t>
  </si>
  <si>
    <t>Van</t>
  </si>
  <si>
    <t>DEF4G56</t>
  </si>
  <si>
    <t>Marcos Lima</t>
  </si>
  <si>
    <t>(21) 92345-6789</t>
  </si>
  <si>
    <t>Disponível</t>
  </si>
  <si>
    <t>Transporte Silva</t>
  </si>
  <si>
    <t>GHI7J89</t>
  </si>
  <si>
    <t>Pedro Oliveira</t>
  </si>
  <si>
    <t>(31) 93456-7890</t>
  </si>
  <si>
    <t>Em manutenção</t>
  </si>
  <si>
    <t>FretEx</t>
  </si>
  <si>
    <t>Utilitário</t>
  </si>
  <si>
    <t>JKL1M23</t>
  </si>
  <si>
    <t>Ana Ferreira</t>
  </si>
  <si>
    <t>Entrega Expressa</t>
  </si>
  <si>
    <t>MNO4P56</t>
  </si>
  <si>
    <t>(51) 95678-9012</t>
  </si>
  <si>
    <t>Logística Norte</t>
  </si>
  <si>
    <t>PQR7S89</t>
  </si>
  <si>
    <t>João Santos</t>
  </si>
  <si>
    <t>(61) 96789-0123</t>
  </si>
  <si>
    <t>Via Cargo</t>
  </si>
  <si>
    <t>STU1V23</t>
  </si>
  <si>
    <t>Maria Costa</t>
  </si>
  <si>
    <t>(71) 97890-1234</t>
  </si>
  <si>
    <t>Rota Segura</t>
  </si>
  <si>
    <t>VWX4Y56</t>
  </si>
  <si>
    <t>Tiago Nunes</t>
  </si>
  <si>
    <t>Fast Transport</t>
  </si>
  <si>
    <t>YZA7B89</t>
  </si>
  <si>
    <t>Global Delivery</t>
  </si>
  <si>
    <t>CDE1F23</t>
  </si>
  <si>
    <t>Camila Rocha</t>
  </si>
  <si>
    <t>MegaTrans</t>
  </si>
  <si>
    <t>FGH4I56</t>
  </si>
  <si>
    <t>Nova Rota</t>
  </si>
  <si>
    <t>IJK7L89</t>
  </si>
  <si>
    <t>Larissa Melo</t>
  </si>
  <si>
    <t>Cargo Plus</t>
  </si>
  <si>
    <t>LMN1O23</t>
  </si>
  <si>
    <t>RapidFret</t>
  </si>
  <si>
    <t>OPQ4R56</t>
  </si>
  <si>
    <t>Logística Total</t>
  </si>
  <si>
    <t>RST7U89</t>
  </si>
  <si>
    <t>Entrega Sul</t>
  </si>
  <si>
    <t>UVW1X23</t>
  </si>
  <si>
    <t>TransCo</t>
  </si>
  <si>
    <t>XYZ4A56</t>
  </si>
  <si>
    <t>Entregas Ágeis</t>
  </si>
  <si>
    <t>ABC7D89</t>
  </si>
  <si>
    <t>Carga Forte</t>
  </si>
  <si>
    <t>DEF1G23</t>
  </si>
  <si>
    <t>Transporte VIP</t>
  </si>
  <si>
    <t>GHI4J56</t>
  </si>
  <si>
    <t>ID</t>
  </si>
  <si>
    <t>Data da Entrega</t>
  </si>
  <si>
    <t>Hora de Saída</t>
  </si>
  <si>
    <t>Endereço de Entrega</t>
  </si>
  <si>
    <t>Produto(s)</t>
  </si>
  <si>
    <t>Quantidade</t>
  </si>
  <si>
    <t>Veículo Responsável</t>
  </si>
  <si>
    <t>Status</t>
  </si>
  <si>
    <t>Rua das Flores, 123, São Paulo</t>
  </si>
  <si>
    <t>Queijo Meia Cura</t>
  </si>
  <si>
    <t>Em trânsito</t>
  </si>
  <si>
    <t>Av. Paulista, 456, São Paulo</t>
  </si>
  <si>
    <t>Queijo Coalho</t>
  </si>
  <si>
    <t>Preparando entrega</t>
  </si>
  <si>
    <t>Rua do Sol, 789, Rio de Janeiro</t>
  </si>
  <si>
    <t>Minas</t>
  </si>
  <si>
    <t>Av. das Américas, 101, Curitiba</t>
  </si>
  <si>
    <t>Mussarela</t>
  </si>
  <si>
    <t>Rua das Palmeiras, 500, BH</t>
  </si>
  <si>
    <t>Entregue</t>
  </si>
  <si>
    <t>Rua da Praia, 23, Salvador</t>
  </si>
  <si>
    <t>Av. Central, 77, Porto Alegre</t>
  </si>
  <si>
    <t>Rua Verde, 222, Recife</t>
  </si>
  <si>
    <t>Rua Azul, 300, Belém</t>
  </si>
  <si>
    <t>Av. das Rosas, 121, Fortaleza</t>
  </si>
  <si>
    <t>Rua Amarela, 50, Campinas</t>
  </si>
  <si>
    <t>Av. Brasil, 1400, Manaus</t>
  </si>
  <si>
    <t>Rua do Campo, 765, Vitória</t>
  </si>
  <si>
    <t>Av. Independência, 2000, Goiânia</t>
  </si>
  <si>
    <t>Rua do Parque, 432, Natal</t>
  </si>
  <si>
    <t>Rua da Igreja, 15, Florianópolis</t>
  </si>
  <si>
    <t>Av. Verde, 1010, Campo Grande</t>
  </si>
  <si>
    <t>Rua das Pedras, 89, São Luís</t>
  </si>
  <si>
    <t>Av. Mar, 707, João Pessoa</t>
  </si>
  <si>
    <t>Rua Nova, 10, Teresina</t>
  </si>
  <si>
    <t>Distância (km)</t>
  </si>
  <si>
    <t>Peso Total (kg)</t>
  </si>
  <si>
    <t>Custo do Frete</t>
  </si>
  <si>
    <t>Valor do Frete</t>
  </si>
  <si>
    <t>Observações</t>
  </si>
  <si>
    <t>Entrega rápida</t>
  </si>
  <si>
    <t>Cliente VIP</t>
  </si>
  <si>
    <t>Inclui seguro</t>
  </si>
  <si>
    <t>Rotas alternativas usadas</t>
  </si>
  <si>
    <t>Carga frágil</t>
  </si>
  <si>
    <t>Requer duas paradas</t>
  </si>
  <si>
    <t>Entrega noturna</t>
  </si>
  <si>
    <t>Inclui serviço de montagem</t>
  </si>
  <si>
    <t>Cliente novo</t>
  </si>
  <si>
    <t>Tempo de espera extra</t>
  </si>
  <si>
    <t>Solicitação urgente</t>
  </si>
  <si>
    <t>Entrega agendada</t>
  </si>
  <si>
    <t>Inclui monitoramento</t>
  </si>
  <si>
    <t>Entrega em área remota</t>
  </si>
  <si>
    <t>Veículo com escolta</t>
  </si>
  <si>
    <t>Retorno ao armazém previsto</t>
  </si>
  <si>
    <t>Serviço de manuseio extra</t>
  </si>
  <si>
    <t>Condições meteorológicas</t>
  </si>
  <si>
    <t>Necessário reforço na carga</t>
  </si>
  <si>
    <t>Pedido programado</t>
  </si>
  <si>
    <t>SAÍDA DE MATÉRIA PRIMA</t>
  </si>
  <si>
    <t>SAÍDA DE PRODUTOS</t>
  </si>
  <si>
    <t>PRODUTO</t>
  </si>
  <si>
    <t>QUANTIDADE</t>
  </si>
  <si>
    <t>PARA QUAL CARGO/SETOR PRECISA CONTRATAR?</t>
  </si>
  <si>
    <t>QUANTOS COLABORADORES PRECISA CONTRATAR?</t>
  </si>
  <si>
    <t>CADASTRO DE COLABORADOR</t>
  </si>
  <si>
    <t>NOME</t>
  </si>
  <si>
    <t>NACIONALIDADE</t>
  </si>
  <si>
    <t>ESTADO CIVIL</t>
  </si>
  <si>
    <t>PROFISSÃO</t>
  </si>
  <si>
    <t>RG</t>
  </si>
  <si>
    <t>CPF</t>
  </si>
  <si>
    <t>ENDEREÇO</t>
  </si>
  <si>
    <t>E-MAIL</t>
  </si>
  <si>
    <t>CELULAR</t>
  </si>
  <si>
    <t>CARGO</t>
  </si>
  <si>
    <t>SALÁRIO</t>
  </si>
  <si>
    <t>HORÁRIO DE TRABALHO</t>
  </si>
  <si>
    <t>DATA DE INÍCIO</t>
  </si>
  <si>
    <t>8h às 12h e das 13h às 17h</t>
  </si>
  <si>
    <t>GERADOR DE FOLHA DE PAGAMENTO</t>
  </si>
  <si>
    <t>CPF DO COLABORADOR</t>
  </si>
  <si>
    <t>MÊS E ANO</t>
  </si>
  <si>
    <t>QUANTIDADE DE HORAS EXTRAS</t>
  </si>
  <si>
    <t>NÚMERO DE FALTAS</t>
  </si>
  <si>
    <t>Recibo de Pagamento de Salário</t>
  </si>
  <si>
    <t>Rua X, n° X, XX, Bragança Paulista-SP</t>
  </si>
  <si>
    <t>Mês/Ano</t>
  </si>
  <si>
    <t>CNPJ: XX.XXX.XXX/0001-XX</t>
  </si>
  <si>
    <t>NOME DO COLABORADOR</t>
  </si>
  <si>
    <t>SETOR/CARGO</t>
  </si>
  <si>
    <t>DESCRIÇÃO</t>
  </si>
  <si>
    <t>REFERÊNCIA</t>
  </si>
  <si>
    <t>PROVENTOS</t>
  </si>
  <si>
    <t>DESCONTOS</t>
  </si>
  <si>
    <t>SALÁRIO BASE</t>
  </si>
  <si>
    <t>HORAS EXTRAS</t>
  </si>
  <si>
    <t>FALTAS</t>
  </si>
  <si>
    <t>INSS</t>
  </si>
  <si>
    <t>IRPF</t>
  </si>
  <si>
    <t>OBSERVAÇÕES:</t>
  </si>
  <si>
    <t>TOTAL DE PROVENTOS</t>
  </si>
  <si>
    <t>TOTAL DE DESCONTOS</t>
  </si>
  <si>
    <t>BASE FGTS</t>
  </si>
  <si>
    <t>FGTS DO MÊS</t>
  </si>
  <si>
    <t>BASE INSS</t>
  </si>
  <si>
    <t>Declaro ter recebido a importância líquida discriminada neste recibo.</t>
  </si>
  <si>
    <t>Local e data.</t>
  </si>
  <si>
    <t>Assinatura.</t>
  </si>
  <si>
    <t>CARGO E SETOR</t>
  </si>
  <si>
    <t>GERENTE DE RH</t>
  </si>
  <si>
    <t>ANALISTA DE RH</t>
  </si>
  <si>
    <t>AUXILIAR DE RH</t>
  </si>
  <si>
    <t>GERENTE DE FINANCEIRO</t>
  </si>
  <si>
    <t>ANALISTA DE FINANCEIRO</t>
  </si>
  <si>
    <t>AUXILIAR DE FINANCEIRO</t>
  </si>
  <si>
    <t>GERENTE DE VENDAS</t>
  </si>
  <si>
    <t>VENDEDOR DE VENDAS</t>
  </si>
  <si>
    <t>OPERADOR DE PRODUÇÃO</t>
  </si>
  <si>
    <t>AUXILIAR DE PRODUÇÃO</t>
  </si>
  <si>
    <t>GERENTE DE COMPRAS</t>
  </si>
  <si>
    <t>ANALISTA DE COMPRAS</t>
  </si>
  <si>
    <t>AUXILIAR DE COMPRAS</t>
  </si>
  <si>
    <t>GERENTE DE LOGÍSTICA</t>
  </si>
  <si>
    <t>COORDENADOR DE LOGÍSTICA</t>
  </si>
  <si>
    <t>ANALISTA DE LOGÍSTICA</t>
  </si>
  <si>
    <t>AUXILIAR DE LOGÍSTICA</t>
  </si>
  <si>
    <t>GERENTE DE ESTOQUE</t>
  </si>
  <si>
    <t>COORDENADOR DE ESTOQUE</t>
  </si>
  <si>
    <t>AUXILIAR DE ESTOQUE</t>
  </si>
  <si>
    <t>TABELA IMPOSTO DE RENDA - Lei nº 14.848/24</t>
  </si>
  <si>
    <t>FAIXAS SALARIAIS</t>
  </si>
  <si>
    <t>%(ALIQUOTA)</t>
  </si>
  <si>
    <t>VALOR A DEDUZIR</t>
  </si>
  <si>
    <t>ATE</t>
  </si>
  <si>
    <t>ACIMA</t>
  </si>
  <si>
    <t>IR</t>
  </si>
  <si>
    <t>VER TABELA</t>
  </si>
  <si>
    <t>VAL REFEIÇÃO</t>
  </si>
  <si>
    <t>FGTS</t>
  </si>
  <si>
    <t>CADASTRO DE CLIENTES</t>
  </si>
  <si>
    <t>CNPJ</t>
  </si>
  <si>
    <t>NOME DO CLIENTE</t>
  </si>
  <si>
    <t>PREÇO UNITÁRIO</t>
  </si>
  <si>
    <t>VALOR TOTAL DA VENDA</t>
  </si>
  <si>
    <t>DATA DE VENDA</t>
  </si>
  <si>
    <t xml:space="preserve">VENDEDOR </t>
  </si>
  <si>
    <t>CONTROLE DE VENDAS</t>
  </si>
  <si>
    <t>CONTROLE DE METAS</t>
  </si>
  <si>
    <t>META DE VENDA MENSAL</t>
  </si>
  <si>
    <t>ID do fornecedor</t>
  </si>
  <si>
    <t>F001</t>
  </si>
  <si>
    <t xml:space="preserve">Nome </t>
  </si>
  <si>
    <t>Laticínios São João Ltda.</t>
  </si>
  <si>
    <t>12.345.678/0001-90</t>
  </si>
  <si>
    <t>vendas@saojoao.com.br</t>
  </si>
  <si>
    <t>(11) 1234-5678</t>
  </si>
  <si>
    <t>Endereço</t>
  </si>
  <si>
    <t>Rua das Leiteiras, 123, São Paulo</t>
  </si>
  <si>
    <t>Condições de pagamento</t>
  </si>
  <si>
    <t>A vista</t>
  </si>
  <si>
    <t>Produto</t>
  </si>
  <si>
    <t>Leite</t>
  </si>
  <si>
    <t>Valor unitario do produto</t>
  </si>
  <si>
    <t>ID do Produto</t>
  </si>
  <si>
    <t>Quantidade minima</t>
  </si>
  <si>
    <t>Quantidade atual</t>
  </si>
  <si>
    <t>Quantidade miníma a comprar</t>
  </si>
  <si>
    <t>Necessidade de compra</t>
  </si>
  <si>
    <t>Data de solicitação</t>
  </si>
  <si>
    <t>Setor</t>
  </si>
  <si>
    <t>SOLICITAR COMPRA</t>
  </si>
  <si>
    <t>Data do pedido</t>
  </si>
  <si>
    <t>E- mail</t>
  </si>
  <si>
    <t>Valor do produto</t>
  </si>
  <si>
    <t>Valor do pedido</t>
  </si>
  <si>
    <t>REALIZAR PEDIDO</t>
  </si>
  <si>
    <t xml:space="preserve">CNPJ </t>
  </si>
  <si>
    <r>
      <t xml:space="preserve">Empregador </t>
    </r>
    <r>
      <rPr>
        <b/>
        <sz val="22"/>
        <color theme="1"/>
        <rFont val="Arial"/>
        <family val="2"/>
      </rPr>
      <t>QUEIJARIA ALPINA</t>
    </r>
  </si>
  <si>
    <t>a</t>
  </si>
  <si>
    <t>CIDADE</t>
  </si>
  <si>
    <t>CADASTRO DE CLIENTE</t>
  </si>
  <si>
    <t>PREÇOS UNITARIO</t>
  </si>
  <si>
    <t>CADASTRO DE FORNECEDORES</t>
  </si>
  <si>
    <t>TELEFONE</t>
  </si>
  <si>
    <t>ESTADO</t>
  </si>
  <si>
    <t>EMAIL</t>
  </si>
  <si>
    <t>NOME DO FORNECEDOR</t>
  </si>
  <si>
    <t>Casa de queijo de Monte Verde</t>
  </si>
  <si>
    <t>93.946.695/0001-80</t>
  </si>
  <si>
    <t>(15) 3865-2730</t>
  </si>
  <si>
    <t>Rua das Flores, 123</t>
  </si>
  <si>
    <t>Sorocaba</t>
  </si>
  <si>
    <t>São Paulo</t>
  </si>
  <si>
    <t>lucas.silva23@email.com</t>
  </si>
  <si>
    <t>Queijaria de Minas</t>
  </si>
  <si>
    <t>21.675.749/0001-09</t>
  </si>
  <si>
    <t>(12) 3628-7030</t>
  </si>
  <si>
    <t>Avenida Brasil, 4567</t>
  </si>
  <si>
    <t>Taubate</t>
  </si>
  <si>
    <t>maria.gomes78@email.com</t>
  </si>
  <si>
    <t>Aqui Queijo</t>
  </si>
  <si>
    <t>65.357.706/0001-50</t>
  </si>
  <si>
    <t>(14) 3615-7048</t>
  </si>
  <si>
    <t>Rua do Sol, 89</t>
  </si>
  <si>
    <t>Bauru</t>
  </si>
  <si>
    <t>pedro.santos45@email.com</t>
  </si>
  <si>
    <t>Uai Queijo</t>
  </si>
  <si>
    <t>09.091.029/0001-09</t>
  </si>
  <si>
    <t>(11) 3257-0877</t>
  </si>
  <si>
    <t>Travessa da Paz, 12</t>
  </si>
  <si>
    <t>julia.martins56@email.com</t>
  </si>
  <si>
    <t>Cruzilha Queijos</t>
  </si>
  <si>
    <t>09.190.296/0001-25</t>
  </si>
  <si>
    <t>(12) 2143-7408</t>
  </si>
  <si>
    <t>Rua da Esperança, 34</t>
  </si>
  <si>
    <t>Aparecida</t>
  </si>
  <si>
    <t>fernando.lima12@email.com</t>
  </si>
  <si>
    <t>Montana</t>
  </si>
  <si>
    <t>41.676.392/0001-90</t>
  </si>
  <si>
    <t>(18) 2801-0384</t>
  </si>
  <si>
    <t>Avenida das Américas, 567</t>
  </si>
  <si>
    <t>Adamantina</t>
  </si>
  <si>
    <t>ana.paula91@email.com</t>
  </si>
  <si>
    <t>Chale do Ito</t>
  </si>
  <si>
    <t>31.537.669/0001-40</t>
  </si>
  <si>
    <t>(15) 3284-8741</t>
  </si>
  <si>
    <t>Rua São Jorge, 78</t>
  </si>
  <si>
    <t>Itapeva</t>
  </si>
  <si>
    <t>roberto.costa34@email.com</t>
  </si>
  <si>
    <t>Restaurante So Queijo</t>
  </si>
  <si>
    <t>29.140.170/0001-53</t>
  </si>
  <si>
    <t>(12) 2873-4816</t>
  </si>
  <si>
    <t>Praça da Liberdade, 9</t>
  </si>
  <si>
    <t>Bananal</t>
  </si>
  <si>
    <t>claudia.rodrigues67@email.com</t>
  </si>
  <si>
    <t>Arcobaleno Frios e Queijos</t>
  </si>
  <si>
    <t>22.322.380/0001-13</t>
  </si>
  <si>
    <t>(38) 2237-4245</t>
  </si>
  <si>
    <t>Rua dos Reis, 101</t>
  </si>
  <si>
    <t>Aricanduva</t>
  </si>
  <si>
    <t>Minas Gerais</t>
  </si>
  <si>
    <t>ricardo.alves89@email.com</t>
  </si>
  <si>
    <t>Restaurante Libertango</t>
  </si>
  <si>
    <t>05.790.326/0001-83</t>
  </si>
  <si>
    <t>(34) 3036-2382</t>
  </si>
  <si>
    <t>Avenida dos Girassóis, 234</t>
  </si>
  <si>
    <t>Uberaba</t>
  </si>
  <si>
    <t>beatriz.souza22@email.com</t>
  </si>
  <si>
    <t>Monte Verde Laticinios</t>
  </si>
  <si>
    <t>17.389.690/0001-15</t>
  </si>
  <si>
    <t>(37) 2351-7051</t>
  </si>
  <si>
    <t>Rua das Acácias, 45</t>
  </si>
  <si>
    <t>Formiga</t>
  </si>
  <si>
    <t>thiago.ferreira10@email.com</t>
  </si>
  <si>
    <t>Armazem do Queijo</t>
  </si>
  <si>
    <t>03.044.803/0001-36</t>
  </si>
  <si>
    <t>(35) 2674-7424</t>
  </si>
  <si>
    <t>Estrada do Ouro, 678</t>
  </si>
  <si>
    <t>Pouso Alegre</t>
  </si>
  <si>
    <t>leticia.brito14@email.com</t>
  </si>
  <si>
    <t xml:space="preserve">Rancho do Caipira </t>
  </si>
  <si>
    <t>49.619.326/0001-90</t>
  </si>
  <si>
    <t>(34) 2355-3004</t>
  </si>
  <si>
    <t>Rua da Alegria, 23</t>
  </si>
  <si>
    <t>carlos.oliveira11@email.com</t>
  </si>
  <si>
    <t>Queijo e Doces Monte Verde</t>
  </si>
  <si>
    <t>76.018.260/0001-56</t>
  </si>
  <si>
    <t>(31) 2766-4584</t>
  </si>
  <si>
    <t>Avenida da Saúde, 345</t>
  </si>
  <si>
    <t>Contagem</t>
  </si>
  <si>
    <t>simone.nunes83@email.com</t>
  </si>
  <si>
    <t>Cantinho do Doce</t>
  </si>
  <si>
    <t>66.501.356/0001-17</t>
  </si>
  <si>
    <t>(38) 2532-5231</t>
  </si>
  <si>
    <t>Rua do Comércio, 11</t>
  </si>
  <si>
    <t>Arinos</t>
  </si>
  <si>
    <t>andréa.melo29@email.com</t>
  </si>
  <si>
    <t>A Pioneira</t>
  </si>
  <si>
    <t>18.996.600/0001-17</t>
  </si>
  <si>
    <t>(35) 2146-6560</t>
  </si>
  <si>
    <t>Rua do Limoeiro, 87</t>
  </si>
  <si>
    <t>Camanducaia</t>
  </si>
  <si>
    <t>vinicius.pires75@email.com</t>
  </si>
  <si>
    <t>Supermercado du Tato</t>
  </si>
  <si>
    <t>21.153.490/0001-36</t>
  </si>
  <si>
    <t>(43) 2678-1201</t>
  </si>
  <si>
    <t>Avenida da Independência, 456</t>
  </si>
  <si>
    <t>Alvorada do Sul</t>
  </si>
  <si>
    <t>Parana</t>
  </si>
  <si>
    <t>patricia.santos18@email.com</t>
  </si>
  <si>
    <t>Queijos Santa Fe</t>
  </si>
  <si>
    <t>24.851.065/0001-09</t>
  </si>
  <si>
    <t>(45) 2102-1100</t>
  </si>
  <si>
    <t>Rua das Palmeiras, 62</t>
  </si>
  <si>
    <t>Campo Bonito</t>
  </si>
  <si>
    <t>renan.campos90@email.com</t>
  </si>
  <si>
    <t>Supermercado Avenida</t>
  </si>
  <si>
    <t>03.531.020/0001-87</t>
  </si>
  <si>
    <t>(42) 2436-0843</t>
  </si>
  <si>
    <t>Rua do Conhecimento, 90</t>
  </si>
  <si>
    <t>Bituruna</t>
  </si>
  <si>
    <t>eliane.torres57@email.com</t>
  </si>
  <si>
    <t>Supermercado Bosque</t>
  </si>
  <si>
    <t>73.027.684/0001-99</t>
  </si>
  <si>
    <t>(42) 2463-2316</t>
  </si>
  <si>
    <t>Travessa do Coração, 33</t>
  </si>
  <si>
    <t>Irati</t>
  </si>
  <si>
    <t>joão.paulo82@email.com</t>
  </si>
  <si>
    <t>Supermercado Kurihara</t>
  </si>
  <si>
    <t>10.070.973/0001-50</t>
  </si>
  <si>
    <t>(43) 2781-3471</t>
  </si>
  <si>
    <t>Rua do Trabalho, 47</t>
  </si>
  <si>
    <t>Ponta Grossa</t>
  </si>
  <si>
    <t>isabela.machado39@email.com</t>
  </si>
  <si>
    <t>CADASTRO DE FUNCIONÁRIOS ATIVOS</t>
  </si>
  <si>
    <t>SALÁRIO BRUTO</t>
  </si>
  <si>
    <t>DATA DE INICIO</t>
  </si>
  <si>
    <t>HORA EXTRA</t>
  </si>
  <si>
    <t>VALE REFEIÇÃO</t>
  </si>
  <si>
    <t>IRRF</t>
  </si>
  <si>
    <t>Joao</t>
  </si>
  <si>
    <t>brasileira</t>
  </si>
  <si>
    <t>solteiro</t>
  </si>
  <si>
    <t>vendedor</t>
  </si>
  <si>
    <t>333955598-28</t>
  </si>
  <si>
    <t>jaoa@email.com</t>
  </si>
  <si>
    <t>11 98585-5284</t>
  </si>
  <si>
    <t>vendas</t>
  </si>
  <si>
    <t xml:space="preserve">Ana  </t>
  </si>
  <si>
    <t>casada</t>
  </si>
  <si>
    <t>vendedora</t>
  </si>
  <si>
    <t>333955598-29</t>
  </si>
  <si>
    <t>ana@email.com</t>
  </si>
  <si>
    <t>11 95472-6872</t>
  </si>
  <si>
    <t xml:space="preserve">Carlos  </t>
  </si>
  <si>
    <t>333955598-30</t>
  </si>
  <si>
    <t>carlos@email.com</t>
  </si>
  <si>
    <t>12 95472-6873</t>
  </si>
  <si>
    <t xml:space="preserve">Beatriz  </t>
  </si>
  <si>
    <t>solteira</t>
  </si>
  <si>
    <t>333955598-31</t>
  </si>
  <si>
    <t>beatriz@email.com</t>
  </si>
  <si>
    <t>13 95472-6874</t>
  </si>
  <si>
    <t>RECEITA</t>
  </si>
  <si>
    <t>QUANTIDADE VENDIDA</t>
  </si>
  <si>
    <t>MES</t>
  </si>
  <si>
    <t>Outubro</t>
  </si>
  <si>
    <t>CALCULO DE FRETE</t>
  </si>
  <si>
    <t>DISTÂNCIA (km)</t>
  </si>
  <si>
    <t>GASOLINA</t>
  </si>
  <si>
    <t>PREÇO DA GASOLINA</t>
  </si>
  <si>
    <t>CONSUMO DO VEÍCULO</t>
  </si>
  <si>
    <t>PESO TOTAL (kg)</t>
  </si>
  <si>
    <t>CUSTO DO FRETE</t>
  </si>
  <si>
    <t>VALOR DO FRETE</t>
  </si>
  <si>
    <t>CADASTRAR FORNECEDOR</t>
  </si>
  <si>
    <t>CONTROLE MATÉRIA PRIMA</t>
  </si>
  <si>
    <t>CUSTO FIXO OU VARIAVEL</t>
  </si>
  <si>
    <t>CUSTO FIXO</t>
  </si>
  <si>
    <t>R$</t>
  </si>
  <si>
    <t>CONTA DE AGUA</t>
  </si>
  <si>
    <t>CONTA DE ENERGIA ELETRICA</t>
  </si>
  <si>
    <t>IPTU</t>
  </si>
  <si>
    <t>FOLHA DE PAGAMENTO</t>
  </si>
  <si>
    <t>PRO-LABORE</t>
  </si>
  <si>
    <t>INTERNET</t>
  </si>
  <si>
    <t>SEGURO DE PRÉDIO</t>
  </si>
  <si>
    <t>SEGURO DOS AUTOMÓVEIS</t>
  </si>
  <si>
    <t>MATERIAL DE LIMPEZA</t>
  </si>
  <si>
    <t>PARCELA DE EMPRESTIMO</t>
  </si>
  <si>
    <t>SERVIÇO DE VIGILÂNCIA E SEG.</t>
  </si>
  <si>
    <t>IPVA</t>
  </si>
  <si>
    <t>Produção</t>
  </si>
  <si>
    <t>Qntd.</t>
  </si>
  <si>
    <t>Salarios</t>
  </si>
  <si>
    <t>Gerente</t>
  </si>
  <si>
    <t>Operadores</t>
  </si>
  <si>
    <t>Auxiliares</t>
  </si>
  <si>
    <t>RH</t>
  </si>
  <si>
    <t>Analista</t>
  </si>
  <si>
    <t>Auxiliar</t>
  </si>
  <si>
    <t>Financeiro</t>
  </si>
  <si>
    <t>Vendas</t>
  </si>
  <si>
    <t>Compras</t>
  </si>
  <si>
    <t>Logistica</t>
  </si>
  <si>
    <t>Coordenador</t>
  </si>
  <si>
    <t>Estoque</t>
  </si>
  <si>
    <t>AVALIAÇÃO DE VENDAS E FUNCIONÁRIOS</t>
  </si>
  <si>
    <t>QUANTIDADE VENDIDA GERAL</t>
  </si>
  <si>
    <t>CUSTOS FUNCIONÁRIOS PRODUÇÃO</t>
  </si>
  <si>
    <t>CUSTOS FUNCIONÁRIOS ADMINISTRATIVOS</t>
  </si>
  <si>
    <t>CUSTO FIXO DE FUNCIONÁRIOS</t>
  </si>
  <si>
    <t>Receita Bruta</t>
    <phoneticPr fontId="0" type="noConversion"/>
  </si>
  <si>
    <t>Janeiro</t>
    <phoneticPr fontId="0" type="noConversion"/>
  </si>
  <si>
    <t>Fevereiro</t>
  </si>
  <si>
    <t>Venda dos Produtos</t>
  </si>
  <si>
    <t xml:space="preserve">Total de Receita </t>
  </si>
  <si>
    <t>Total de despesa</t>
    <phoneticPr fontId="0" type="noConversion"/>
  </si>
  <si>
    <t>Receita Liquida</t>
  </si>
  <si>
    <t>Despesas</t>
    <phoneticPr fontId="0" type="noConversion"/>
  </si>
  <si>
    <t>Conta de Água</t>
  </si>
  <si>
    <t>Conta de Energia Elétrica</t>
  </si>
  <si>
    <t>Folha de Pagamento</t>
    <phoneticPr fontId="0" type="noConversion"/>
  </si>
  <si>
    <t>Pró-Labore</t>
  </si>
  <si>
    <t>Celular</t>
    <phoneticPr fontId="0" type="noConversion"/>
  </si>
  <si>
    <t>Internet</t>
    <phoneticPr fontId="0" type="noConversion"/>
  </si>
  <si>
    <t>Seguro do Prédio</t>
  </si>
  <si>
    <t>Seguro dos automoveis</t>
    <phoneticPr fontId="0" type="noConversion"/>
  </si>
  <si>
    <t>Material de Limpeza</t>
  </si>
  <si>
    <t>Parcela de Empréstimo</t>
  </si>
  <si>
    <t>Servico de Vigilância e Seguranca</t>
  </si>
  <si>
    <t>Gasolina</t>
    <phoneticPr fontId="0" type="noConversion"/>
  </si>
  <si>
    <t>Ipva</t>
    <phoneticPr fontId="0" type="noConversion"/>
  </si>
  <si>
    <t>Imposto Tributário ICMS,CSLL,PIS,IPI,IRPJ,COFINS</t>
  </si>
  <si>
    <t>Papelaria</t>
    <phoneticPr fontId="0" type="noConversion"/>
  </si>
  <si>
    <t>Taxa administrativa de cartões de crédito e débito</t>
  </si>
  <si>
    <t>Embalagens</t>
    <phoneticPr fontId="0" type="noConversion"/>
  </si>
  <si>
    <t>Matéria Prima</t>
  </si>
  <si>
    <t>Frete</t>
    <phoneticPr fontId="0" type="noConversion"/>
  </si>
  <si>
    <t>Valor</t>
  </si>
  <si>
    <t>COALHO (L)</t>
  </si>
  <si>
    <t>SAL (Kg)</t>
  </si>
  <si>
    <t>FERMENTO (Kg)</t>
  </si>
  <si>
    <t>QUEIJO MEIA CURA</t>
  </si>
  <si>
    <t>ENTRADA</t>
  </si>
  <si>
    <t>SAÍDAS</t>
  </si>
  <si>
    <t>MATÉRIA PRIMA</t>
  </si>
  <si>
    <t>SOLICITAR DEMISSÃO</t>
  </si>
  <si>
    <t>CPF DO COLABORADOR A SER DEMITIDO</t>
  </si>
  <si>
    <t>CPF DO SOLICITANTE</t>
  </si>
  <si>
    <t>SOLICITAR CONTRATAÇÃO</t>
  </si>
  <si>
    <t xml:space="preserve"> </t>
  </si>
  <si>
    <t xml:space="preserve">NOME </t>
  </si>
  <si>
    <t>PAGAMENTO</t>
  </si>
  <si>
    <t xml:space="preserve">PREÇO </t>
  </si>
  <si>
    <t>F004</t>
  </si>
  <si>
    <t>Sal Mineral Importação</t>
  </si>
  <si>
    <t>45.678.901/0001-45</t>
  </si>
  <si>
    <t>vendas@salmineral.com</t>
  </si>
  <si>
    <t>(51) 4567-8901</t>
  </si>
  <si>
    <t>Av. do Comércio, 321, Porto Alegre</t>
  </si>
  <si>
    <t>A prazo</t>
  </si>
  <si>
    <t>Sal</t>
  </si>
  <si>
    <t>F008</t>
  </si>
  <si>
    <t>Sal e Cia</t>
  </si>
  <si>
    <t>90.123.456/0001-23</t>
  </si>
  <si>
    <t>vendas@salecia.com</t>
  </si>
  <si>
    <t>(51) 7890-1234</t>
  </si>
  <si>
    <t>Av. do Comércio, 987, Porto Alegre</t>
  </si>
  <si>
    <t>F011</t>
  </si>
  <si>
    <t>Vinagres do Brasil</t>
  </si>
  <si>
    <t>34.456.789/0001-56</t>
  </si>
  <si>
    <t>contato@vinagresdobrasil.com</t>
  </si>
  <si>
    <t>(21) 8765-6789</t>
  </si>
  <si>
    <t>Av. da Prata, 111, Niterói</t>
  </si>
  <si>
    <t>Vinagre</t>
  </si>
  <si>
    <t>F013</t>
  </si>
  <si>
    <t>Importadora de Sal Rosa</t>
  </si>
  <si>
    <t>56.678.901/0001-78</t>
  </si>
  <si>
    <t>vendas@salrosa.com</t>
  </si>
  <si>
    <t>(51) 7890-5678</t>
  </si>
  <si>
    <t>Av. da Exportação, 654, Canoas</t>
  </si>
  <si>
    <t>F002</t>
  </si>
  <si>
    <t>Vinagres Brasil Distribuidora</t>
  </si>
  <si>
    <t>23.456.789/0001-12</t>
  </si>
  <si>
    <t>contato@vinagresbrasil.com.br</t>
  </si>
  <si>
    <t>(21) 2345-6789</t>
  </si>
  <si>
    <t>Av. do Vinagre, 456, Rio de Janeiro</t>
  </si>
  <si>
    <t>F006</t>
  </si>
  <si>
    <t>Distribuidora Vinagre Silva</t>
  </si>
  <si>
    <t>78.901.234/0001-01</t>
  </si>
  <si>
    <t>vendas@vinagresilva.com.br</t>
  </si>
  <si>
    <t>(21) 6543-2100</t>
  </si>
  <si>
    <t>Av. dos Vinhos, 32, Rio de Janeiro</t>
  </si>
  <si>
    <t>F005</t>
  </si>
  <si>
    <t>Laticínios da Serra</t>
  </si>
  <si>
    <t>67.890.123/0001-90</t>
  </si>
  <si>
    <t>contato@laticiniosserra.com.br</t>
  </si>
  <si>
    <t>(11) 4321-8765</t>
  </si>
  <si>
    <t>Rua do Queijo, 100, Campinas</t>
  </si>
  <si>
    <t>F010</t>
  </si>
  <si>
    <t>Laticínios Mineiros</t>
  </si>
  <si>
    <t>23.345.678/0001-45</t>
  </si>
  <si>
    <t>vendas@mineiros.com</t>
  </si>
  <si>
    <t>(11) 5678-4321</t>
  </si>
  <si>
    <t>Rua do Queijo, 456, Belo Horizonte</t>
  </si>
  <si>
    <t>F007</t>
  </si>
  <si>
    <t>Coagulação BR Ltda.</t>
  </si>
  <si>
    <t>89.012.345/0001-12</t>
  </si>
  <si>
    <t>contato@coagulacao.com.br</t>
  </si>
  <si>
    <t>(41) 8765-4321</t>
  </si>
  <si>
    <t>Rua da Enzima, 55, Curitiba</t>
  </si>
  <si>
    <t>Coalho</t>
  </si>
  <si>
    <t>F012</t>
  </si>
  <si>
    <t>Coagulação Central Ltda.</t>
  </si>
  <si>
    <t>45.567.890/0001-67</t>
  </si>
  <si>
    <t>atendimento@coagulacaocentral.com</t>
  </si>
  <si>
    <t>(41) 6543-1234</t>
  </si>
  <si>
    <t>Rua da Cultura, 789, Londrina</t>
  </si>
  <si>
    <t>F003</t>
  </si>
  <si>
    <t>Coagulação Química Ltda.</t>
  </si>
  <si>
    <t>34.567.890/0001-34</t>
  </si>
  <si>
    <t>atendimento@coagulacaoltda.com</t>
  </si>
  <si>
    <t>(41) 3456-7890</t>
  </si>
  <si>
    <t>Rua dos Processos, 789, Curitiba</t>
  </si>
  <si>
    <t>F014</t>
  </si>
  <si>
    <t>Fermentos Genuínos</t>
  </si>
  <si>
    <t>67.789.012/0001-89</t>
  </si>
  <si>
    <t>pedidos@fermentosgenuinos.com</t>
  </si>
  <si>
    <t>(61) 8901-6789</t>
  </si>
  <si>
    <t>Av. das Tradições, 123, Goiânia</t>
  </si>
  <si>
    <t>Fermento</t>
  </si>
  <si>
    <t>F009</t>
  </si>
  <si>
    <t>Fermentos Santa Luzia</t>
  </si>
  <si>
    <t>12.234.567/0001-34</t>
  </si>
  <si>
    <t>contato@fermentossantaluzia.com</t>
  </si>
  <si>
    <t>(61) 8901-2345</t>
  </si>
  <si>
    <t>Av. das Culturas, 890, Brasília</t>
  </si>
  <si>
    <t>TESTE</t>
  </si>
  <si>
    <t>z</t>
  </si>
  <si>
    <t>Ana</t>
  </si>
  <si>
    <t>Queijos</t>
  </si>
  <si>
    <t>TOTAL DA VENDAS</t>
  </si>
  <si>
    <t>META</t>
  </si>
  <si>
    <t>META ATINGIDA</t>
  </si>
  <si>
    <t>TIPO DE QUEIJOS</t>
  </si>
  <si>
    <t>Carlos</t>
  </si>
  <si>
    <t>TOTAL DAS VENDAS</t>
  </si>
  <si>
    <t>META NÃO ATINGIDA</t>
  </si>
  <si>
    <t>CONTROLE DE PRODUÇÃO</t>
  </si>
  <si>
    <t>Beatriz</t>
  </si>
  <si>
    <t>João</t>
  </si>
  <si>
    <t>joquimsilva@email.com</t>
  </si>
  <si>
    <t>19 98572-4578</t>
  </si>
  <si>
    <t>SP</t>
  </si>
  <si>
    <t>campinas</t>
  </si>
  <si>
    <t>rua da mbaixadas</t>
  </si>
  <si>
    <t>joaquim</t>
  </si>
  <si>
    <t>09.091.029/0001-07</t>
  </si>
  <si>
    <t>19 98475-9876</t>
  </si>
  <si>
    <t>Hortolândia</t>
  </si>
  <si>
    <t>Rua dos Sertoes</t>
  </si>
  <si>
    <t>12950745/0111-01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</si>
</sst>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[$R$-416]\ * #,##0.00_-;\-[$R$-416]\ * #,##0.00_-;_-[$R$-416]\ * &quot;-&quot;??_-;_-@_-"/>
  </numFmts>
  <fonts count="5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4"/>
      <color rgb="FF000000"/>
      <name val="Arial"/>
      <family val="2"/>
    </font>
    <font>
      <sz val="16"/>
      <color rgb="FF000000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rgb="FF000000"/>
      <name val="Arial"/>
      <family val="2"/>
    </font>
    <font>
      <b/>
      <sz val="22"/>
      <color theme="1"/>
      <name val="Arial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72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Calibri"/>
      <family val="2"/>
      <scheme val="minor"/>
    </font>
    <font>
      <b/>
      <sz val="72"/>
      <color theme="0"/>
      <name val="Arial"/>
      <family val="2"/>
    </font>
    <font>
      <b/>
      <sz val="20"/>
      <color theme="0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sz val="12"/>
      <color rgb="FF000000"/>
      <name val="Arial"/>
      <family val="2"/>
    </font>
    <font>
      <b/>
      <sz val="16"/>
      <color theme="0"/>
      <name val="Arial"/>
      <family val="2"/>
    </font>
    <font>
      <sz val="14"/>
      <color theme="1"/>
      <name val="Arial"/>
      <family val="2"/>
    </font>
    <font>
      <sz val="12"/>
      <color theme="1"/>
      <name val="Calibri"/>
      <family val="2"/>
      <scheme val="minor"/>
    </font>
    <font>
      <u/>
      <sz val="12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18"/>
      <color rgb="FF000000"/>
      <name val="Arial"/>
      <family val="2"/>
    </font>
    <font>
      <b/>
      <sz val="18"/>
      <color theme="1"/>
      <name val="Arial"/>
      <family val="2"/>
    </font>
    <font>
      <b/>
      <sz val="16"/>
      <color theme="1"/>
      <name val="Arial"/>
      <family val="2"/>
    </font>
    <font>
      <b/>
      <sz val="18"/>
      <color theme="0"/>
      <name val="Arial"/>
      <family val="2"/>
    </font>
    <font>
      <b/>
      <sz val="20"/>
      <color theme="1"/>
      <name val="Arial"/>
      <family val="2"/>
    </font>
    <font>
      <sz val="22"/>
      <color theme="1"/>
      <name val="Arial"/>
      <family val="2"/>
    </font>
    <font>
      <sz val="8"/>
      <color theme="1"/>
      <name val="Arial"/>
      <family val="2"/>
    </font>
    <font>
      <sz val="18"/>
      <color theme="0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Arial"/>
      <family val="2"/>
    </font>
    <font>
      <sz val="18"/>
      <color theme="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20"/>
      <color theme="0"/>
      <name val="Arial"/>
      <family val="2"/>
    </font>
    <font>
      <u/>
      <sz val="16"/>
      <color theme="1"/>
      <name val="Arial"/>
      <family val="2"/>
    </font>
    <font>
      <u/>
      <sz val="18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8"/>
      <name val="Arial"/>
      <family val="2"/>
    </font>
    <font>
      <u/>
      <sz val="18"/>
      <color theme="1"/>
      <name val="Arial"/>
      <family val="2"/>
    </font>
    <font>
      <u/>
      <sz val="16"/>
      <color theme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gradientFill type="path" left="0.5" right="0.5" top="0.5" bottom="0.5">
        <stop position="0">
          <color theme="2" tint="-0.89803765984069339"/>
        </stop>
        <stop position="1">
          <color theme="2" tint="-0.7490157780693991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2" tint="-0.74999237037263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rgb="FF3D5B7A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597A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rgb="FF3D5B7A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rgb="FF000000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</cellStyleXfs>
  <cellXfs count="561">
    <xf numFmtId="0" fontId="0" fillId="0" borderId="0" xfId="0"/>
    <xf numFmtId="0" fontId="0" fillId="2" borderId="0" xfId="0" applyFill="1"/>
    <xf numFmtId="0" fontId="0" fillId="7" borderId="0" xfId="0" applyFill="1"/>
    <xf numFmtId="0" fontId="2" fillId="10" borderId="7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0" fillId="10" borderId="8" xfId="0" applyFill="1" applyBorder="1"/>
    <xf numFmtId="0" fontId="8" fillId="10" borderId="7" xfId="0" applyFont="1" applyFill="1" applyBorder="1"/>
    <xf numFmtId="0" fontId="4" fillId="11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left" vertical="center"/>
    </xf>
    <xf numFmtId="0" fontId="2" fillId="11" borderId="0" xfId="0" applyFont="1" applyFill="1"/>
    <xf numFmtId="0" fontId="2" fillId="11" borderId="8" xfId="0" applyFont="1" applyFill="1" applyBorder="1"/>
    <xf numFmtId="0" fontId="2" fillId="10" borderId="9" xfId="0" applyFont="1" applyFill="1" applyBorder="1" applyAlignment="1">
      <alignment vertical="center"/>
    </xf>
    <xf numFmtId="0" fontId="2" fillId="11" borderId="10" xfId="0" applyFont="1" applyFill="1" applyBorder="1"/>
    <xf numFmtId="0" fontId="2" fillId="11" borderId="11" xfId="0" applyFont="1" applyFill="1" applyBorder="1"/>
    <xf numFmtId="0" fontId="2" fillId="11" borderId="7" xfId="0" applyFont="1" applyFill="1" applyBorder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horizontal="left" vertical="center"/>
    </xf>
    <xf numFmtId="0" fontId="2" fillId="11" borderId="9" xfId="0" applyFont="1" applyFill="1" applyBorder="1" applyAlignment="1">
      <alignment horizontal="left" vertical="center"/>
    </xf>
    <xf numFmtId="0" fontId="2" fillId="11" borderId="10" xfId="0" applyFont="1" applyFill="1" applyBorder="1" applyAlignment="1">
      <alignment horizontal="left"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7" borderId="0" xfId="0" applyFill="1"/>
    <xf numFmtId="0" fontId="12" fillId="13" borderId="0" xfId="0" applyFont="1" applyFill="1" applyBorder="1" applyAlignment="1"/>
    <xf numFmtId="0" fontId="2" fillId="13" borderId="0" xfId="0" applyFont="1" applyFill="1" applyBorder="1" applyAlignment="1"/>
    <xf numFmtId="0" fontId="4" fillId="13" borderId="0" xfId="0" applyFont="1" applyFill="1" applyBorder="1" applyAlignment="1"/>
    <xf numFmtId="0" fontId="11" fillId="13" borderId="44" xfId="0" applyFont="1" applyFill="1" applyBorder="1" applyAlignment="1"/>
    <xf numFmtId="0" fontId="2" fillId="13" borderId="45" xfId="0" applyFont="1" applyFill="1" applyBorder="1" applyAlignment="1"/>
    <xf numFmtId="0" fontId="4" fillId="13" borderId="45" xfId="0" applyFont="1" applyFill="1" applyBorder="1" applyAlignment="1"/>
    <xf numFmtId="0" fontId="11" fillId="13" borderId="46" xfId="0" applyFont="1" applyFill="1" applyBorder="1" applyAlignment="1"/>
    <xf numFmtId="0" fontId="2" fillId="13" borderId="47" xfId="0" applyFont="1" applyFill="1" applyBorder="1" applyAlignment="1"/>
    <xf numFmtId="0" fontId="12" fillId="13" borderId="47" xfId="0" applyFont="1" applyFill="1" applyBorder="1" applyAlignment="1"/>
    <xf numFmtId="0" fontId="4" fillId="13" borderId="47" xfId="0" applyFont="1" applyFill="1" applyBorder="1" applyAlignment="1"/>
    <xf numFmtId="0" fontId="2" fillId="13" borderId="48" xfId="0" applyFont="1" applyFill="1" applyBorder="1" applyAlignment="1"/>
    <xf numFmtId="0" fontId="0" fillId="2" borderId="52" xfId="0" applyFill="1" applyBorder="1"/>
    <xf numFmtId="0" fontId="0" fillId="2" borderId="52" xfId="0" applyFill="1" applyBorder="1" applyAlignment="1">
      <alignment horizontal="center"/>
    </xf>
    <xf numFmtId="0" fontId="2" fillId="11" borderId="0" xfId="0" applyFont="1" applyFill="1" applyBorder="1" applyAlignment="1">
      <alignment vertical="center"/>
    </xf>
    <xf numFmtId="0" fontId="2" fillId="11" borderId="7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2" fillId="3" borderId="0" xfId="0" applyFont="1" applyFill="1" applyBorder="1"/>
    <xf numFmtId="0" fontId="2" fillId="11" borderId="0" xfId="0" applyFont="1" applyFill="1" applyBorder="1" applyAlignment="1">
      <alignment horizontal="left" vertical="center"/>
    </xf>
    <xf numFmtId="0" fontId="3" fillId="11" borderId="0" xfId="0" applyFont="1" applyFill="1" applyBorder="1" applyAlignment="1">
      <alignment horizontal="left" vertical="center"/>
    </xf>
    <xf numFmtId="0" fontId="2" fillId="11" borderId="0" xfId="0" applyFont="1" applyFill="1" applyBorder="1"/>
    <xf numFmtId="0" fontId="9" fillId="3" borderId="0" xfId="0" applyFont="1" applyFill="1" applyBorder="1" applyAlignment="1">
      <alignment horizontal="center" vertical="center"/>
    </xf>
    <xf numFmtId="0" fontId="8" fillId="2" borderId="52" xfId="0" applyFont="1" applyFill="1" applyBorder="1"/>
    <xf numFmtId="0" fontId="8" fillId="2" borderId="52" xfId="0" applyFont="1" applyFill="1" applyBorder="1" applyAlignment="1">
      <alignment horizontal="center"/>
    </xf>
    <xf numFmtId="0" fontId="8" fillId="10" borderId="0" xfId="0" applyFont="1" applyFill="1" applyBorder="1"/>
    <xf numFmtId="0" fontId="8" fillId="10" borderId="8" xfId="0" applyFont="1" applyFill="1" applyBorder="1"/>
    <xf numFmtId="0" fontId="8" fillId="10" borderId="9" xfId="0" applyFont="1" applyFill="1" applyBorder="1"/>
    <xf numFmtId="0" fontId="8" fillId="10" borderId="10" xfId="0" applyFont="1" applyFill="1" applyBorder="1"/>
    <xf numFmtId="0" fontId="8" fillId="10" borderId="11" xfId="0" applyFont="1" applyFill="1" applyBorder="1"/>
    <xf numFmtId="0" fontId="17" fillId="2" borderId="52" xfId="0" applyFont="1" applyFill="1" applyBorder="1" applyAlignment="1">
      <alignment horizontal="center" vertical="center"/>
    </xf>
    <xf numFmtId="0" fontId="17" fillId="10" borderId="7" xfId="0" applyFont="1" applyFill="1" applyBorder="1" applyAlignment="1">
      <alignment horizontal="left" vertical="center"/>
    </xf>
    <xf numFmtId="0" fontId="17" fillId="10" borderId="0" xfId="0" applyFont="1" applyFill="1" applyBorder="1" applyAlignment="1">
      <alignment vertical="center"/>
    </xf>
    <xf numFmtId="0" fontId="17" fillId="10" borderId="8" xfId="0" applyFont="1" applyFill="1" applyBorder="1" applyAlignment="1">
      <alignment vertical="center"/>
    </xf>
    <xf numFmtId="0" fontId="17" fillId="10" borderId="9" xfId="0" applyFont="1" applyFill="1" applyBorder="1" applyAlignment="1">
      <alignment horizontal="left" vertical="center"/>
    </xf>
    <xf numFmtId="0" fontId="17" fillId="10" borderId="10" xfId="0" applyFont="1" applyFill="1" applyBorder="1" applyAlignment="1">
      <alignment vertical="center"/>
    </xf>
    <xf numFmtId="0" fontId="17" fillId="10" borderId="11" xfId="0" applyFont="1" applyFill="1" applyBorder="1" applyAlignment="1">
      <alignment vertical="center"/>
    </xf>
    <xf numFmtId="0" fontId="0" fillId="10" borderId="7" xfId="0" applyFill="1" applyBorder="1"/>
    <xf numFmtId="0" fontId="17" fillId="10" borderId="0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18" fillId="10" borderId="7" xfId="0" applyFont="1" applyFill="1" applyBorder="1" applyAlignment="1">
      <alignment horizontal="center" vertical="center"/>
    </xf>
    <xf numFmtId="0" fontId="18" fillId="10" borderId="0" xfId="0" applyFont="1" applyFill="1" applyBorder="1" applyAlignment="1">
      <alignment vertical="center"/>
    </xf>
    <xf numFmtId="0" fontId="18" fillId="10" borderId="8" xfId="0" applyFont="1" applyFill="1" applyBorder="1" applyAlignment="1">
      <alignment vertical="center"/>
    </xf>
    <xf numFmtId="0" fontId="15" fillId="10" borderId="7" xfId="0" applyFont="1" applyFill="1" applyBorder="1" applyAlignment="1">
      <alignment vertical="center"/>
    </xf>
    <xf numFmtId="0" fontId="15" fillId="10" borderId="8" xfId="0" applyFont="1" applyFill="1" applyBorder="1" applyAlignment="1">
      <alignment vertical="center"/>
    </xf>
    <xf numFmtId="0" fontId="15" fillId="10" borderId="7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vertical="center"/>
    </xf>
    <xf numFmtId="0" fontId="0" fillId="10" borderId="0" xfId="0" applyFill="1" applyBorder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0" fillId="2" borderId="0" xfId="0" applyFill="1" applyBorder="1"/>
    <xf numFmtId="0" fontId="26" fillId="3" borderId="0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13" fillId="3" borderId="0" xfId="0" applyFont="1" applyFill="1"/>
    <xf numFmtId="0" fontId="0" fillId="0" borderId="0" xfId="0"/>
    <xf numFmtId="0" fontId="27" fillId="13" borderId="0" xfId="0" applyFont="1" applyFill="1" applyBorder="1" applyAlignment="1"/>
    <xf numFmtId="0" fontId="22" fillId="2" borderId="1" xfId="0" applyFont="1" applyFill="1" applyBorder="1"/>
    <xf numFmtId="0" fontId="22" fillId="2" borderId="1" xfId="0" applyFont="1" applyFill="1" applyBorder="1" applyAlignment="1">
      <alignment horizontal="left"/>
    </xf>
    <xf numFmtId="0" fontId="31" fillId="2" borderId="1" xfId="2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3" fillId="10" borderId="7" xfId="0" applyFont="1" applyFill="1" applyBorder="1" applyAlignment="1">
      <alignment vertical="center"/>
    </xf>
    <xf numFmtId="0" fontId="23" fillId="10" borderId="8" xfId="0" applyFont="1" applyFill="1" applyBorder="1" applyAlignment="1">
      <alignment vertical="center"/>
    </xf>
    <xf numFmtId="0" fontId="30" fillId="10" borderId="7" xfId="0" applyFont="1" applyFill="1" applyBorder="1"/>
    <xf numFmtId="0" fontId="30" fillId="10" borderId="8" xfId="0" applyFont="1" applyFill="1" applyBorder="1"/>
    <xf numFmtId="0" fontId="22" fillId="10" borderId="7" xfId="0" applyFont="1" applyFill="1" applyBorder="1" applyAlignment="1">
      <alignment horizontal="left"/>
    </xf>
    <xf numFmtId="0" fontId="22" fillId="10" borderId="8" xfId="0" applyFont="1" applyFill="1" applyBorder="1" applyAlignment="1">
      <alignment horizontal="left"/>
    </xf>
    <xf numFmtId="0" fontId="22" fillId="11" borderId="8" xfId="0" applyFont="1" applyFill="1" applyBorder="1" applyAlignment="1">
      <alignment horizontal="left"/>
    </xf>
    <xf numFmtId="0" fontId="22" fillId="10" borderId="9" xfId="0" applyFont="1" applyFill="1" applyBorder="1" applyAlignment="1">
      <alignment horizontal="left"/>
    </xf>
    <xf numFmtId="0" fontId="22" fillId="10" borderId="10" xfId="0" applyFont="1" applyFill="1" applyBorder="1" applyAlignment="1">
      <alignment horizontal="left"/>
    </xf>
    <xf numFmtId="0" fontId="22" fillId="11" borderId="10" xfId="0" applyFont="1" applyFill="1" applyBorder="1" applyAlignment="1">
      <alignment horizontal="left"/>
    </xf>
    <xf numFmtId="0" fontId="22" fillId="11" borderId="11" xfId="0" applyFont="1" applyFill="1" applyBorder="1" applyAlignment="1">
      <alignment horizontal="left"/>
    </xf>
    <xf numFmtId="0" fontId="16" fillId="2" borderId="0" xfId="0" applyFont="1" applyFill="1" applyBorder="1" applyAlignment="1">
      <alignment vertical="center"/>
    </xf>
    <xf numFmtId="0" fontId="0" fillId="0" borderId="0" xfId="0"/>
    <xf numFmtId="0" fontId="0" fillId="7" borderId="0" xfId="0" applyFill="1"/>
    <xf numFmtId="0" fontId="27" fillId="2" borderId="12" xfId="0" applyFont="1" applyFill="1" applyBorder="1" applyAlignment="1"/>
    <xf numFmtId="0" fontId="16" fillId="8" borderId="23" xfId="0" applyFont="1" applyFill="1" applyBorder="1" applyAlignment="1">
      <alignment horizontal="center" vertical="center"/>
    </xf>
    <xf numFmtId="0" fontId="16" fillId="8" borderId="19" xfId="0" applyFont="1" applyFill="1" applyBorder="1" applyAlignment="1">
      <alignment horizontal="center" vertical="center"/>
    </xf>
    <xf numFmtId="0" fontId="16" fillId="8" borderId="16" xfId="0" applyFont="1" applyFill="1" applyBorder="1" applyAlignment="1">
      <alignment horizontal="center" vertical="center"/>
    </xf>
    <xf numFmtId="0" fontId="16" fillId="8" borderId="24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2" fillId="2" borderId="19" xfId="0" applyFont="1" applyFill="1" applyBorder="1" applyAlignment="1">
      <alignment horizontal="center" vertical="center"/>
    </xf>
    <xf numFmtId="0" fontId="32" fillId="2" borderId="24" xfId="0" applyFont="1" applyFill="1" applyBorder="1" applyAlignment="1">
      <alignment horizontal="center" vertical="center"/>
    </xf>
    <xf numFmtId="0" fontId="32" fillId="2" borderId="18" xfId="0" applyFont="1" applyFill="1" applyBorder="1" applyAlignment="1">
      <alignment horizontal="center" vertical="center"/>
    </xf>
    <xf numFmtId="0" fontId="32" fillId="2" borderId="12" xfId="0" applyFont="1" applyFill="1" applyBorder="1" applyAlignment="1">
      <alignment horizontal="center" vertical="center"/>
    </xf>
    <xf numFmtId="0" fontId="32" fillId="2" borderId="26" xfId="0" applyFont="1" applyFill="1" applyBorder="1" applyAlignment="1">
      <alignment horizontal="center" vertical="center"/>
    </xf>
    <xf numFmtId="0" fontId="32" fillId="2" borderId="28" xfId="0" applyFont="1" applyFill="1" applyBorder="1" applyAlignment="1">
      <alignment horizontal="center" vertical="center"/>
    </xf>
    <xf numFmtId="0" fontId="32" fillId="2" borderId="29" xfId="0" applyFont="1" applyFill="1" applyBorder="1" applyAlignment="1">
      <alignment horizontal="center" vertical="center"/>
    </xf>
    <xf numFmtId="0" fontId="32" fillId="2" borderId="30" xfId="0" applyFont="1" applyFill="1" applyBorder="1" applyAlignment="1">
      <alignment horizontal="center" vertical="center"/>
    </xf>
    <xf numFmtId="0" fontId="16" fillId="8" borderId="25" xfId="0" applyFont="1" applyFill="1" applyBorder="1" applyAlignment="1">
      <alignment horizontal="center" vertical="center"/>
    </xf>
    <xf numFmtId="0" fontId="16" fillId="8" borderId="27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3" fillId="10" borderId="7" xfId="0" applyFont="1" applyFill="1" applyBorder="1"/>
    <xf numFmtId="0" fontId="34" fillId="10" borderId="0" xfId="0" applyFont="1" applyFill="1" applyAlignment="1">
      <alignment horizontal="center" vertical="center"/>
    </xf>
    <xf numFmtId="0" fontId="34" fillId="10" borderId="7" xfId="0" applyFont="1" applyFill="1" applyBorder="1" applyAlignment="1">
      <alignment vertical="center"/>
    </xf>
    <xf numFmtId="0" fontId="5" fillId="11" borderId="0" xfId="0" applyFont="1" applyFill="1" applyAlignment="1">
      <alignment horizontal="left" vertical="center"/>
    </xf>
    <xf numFmtId="0" fontId="26" fillId="9" borderId="1" xfId="0" applyFont="1" applyFill="1" applyBorder="1" applyAlignment="1">
      <alignment horizontal="center" vertical="center"/>
    </xf>
    <xf numFmtId="0" fontId="0" fillId="0" borderId="0" xfId="0" applyAlignment="1"/>
    <xf numFmtId="0" fontId="0" fillId="2" borderId="0" xfId="0" applyFill="1" applyAlignment="1"/>
    <xf numFmtId="0" fontId="25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vertical="center"/>
    </xf>
    <xf numFmtId="0" fontId="2" fillId="11" borderId="8" xfId="0" applyFont="1" applyFill="1" applyBorder="1" applyAlignment="1"/>
    <xf numFmtId="0" fontId="25" fillId="11" borderId="0" xfId="0" applyFont="1" applyFill="1" applyAlignment="1">
      <alignment vertical="center"/>
    </xf>
    <xf numFmtId="0" fontId="3" fillId="11" borderId="0" xfId="0" applyFont="1" applyFill="1" applyAlignment="1">
      <alignment vertical="center"/>
    </xf>
    <xf numFmtId="0" fontId="2" fillId="11" borderId="0" xfId="0" applyFont="1" applyFill="1" applyAlignment="1"/>
    <xf numFmtId="0" fontId="2" fillId="11" borderId="10" xfId="0" applyFont="1" applyFill="1" applyBorder="1" applyAlignment="1"/>
    <xf numFmtId="0" fontId="2" fillId="11" borderId="11" xfId="0" applyFont="1" applyFill="1" applyBorder="1" applyAlignment="1"/>
    <xf numFmtId="0" fontId="2" fillId="11" borderId="9" xfId="0" applyFont="1" applyFill="1" applyBorder="1" applyAlignment="1">
      <alignment vertical="center"/>
    </xf>
    <xf numFmtId="0" fontId="2" fillId="11" borderId="10" xfId="0" applyFont="1" applyFill="1" applyBorder="1" applyAlignment="1">
      <alignment vertical="center"/>
    </xf>
    <xf numFmtId="0" fontId="0" fillId="2" borderId="0" xfId="0" applyFill="1" applyBorder="1" applyAlignment="1"/>
    <xf numFmtId="0" fontId="2" fillId="11" borderId="0" xfId="0" applyFont="1" applyFill="1" applyBorder="1" applyAlignment="1"/>
    <xf numFmtId="0" fontId="25" fillId="11" borderId="0" xfId="0" applyFont="1" applyFill="1" applyBorder="1" applyAlignment="1">
      <alignment horizontal="left" vertical="center"/>
    </xf>
    <xf numFmtId="0" fontId="25" fillId="11" borderId="0" xfId="0" applyFont="1" applyFill="1" applyBorder="1" applyAlignment="1">
      <alignment vertical="center"/>
    </xf>
    <xf numFmtId="0" fontId="28" fillId="3" borderId="0" xfId="0" applyFont="1" applyFill="1" applyBorder="1" applyAlignment="1">
      <alignment vertical="center"/>
    </xf>
    <xf numFmtId="0" fontId="19" fillId="3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/>
    <xf numFmtId="0" fontId="25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5" fillId="3" borderId="0" xfId="0" applyFont="1" applyFill="1" applyBorder="1" applyAlignment="1">
      <alignment vertical="center"/>
    </xf>
    <xf numFmtId="0" fontId="26" fillId="3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horizontal="left" vertical="center"/>
    </xf>
    <xf numFmtId="0" fontId="36" fillId="11" borderId="0" xfId="0" applyFont="1" applyFill="1" applyBorder="1" applyAlignment="1">
      <alignment horizontal="left" vertical="center"/>
    </xf>
    <xf numFmtId="0" fontId="0" fillId="16" borderId="0" xfId="0" applyFill="1" applyAlignment="1"/>
    <xf numFmtId="0" fontId="37" fillId="17" borderId="1" xfId="0" applyFont="1" applyFill="1" applyBorder="1" applyAlignment="1">
      <alignment horizontal="center" vertical="center"/>
    </xf>
    <xf numFmtId="0" fontId="32" fillId="13" borderId="1" xfId="0" applyFont="1" applyFill="1" applyBorder="1" applyAlignment="1">
      <alignment horizontal="left" vertical="center" wrapText="1"/>
    </xf>
    <xf numFmtId="3" fontId="32" fillId="13" borderId="1" xfId="0" applyNumberFormat="1" applyFont="1" applyFill="1" applyBorder="1" applyAlignment="1">
      <alignment horizontal="left" vertical="center" wrapText="1"/>
    </xf>
    <xf numFmtId="0" fontId="37" fillId="17" borderId="1" xfId="0" applyFont="1" applyFill="1" applyBorder="1" applyAlignment="1">
      <alignment horizontal="left" vertical="center"/>
    </xf>
    <xf numFmtId="0" fontId="37" fillId="17" borderId="1" xfId="0" applyFont="1" applyFill="1" applyBorder="1" applyAlignment="1">
      <alignment horizontal="right" vertical="center"/>
    </xf>
    <xf numFmtId="14" fontId="32" fillId="13" borderId="1" xfId="0" applyNumberFormat="1" applyFont="1" applyFill="1" applyBorder="1" applyAlignment="1">
      <alignment horizontal="left" vertical="center" wrapText="1"/>
    </xf>
    <xf numFmtId="20" fontId="32" fillId="13" borderId="1" xfId="0" applyNumberFormat="1" applyFont="1" applyFill="1" applyBorder="1" applyAlignment="1">
      <alignment horizontal="left" vertical="center" wrapText="1"/>
    </xf>
    <xf numFmtId="2" fontId="32" fillId="13" borderId="1" xfId="0" applyNumberFormat="1" applyFont="1" applyFill="1" applyBorder="1" applyAlignment="1">
      <alignment horizontal="left" vertical="center" wrapText="1"/>
    </xf>
    <xf numFmtId="8" fontId="32" fillId="13" borderId="1" xfId="0" applyNumberFormat="1" applyFont="1" applyFill="1" applyBorder="1" applyAlignment="1">
      <alignment horizontal="left" vertical="center" wrapText="1"/>
    </xf>
    <xf numFmtId="0" fontId="25" fillId="10" borderId="0" xfId="0" applyFont="1" applyFill="1" applyBorder="1" applyAlignment="1">
      <alignment vertical="center"/>
    </xf>
    <xf numFmtId="0" fontId="21" fillId="10" borderId="0" xfId="0" applyFont="1" applyFill="1" applyBorder="1"/>
    <xf numFmtId="0" fontId="2" fillId="9" borderId="1" xfId="0" applyFont="1" applyFill="1" applyBorder="1" applyAlignment="1"/>
    <xf numFmtId="0" fontId="0" fillId="8" borderId="1" xfId="0" applyFill="1" applyBorder="1"/>
    <xf numFmtId="0" fontId="25" fillId="13" borderId="0" xfId="0" applyFont="1" applyFill="1" applyBorder="1" applyAlignment="1"/>
    <xf numFmtId="0" fontId="26" fillId="3" borderId="1" xfId="0" applyFont="1" applyFill="1" applyBorder="1" applyAlignment="1">
      <alignment horizontal="center" vertical="center"/>
    </xf>
    <xf numFmtId="0" fontId="36" fillId="10" borderId="0" xfId="0" applyFont="1" applyFill="1" applyBorder="1" applyAlignment="1">
      <alignment horizontal="left" vertical="center"/>
    </xf>
    <xf numFmtId="0" fontId="32" fillId="10" borderId="0" xfId="0" applyFont="1" applyFill="1" applyBorder="1" applyAlignment="1">
      <alignment horizontal="left" vertical="center"/>
    </xf>
    <xf numFmtId="0" fontId="36" fillId="18" borderId="52" xfId="0" applyFont="1" applyFill="1" applyBorder="1" applyAlignment="1">
      <alignment horizontal="center"/>
    </xf>
    <xf numFmtId="0" fontId="36" fillId="10" borderId="0" xfId="0" applyFont="1" applyFill="1" applyBorder="1" applyAlignment="1">
      <alignment horizontal="center" vertical="center"/>
    </xf>
    <xf numFmtId="0" fontId="39" fillId="19" borderId="0" xfId="0" applyFont="1" applyFill="1" applyAlignment="1">
      <alignment vertical="center"/>
    </xf>
    <xf numFmtId="0" fontId="7" fillId="20" borderId="0" xfId="0" applyFont="1" applyFill="1"/>
    <xf numFmtId="0" fontId="10" fillId="19" borderId="0" xfId="0" applyFont="1" applyFill="1"/>
    <xf numFmtId="0" fontId="8" fillId="19" borderId="49" xfId="0" applyFont="1" applyFill="1" applyBorder="1"/>
    <xf numFmtId="0" fontId="8" fillId="19" borderId="50" xfId="0" applyFont="1" applyFill="1" applyBorder="1"/>
    <xf numFmtId="0" fontId="8" fillId="19" borderId="15" xfId="0" applyFont="1" applyFill="1" applyBorder="1"/>
    <xf numFmtId="0" fontId="8" fillId="19" borderId="51" xfId="0" applyFont="1" applyFill="1" applyBorder="1"/>
    <xf numFmtId="0" fontId="8" fillId="19" borderId="0" xfId="0" applyFont="1" applyFill="1"/>
    <xf numFmtId="0" fontId="10" fillId="19" borderId="0" xfId="0" applyFont="1" applyFill="1" applyAlignment="1">
      <alignment horizontal="left" vertical="center"/>
    </xf>
    <xf numFmtId="0" fontId="8" fillId="19" borderId="20" xfId="0" applyFont="1" applyFill="1" applyBorder="1"/>
    <xf numFmtId="0" fontId="32" fillId="19" borderId="0" xfId="0" applyFont="1" applyFill="1"/>
    <xf numFmtId="0" fontId="40" fillId="2" borderId="1" xfId="0" applyFont="1" applyFill="1" applyBorder="1"/>
    <xf numFmtId="0" fontId="8" fillId="19" borderId="53" xfId="0" applyFont="1" applyFill="1" applyBorder="1"/>
    <xf numFmtId="0" fontId="8" fillId="19" borderId="14" xfId="0" applyFont="1" applyFill="1" applyBorder="1"/>
    <xf numFmtId="0" fontId="8" fillId="19" borderId="3" xfId="0" applyFont="1" applyFill="1" applyBorder="1"/>
    <xf numFmtId="0" fontId="8" fillId="20" borderId="49" xfId="0" applyFont="1" applyFill="1" applyBorder="1"/>
    <xf numFmtId="0" fontId="8" fillId="20" borderId="50" xfId="0" applyFont="1" applyFill="1" applyBorder="1"/>
    <xf numFmtId="0" fontId="8" fillId="20" borderId="15" xfId="0" applyFont="1" applyFill="1" applyBorder="1"/>
    <xf numFmtId="0" fontId="8" fillId="20" borderId="51" xfId="0" applyFont="1" applyFill="1" applyBorder="1"/>
    <xf numFmtId="0" fontId="8" fillId="20" borderId="0" xfId="0" applyFont="1" applyFill="1"/>
    <xf numFmtId="0" fontId="8" fillId="20" borderId="20" xfId="0" applyFont="1" applyFill="1" applyBorder="1"/>
    <xf numFmtId="0" fontId="8" fillId="2" borderId="1" xfId="0" applyFont="1" applyFill="1" applyBorder="1"/>
    <xf numFmtId="0" fontId="8" fillId="20" borderId="14" xfId="0" applyFont="1" applyFill="1" applyBorder="1"/>
    <xf numFmtId="0" fontId="8" fillId="20" borderId="3" xfId="0" applyFont="1" applyFill="1" applyBorder="1"/>
    <xf numFmtId="0" fontId="8" fillId="21" borderId="13" xfId="0" applyFont="1" applyFill="1" applyBorder="1"/>
    <xf numFmtId="0" fontId="8" fillId="21" borderId="54" xfId="0" applyFont="1" applyFill="1" applyBorder="1"/>
    <xf numFmtId="0" fontId="8" fillId="21" borderId="56" xfId="0" applyFont="1" applyFill="1" applyBorder="1"/>
    <xf numFmtId="0" fontId="8" fillId="21" borderId="51" xfId="0" applyFont="1" applyFill="1" applyBorder="1"/>
    <xf numFmtId="0" fontId="8" fillId="21" borderId="55" xfId="0" applyFont="1" applyFill="1" applyBorder="1"/>
    <xf numFmtId="0" fontId="8" fillId="21" borderId="0" xfId="0" applyFont="1" applyFill="1"/>
    <xf numFmtId="0" fontId="8" fillId="21" borderId="20" xfId="0" applyFont="1" applyFill="1" applyBorder="1"/>
    <xf numFmtId="0" fontId="8" fillId="21" borderId="53" xfId="0" applyFont="1" applyFill="1" applyBorder="1"/>
    <xf numFmtId="0" fontId="8" fillId="21" borderId="14" xfId="0" applyFont="1" applyFill="1" applyBorder="1"/>
    <xf numFmtId="0" fontId="8" fillId="21" borderId="3" xfId="0" applyFont="1" applyFill="1" applyBorder="1"/>
    <xf numFmtId="0" fontId="8" fillId="20" borderId="55" xfId="0" applyFont="1" applyFill="1" applyBorder="1"/>
    <xf numFmtId="0" fontId="8" fillId="20" borderId="54" xfId="0" applyFont="1" applyFill="1" applyBorder="1"/>
    <xf numFmtId="0" fontId="8" fillId="20" borderId="56" xfId="0" applyFont="1" applyFill="1" applyBorder="1"/>
    <xf numFmtId="0" fontId="8" fillId="20" borderId="53" xfId="0" applyFont="1" applyFill="1" applyBorder="1"/>
    <xf numFmtId="0" fontId="8" fillId="21" borderId="49" xfId="0" applyFont="1" applyFill="1" applyBorder="1"/>
    <xf numFmtId="0" fontId="8" fillId="21" borderId="50" xfId="0" applyFont="1" applyFill="1" applyBorder="1"/>
    <xf numFmtId="0" fontId="8" fillId="21" borderId="15" xfId="0" applyFont="1" applyFill="1" applyBorder="1"/>
    <xf numFmtId="0" fontId="10" fillId="20" borderId="0" xfId="0" applyFont="1" applyFill="1"/>
    <xf numFmtId="0" fontId="38" fillId="21" borderId="54" xfId="0" applyFont="1" applyFill="1" applyBorder="1"/>
    <xf numFmtId="0" fontId="29" fillId="21" borderId="55" xfId="0" applyFont="1" applyFill="1" applyBorder="1"/>
    <xf numFmtId="0" fontId="29" fillId="21" borderId="51" xfId="0" applyFont="1" applyFill="1" applyBorder="1"/>
    <xf numFmtId="0" fontId="38" fillId="21" borderId="55" xfId="0" applyFont="1" applyFill="1" applyBorder="1"/>
    <xf numFmtId="0" fontId="38" fillId="21" borderId="51" xfId="0" applyFont="1" applyFill="1" applyBorder="1"/>
    <xf numFmtId="0" fontId="36" fillId="21" borderId="0" xfId="0" applyFont="1" applyFill="1"/>
    <xf numFmtId="0" fontId="35" fillId="21" borderId="0" xfId="0" applyFont="1" applyFill="1"/>
    <xf numFmtId="0" fontId="38" fillId="21" borderId="0" xfId="0" applyFont="1" applyFill="1"/>
    <xf numFmtId="0" fontId="36" fillId="20" borderId="1" xfId="0" applyFont="1" applyFill="1" applyBorder="1"/>
    <xf numFmtId="0" fontId="32" fillId="21" borderId="0" xfId="0" applyFont="1" applyFill="1"/>
    <xf numFmtId="0" fontId="32" fillId="10" borderId="36" xfId="0" applyFont="1" applyFill="1" applyBorder="1" applyAlignment="1">
      <alignment horizontal="left" vertical="center"/>
    </xf>
    <xf numFmtId="0" fontId="32" fillId="10" borderId="38" xfId="0" applyFont="1" applyFill="1" applyBorder="1" applyAlignment="1">
      <alignment horizontal="left" vertical="center"/>
    </xf>
    <xf numFmtId="0" fontId="37" fillId="17" borderId="34" xfId="0" applyFont="1" applyFill="1" applyBorder="1" applyAlignment="1">
      <alignment horizontal="center"/>
    </xf>
    <xf numFmtId="0" fontId="37" fillId="17" borderId="35" xfId="0" applyFont="1" applyFill="1" applyBorder="1" applyAlignment="1">
      <alignment horizontal="center"/>
    </xf>
    <xf numFmtId="44" fontId="32" fillId="10" borderId="37" xfId="0" applyNumberFormat="1" applyFont="1" applyFill="1" applyBorder="1" applyAlignment="1">
      <alignment horizontal="left" vertical="center"/>
    </xf>
    <xf numFmtId="44" fontId="32" fillId="10" borderId="40" xfId="0" applyNumberFormat="1" applyFont="1" applyFill="1" applyBorder="1" applyAlignment="1">
      <alignment horizontal="left" vertical="center"/>
    </xf>
    <xf numFmtId="0" fontId="36" fillId="18" borderId="1" xfId="0" applyFont="1" applyFill="1" applyBorder="1" applyAlignment="1">
      <alignment horizontal="center" vertical="center"/>
    </xf>
    <xf numFmtId="0" fontId="36" fillId="18" borderId="37" xfId="0" applyFont="1" applyFill="1" applyBorder="1" applyAlignment="1">
      <alignment vertical="center"/>
    </xf>
    <xf numFmtId="44" fontId="32" fillId="10" borderId="1" xfId="0" applyNumberFormat="1" applyFont="1" applyFill="1" applyBorder="1" applyAlignment="1">
      <alignment horizontal="left"/>
    </xf>
    <xf numFmtId="0" fontId="32" fillId="10" borderId="36" xfId="0" applyFont="1" applyFill="1" applyBorder="1" applyAlignment="1">
      <alignment horizontal="left"/>
    </xf>
    <xf numFmtId="9" fontId="32" fillId="10" borderId="1" xfId="0" applyNumberFormat="1" applyFont="1" applyFill="1" applyBorder="1" applyAlignment="1">
      <alignment horizontal="left" vertical="center"/>
    </xf>
    <xf numFmtId="164" fontId="32" fillId="10" borderId="37" xfId="0" applyNumberFormat="1" applyFont="1" applyFill="1" applyBorder="1" applyAlignment="1">
      <alignment horizontal="left" vertical="center"/>
    </xf>
    <xf numFmtId="44" fontId="32" fillId="10" borderId="36" xfId="0" applyNumberFormat="1" applyFont="1" applyFill="1" applyBorder="1" applyAlignment="1">
      <alignment horizontal="left"/>
    </xf>
    <xf numFmtId="10" fontId="32" fillId="10" borderId="1" xfId="0" applyNumberFormat="1" applyFont="1" applyFill="1" applyBorder="1" applyAlignment="1">
      <alignment horizontal="left" vertical="center"/>
    </xf>
    <xf numFmtId="0" fontId="32" fillId="10" borderId="38" xfId="0" applyFont="1" applyFill="1" applyBorder="1" applyAlignment="1">
      <alignment horizontal="left"/>
    </xf>
    <xf numFmtId="44" fontId="32" fillId="10" borderId="39" xfId="0" applyNumberFormat="1" applyFont="1" applyFill="1" applyBorder="1" applyAlignment="1">
      <alignment horizontal="left"/>
    </xf>
    <xf numFmtId="10" fontId="32" fillId="10" borderId="39" xfId="0" applyNumberFormat="1" applyFont="1" applyFill="1" applyBorder="1" applyAlignment="1">
      <alignment horizontal="left" vertical="center"/>
    </xf>
    <xf numFmtId="164" fontId="32" fillId="10" borderId="40" xfId="0" applyNumberFormat="1" applyFont="1" applyFill="1" applyBorder="1" applyAlignment="1">
      <alignment horizontal="left" vertical="center"/>
    </xf>
    <xf numFmtId="0" fontId="32" fillId="10" borderId="1" xfId="0" applyFont="1" applyFill="1" applyBorder="1" applyAlignment="1">
      <alignment horizontal="left" vertical="center"/>
    </xf>
    <xf numFmtId="9" fontId="32" fillId="10" borderId="37" xfId="0" applyNumberFormat="1" applyFont="1" applyFill="1" applyBorder="1" applyAlignment="1">
      <alignment horizontal="left" vertical="center"/>
    </xf>
    <xf numFmtId="0" fontId="32" fillId="10" borderId="37" xfId="0" applyFont="1" applyFill="1" applyBorder="1" applyAlignment="1">
      <alignment horizontal="left" vertical="center"/>
    </xf>
    <xf numFmtId="0" fontId="32" fillId="10" borderId="39" xfId="0" applyFont="1" applyFill="1" applyBorder="1" applyAlignment="1">
      <alignment horizontal="left" vertical="center"/>
    </xf>
    <xf numFmtId="10" fontId="32" fillId="10" borderId="40" xfId="0" applyNumberFormat="1" applyFont="1" applyFill="1" applyBorder="1" applyAlignment="1">
      <alignment horizontal="left" vertical="center"/>
    </xf>
    <xf numFmtId="0" fontId="41" fillId="17" borderId="60" xfId="0" applyFont="1" applyFill="1" applyBorder="1"/>
    <xf numFmtId="9" fontId="32" fillId="10" borderId="61" xfId="0" applyNumberFormat="1" applyFont="1" applyFill="1" applyBorder="1" applyAlignment="1">
      <alignment horizontal="left"/>
    </xf>
    <xf numFmtId="0" fontId="0" fillId="10" borderId="0" xfId="0" applyFill="1"/>
    <xf numFmtId="0" fontId="8" fillId="13" borderId="10" xfId="0" applyFont="1" applyFill="1" applyBorder="1"/>
    <xf numFmtId="0" fontId="19" fillId="17" borderId="1" xfId="0" applyFont="1" applyFill="1" applyBorder="1"/>
    <xf numFmtId="0" fontId="32" fillId="10" borderId="62" xfId="0" applyFont="1" applyFill="1" applyBorder="1" applyAlignment="1">
      <alignment horizontal="left"/>
    </xf>
    <xf numFmtId="0" fontId="32" fillId="10" borderId="1" xfId="0" applyFont="1" applyFill="1" applyBorder="1" applyAlignment="1">
      <alignment horizontal="left"/>
    </xf>
    <xf numFmtId="0" fontId="0" fillId="2" borderId="0" xfId="0" applyFill="1" applyAlignment="1">
      <alignment horizontal="left" vertical="center"/>
    </xf>
    <xf numFmtId="0" fontId="20" fillId="2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8" fillId="2" borderId="0" xfId="0" applyFont="1" applyFill="1" applyAlignment="1">
      <alignment horizontal="left"/>
    </xf>
    <xf numFmtId="0" fontId="0" fillId="0" borderId="1" xfId="0" applyBorder="1"/>
    <xf numFmtId="0" fontId="7" fillId="2" borderId="0" xfId="0" applyFont="1" applyFill="1" applyAlignment="1">
      <alignment horizontal="center" vertical="center"/>
    </xf>
    <xf numFmtId="0" fontId="0" fillId="0" borderId="39" xfId="0" applyBorder="1"/>
    <xf numFmtId="0" fontId="0" fillId="0" borderId="40" xfId="0" applyBorder="1"/>
    <xf numFmtId="44" fontId="0" fillId="0" borderId="1" xfId="5" applyFont="1" applyBorder="1"/>
    <xf numFmtId="44" fontId="0" fillId="0" borderId="37" xfId="5" applyFont="1" applyBorder="1"/>
    <xf numFmtId="0" fontId="6" fillId="2" borderId="0" xfId="0" applyFont="1" applyFill="1" applyAlignment="1">
      <alignment vertical="center"/>
    </xf>
    <xf numFmtId="0" fontId="24" fillId="3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1" fillId="2" borderId="0" xfId="2" applyFill="1" applyBorder="1" applyAlignment="1">
      <alignment horizontal="left" vertical="center"/>
    </xf>
    <xf numFmtId="0" fontId="1" fillId="2" borderId="0" xfId="2" applyFill="1" applyBorder="1" applyAlignment="1">
      <alignment horizontal="left"/>
    </xf>
    <xf numFmtId="0" fontId="8" fillId="2" borderId="0" xfId="0" applyFont="1" applyFill="1"/>
    <xf numFmtId="0" fontId="23" fillId="10" borderId="0" xfId="0" applyFont="1" applyFill="1" applyAlignment="1">
      <alignment vertical="center"/>
    </xf>
    <xf numFmtId="0" fontId="30" fillId="10" borderId="0" xfId="0" applyFont="1" applyFill="1"/>
    <xf numFmtId="0" fontId="22" fillId="10" borderId="0" xfId="0" applyFont="1" applyFill="1"/>
    <xf numFmtId="0" fontId="20" fillId="10" borderId="0" xfId="0" applyFont="1" applyFill="1" applyAlignment="1">
      <alignment horizontal="left"/>
    </xf>
    <xf numFmtId="0" fontId="22" fillId="10" borderId="0" xfId="0" applyFont="1" applyFill="1" applyAlignment="1">
      <alignment horizontal="left"/>
    </xf>
    <xf numFmtId="0" fontId="22" fillId="11" borderId="0" xfId="0" applyFont="1" applyFill="1" applyAlignment="1">
      <alignment horizontal="left"/>
    </xf>
    <xf numFmtId="0" fontId="30" fillId="10" borderId="9" xfId="0" applyFont="1" applyFill="1" applyBorder="1"/>
    <xf numFmtId="0" fontId="43" fillId="10" borderId="10" xfId="0" applyFont="1" applyFill="1" applyBorder="1"/>
    <xf numFmtId="0" fontId="30" fillId="10" borderId="10" xfId="0" applyFont="1" applyFill="1" applyBorder="1"/>
    <xf numFmtId="0" fontId="22" fillId="10" borderId="10" xfId="0" applyFont="1" applyFill="1" applyBorder="1"/>
    <xf numFmtId="0" fontId="30" fillId="10" borderId="11" xfId="0" applyFont="1" applyFill="1" applyBorder="1"/>
    <xf numFmtId="0" fontId="36" fillId="10" borderId="10" xfId="0" applyFont="1" applyFill="1" applyBorder="1" applyAlignment="1">
      <alignment horizontal="left"/>
    </xf>
    <xf numFmtId="0" fontId="32" fillId="10" borderId="10" xfId="0" applyFont="1" applyFill="1" applyBorder="1" applyAlignment="1">
      <alignment horizontal="left"/>
    </xf>
    <xf numFmtId="44" fontId="0" fillId="13" borderId="1" xfId="4" applyFont="1" applyFill="1" applyBorder="1"/>
    <xf numFmtId="44" fontId="42" fillId="13" borderId="1" xfId="4" applyFont="1" applyFill="1" applyBorder="1"/>
    <xf numFmtId="0" fontId="21" fillId="13" borderId="1" xfId="0" applyFont="1" applyFill="1" applyBorder="1" applyAlignment="1">
      <alignment horizontal="center"/>
    </xf>
    <xf numFmtId="0" fontId="7" fillId="2" borderId="0" xfId="0" applyFont="1" applyFill="1"/>
    <xf numFmtId="0" fontId="7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32" fillId="13" borderId="55" xfId="0" applyFont="1" applyFill="1" applyBorder="1"/>
    <xf numFmtId="0" fontId="32" fillId="13" borderId="1" xfId="0" applyFont="1" applyFill="1" applyBorder="1" applyAlignment="1">
      <alignment horizontal="center"/>
    </xf>
    <xf numFmtId="44" fontId="32" fillId="13" borderId="1" xfId="4" applyFont="1" applyFill="1" applyBorder="1" applyAlignment="1"/>
    <xf numFmtId="0" fontId="28" fillId="17" borderId="1" xfId="0" applyFont="1" applyFill="1" applyBorder="1" applyAlignment="1">
      <alignment horizontal="center" vertical="center"/>
    </xf>
    <xf numFmtId="0" fontId="37" fillId="17" borderId="55" xfId="0" applyFont="1" applyFill="1" applyBorder="1" applyAlignment="1">
      <alignment vertical="center"/>
    </xf>
    <xf numFmtId="0" fontId="37" fillId="17" borderId="1" xfId="0" applyFont="1" applyFill="1" applyBorder="1" applyAlignment="1">
      <alignment vertical="center"/>
    </xf>
    <xf numFmtId="0" fontId="32" fillId="13" borderId="1" xfId="0" applyFont="1" applyFill="1" applyBorder="1"/>
    <xf numFmtId="44" fontId="32" fillId="13" borderId="1" xfId="4" applyFont="1" applyFill="1" applyBorder="1" applyAlignment="1">
      <alignment horizontal="center"/>
    </xf>
    <xf numFmtId="0" fontId="32" fillId="10" borderId="1" xfId="0" applyFont="1" applyFill="1" applyBorder="1"/>
    <xf numFmtId="44" fontId="32" fillId="10" borderId="1" xfId="0" applyNumberFormat="1" applyFont="1" applyFill="1" applyBorder="1"/>
    <xf numFmtId="44" fontId="8" fillId="13" borderId="1" xfId="4" applyFont="1" applyFill="1" applyBorder="1"/>
    <xf numFmtId="0" fontId="8" fillId="0" borderId="50" xfId="0" applyFont="1" applyBorder="1"/>
    <xf numFmtId="44" fontId="8" fillId="0" borderId="50" xfId="4" applyFont="1" applyBorder="1"/>
    <xf numFmtId="44" fontId="0" fillId="0" borderId="50" xfId="4" applyFont="1" applyBorder="1"/>
    <xf numFmtId="0" fontId="8" fillId="0" borderId="0" xfId="0" applyFont="1"/>
    <xf numFmtId="44" fontId="8" fillId="0" borderId="0" xfId="4" applyFont="1" applyBorder="1"/>
    <xf numFmtId="44" fontId="0" fillId="0" borderId="0" xfId="4" applyFont="1" applyBorder="1"/>
    <xf numFmtId="44" fontId="8" fillId="17" borderId="13" xfId="4" applyFont="1" applyFill="1" applyBorder="1"/>
    <xf numFmtId="44" fontId="0" fillId="17" borderId="13" xfId="4" applyFont="1" applyFill="1" applyBorder="1"/>
    <xf numFmtId="0" fontId="8" fillId="0" borderId="54" xfId="0" applyFont="1" applyBorder="1"/>
    <xf numFmtId="44" fontId="8" fillId="0" borderId="54" xfId="4" applyFont="1" applyBorder="1"/>
    <xf numFmtId="44" fontId="0" fillId="0" borderId="54" xfId="4" applyFont="1" applyBorder="1"/>
    <xf numFmtId="44" fontId="32" fillId="13" borderId="1" xfId="4" applyFont="1" applyFill="1" applyBorder="1"/>
    <xf numFmtId="44" fontId="43" fillId="13" borderId="1" xfId="4" applyFont="1" applyFill="1" applyBorder="1"/>
    <xf numFmtId="0" fontId="32" fillId="13" borderId="13" xfId="0" applyFont="1" applyFill="1" applyBorder="1"/>
    <xf numFmtId="44" fontId="32" fillId="13" borderId="13" xfId="4" applyFont="1" applyFill="1" applyBorder="1"/>
    <xf numFmtId="44" fontId="43" fillId="13" borderId="13" xfId="4" applyFont="1" applyFill="1" applyBorder="1"/>
    <xf numFmtId="0" fontId="33" fillId="13" borderId="1" xfId="0" applyFont="1" applyFill="1" applyBorder="1"/>
    <xf numFmtId="0" fontId="37" fillId="17" borderId="13" xfId="0" applyFont="1" applyFill="1" applyBorder="1"/>
    <xf numFmtId="44" fontId="32" fillId="13" borderId="0" xfId="4" applyFont="1" applyFill="1"/>
    <xf numFmtId="0" fontId="28" fillId="17" borderId="1" xfId="0" applyFont="1" applyFill="1" applyBorder="1" applyAlignment="1">
      <alignment horizontal="center"/>
    </xf>
    <xf numFmtId="0" fontId="45" fillId="0" borderId="0" xfId="0" applyFont="1" applyAlignment="1">
      <alignment vertical="center"/>
    </xf>
    <xf numFmtId="0" fontId="43" fillId="13" borderId="1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6" fillId="10" borderId="1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center" vertical="center"/>
    </xf>
    <xf numFmtId="0" fontId="36" fillId="10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36" fillId="2" borderId="0" xfId="0" applyFont="1" applyFill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28" fillId="12" borderId="34" xfId="0" applyFont="1" applyFill="1" applyBorder="1" applyAlignment="1">
      <alignment horizontal="center" vertical="center"/>
    </xf>
    <xf numFmtId="0" fontId="28" fillId="12" borderId="67" xfId="0" applyFont="1" applyFill="1" applyBorder="1" applyAlignment="1">
      <alignment horizontal="center" vertical="center"/>
    </xf>
    <xf numFmtId="0" fontId="28" fillId="12" borderId="59" xfId="0" applyFont="1" applyFill="1" applyBorder="1" applyAlignment="1">
      <alignment horizontal="center" vertical="center"/>
    </xf>
    <xf numFmtId="0" fontId="5" fillId="3" borderId="68" xfId="0" applyFont="1" applyFill="1" applyBorder="1"/>
    <xf numFmtId="0" fontId="5" fillId="3" borderId="3" xfId="0" applyFont="1" applyFill="1" applyBorder="1"/>
    <xf numFmtId="0" fontId="32" fillId="2" borderId="1" xfId="0" applyFont="1" applyFill="1" applyBorder="1" applyAlignment="1">
      <alignment horizontal="left" vertical="center"/>
    </xf>
    <xf numFmtId="0" fontId="32" fillId="2" borderId="37" xfId="0" applyFont="1" applyFill="1" applyBorder="1" applyAlignment="1">
      <alignment horizontal="left" vertical="center"/>
    </xf>
    <xf numFmtId="0" fontId="32" fillId="2" borderId="37" xfId="0" applyFont="1" applyFill="1" applyBorder="1" applyAlignment="1">
      <alignment horizontal="left"/>
    </xf>
    <xf numFmtId="0" fontId="32" fillId="2" borderId="37" xfId="0" applyFont="1" applyFill="1" applyBorder="1"/>
    <xf numFmtId="0" fontId="5" fillId="3" borderId="69" xfId="0" applyFont="1" applyFill="1" applyBorder="1"/>
    <xf numFmtId="0" fontId="5" fillId="3" borderId="70" xfId="0" applyFont="1" applyFill="1" applyBorder="1"/>
    <xf numFmtId="0" fontId="32" fillId="2" borderId="39" xfId="0" applyFont="1" applyFill="1" applyBorder="1" applyAlignment="1">
      <alignment horizontal="left" vertical="center"/>
    </xf>
    <xf numFmtId="0" fontId="32" fillId="2" borderId="40" xfId="0" applyFont="1" applyFill="1" applyBorder="1" applyAlignment="1">
      <alignment horizontal="left" vertical="center"/>
    </xf>
    <xf numFmtId="0" fontId="28" fillId="17" borderId="36" xfId="0" applyFont="1" applyFill="1" applyBorder="1" applyAlignment="1">
      <alignment horizontal="center"/>
    </xf>
    <xf numFmtId="0" fontId="28" fillId="17" borderId="37" xfId="0" applyFont="1" applyFill="1" applyBorder="1" applyAlignment="1">
      <alignment horizontal="center"/>
    </xf>
    <xf numFmtId="0" fontId="43" fillId="0" borderId="36" xfId="0" applyFont="1" applyBorder="1"/>
    <xf numFmtId="0" fontId="43" fillId="0" borderId="1" xfId="0" applyFont="1" applyBorder="1"/>
    <xf numFmtId="0" fontId="43" fillId="0" borderId="37" xfId="0" applyFont="1" applyBorder="1"/>
    <xf numFmtId="0" fontId="43" fillId="0" borderId="38" xfId="0" applyFont="1" applyBorder="1"/>
    <xf numFmtId="0" fontId="43" fillId="0" borderId="39" xfId="0" applyFont="1" applyBorder="1"/>
    <xf numFmtId="0" fontId="43" fillId="0" borderId="40" xfId="0" applyFont="1" applyBorder="1"/>
    <xf numFmtId="0" fontId="28" fillId="17" borderId="68" xfId="0" applyFont="1" applyFill="1" applyBorder="1" applyAlignment="1">
      <alignment horizontal="center"/>
    </xf>
    <xf numFmtId="0" fontId="28" fillId="17" borderId="2" xfId="0" applyFont="1" applyFill="1" applyBorder="1" applyAlignment="1">
      <alignment horizontal="center"/>
    </xf>
    <xf numFmtId="0" fontId="28" fillId="17" borderId="2" xfId="0" applyFont="1" applyFill="1" applyBorder="1" applyAlignment="1">
      <alignment horizontal="center" vertical="center"/>
    </xf>
    <xf numFmtId="0" fontId="28" fillId="17" borderId="33" xfId="0" applyFont="1" applyFill="1" applyBorder="1" applyAlignment="1">
      <alignment horizontal="center" vertical="center"/>
    </xf>
    <xf numFmtId="0" fontId="28" fillId="12" borderId="1" xfId="0" applyFont="1" applyFill="1" applyBorder="1" applyAlignment="1">
      <alignment horizontal="center"/>
    </xf>
    <xf numFmtId="0" fontId="28" fillId="12" borderId="56" xfId="0" applyFont="1" applyFill="1" applyBorder="1" applyAlignment="1">
      <alignment horizontal="center"/>
    </xf>
    <xf numFmtId="0" fontId="32" fillId="2" borderId="1" xfId="0" applyFont="1" applyFill="1" applyBorder="1" applyAlignment="1">
      <alignment horizontal="left"/>
    </xf>
    <xf numFmtId="0" fontId="36" fillId="2" borderId="18" xfId="0" applyFont="1" applyFill="1" applyBorder="1" applyAlignment="1">
      <alignment horizontal="left"/>
    </xf>
    <xf numFmtId="0" fontId="48" fillId="2" borderId="1" xfId="0" applyFont="1" applyFill="1" applyBorder="1" applyAlignment="1">
      <alignment horizontal="left"/>
    </xf>
    <xf numFmtId="0" fontId="32" fillId="2" borderId="18" xfId="0" applyFont="1" applyFill="1" applyBorder="1" applyAlignment="1">
      <alignment horizontal="left"/>
    </xf>
    <xf numFmtId="0" fontId="28" fillId="17" borderId="36" xfId="0" applyFont="1" applyFill="1" applyBorder="1" applyAlignment="1">
      <alignment horizontal="center" vertical="center"/>
    </xf>
    <xf numFmtId="0" fontId="28" fillId="17" borderId="37" xfId="0" applyFont="1" applyFill="1" applyBorder="1" applyAlignment="1">
      <alignment horizontal="center" vertical="center"/>
    </xf>
    <xf numFmtId="0" fontId="43" fillId="0" borderId="36" xfId="0" applyFont="1" applyBorder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21" fillId="10" borderId="0" xfId="0" applyFont="1" applyFill="1"/>
    <xf numFmtId="0" fontId="0" fillId="16" borderId="0" xfId="0" applyFill="1"/>
    <xf numFmtId="0" fontId="36" fillId="10" borderId="0" xfId="0" applyFont="1" applyFill="1"/>
    <xf numFmtId="0" fontId="33" fillId="2" borderId="1" xfId="0" applyFont="1" applyFill="1" applyBorder="1"/>
    <xf numFmtId="0" fontId="43" fillId="10" borderId="0" xfId="0" applyFont="1" applyFill="1"/>
    <xf numFmtId="0" fontId="36" fillId="10" borderId="0" xfId="0" applyFont="1" applyFill="1" applyAlignment="1">
      <alignment horizontal="left"/>
    </xf>
    <xf numFmtId="0" fontId="33" fillId="2" borderId="1" xfId="0" applyFont="1" applyFill="1" applyBorder="1" applyAlignment="1">
      <alignment horizontal="left"/>
    </xf>
    <xf numFmtId="0" fontId="32" fillId="10" borderId="0" xfId="0" applyFont="1" applyFill="1" applyAlignment="1">
      <alignment horizontal="left"/>
    </xf>
    <xf numFmtId="0" fontId="49" fillId="2" borderId="1" xfId="2" applyFont="1" applyFill="1" applyBorder="1" applyAlignment="1">
      <alignment horizontal="left"/>
    </xf>
    <xf numFmtId="0" fontId="33" fillId="3" borderId="1" xfId="0" applyFont="1" applyFill="1" applyBorder="1" applyAlignment="1">
      <alignment horizontal="left"/>
    </xf>
    <xf numFmtId="165" fontId="33" fillId="3" borderId="1" xfId="0" applyNumberFormat="1" applyFont="1" applyFill="1" applyBorder="1" applyAlignment="1">
      <alignment horizontal="left"/>
    </xf>
    <xf numFmtId="0" fontId="50" fillId="17" borderId="1" xfId="0" applyFont="1" applyFill="1" applyBorder="1" applyAlignment="1">
      <alignment horizontal="left" vertical="center"/>
    </xf>
    <xf numFmtId="0" fontId="33" fillId="13" borderId="1" xfId="0" applyFont="1" applyFill="1" applyBorder="1" applyAlignment="1">
      <alignment horizontal="left" vertical="center"/>
    </xf>
    <xf numFmtId="44" fontId="33" fillId="13" borderId="1" xfId="4" applyFont="1" applyFill="1" applyBorder="1" applyAlignment="1">
      <alignment horizontal="left" vertical="center"/>
    </xf>
    <xf numFmtId="0" fontId="51" fillId="13" borderId="1" xfId="0" applyFont="1" applyFill="1" applyBorder="1" applyAlignment="1">
      <alignment horizontal="left" vertical="center" wrapText="1"/>
    </xf>
    <xf numFmtId="44" fontId="51" fillId="13" borderId="1" xfId="4" applyFont="1" applyFill="1" applyBorder="1" applyAlignment="1">
      <alignment horizontal="left" vertical="center" wrapText="1"/>
    </xf>
    <xf numFmtId="0" fontId="51" fillId="13" borderId="13" xfId="0" applyFont="1" applyFill="1" applyBorder="1" applyAlignment="1">
      <alignment horizontal="left" vertical="center" wrapText="1"/>
    </xf>
    <xf numFmtId="44" fontId="51" fillId="13" borderId="13" xfId="4" applyFont="1" applyFill="1" applyBorder="1" applyAlignment="1">
      <alignment horizontal="left" vertical="center" wrapText="1"/>
    </xf>
    <xf numFmtId="0" fontId="35" fillId="10" borderId="0" xfId="0" applyFont="1" applyFill="1" applyAlignment="1">
      <alignment horizontal="left" vertical="center"/>
    </xf>
    <xf numFmtId="0" fontId="37" fillId="10" borderId="0" xfId="0" applyFont="1" applyFill="1" applyAlignment="1">
      <alignment horizontal="left" vertical="center"/>
    </xf>
    <xf numFmtId="0" fontId="41" fillId="10" borderId="0" xfId="0" applyFont="1" applyFill="1" applyAlignment="1">
      <alignment horizontal="left" vertical="center"/>
    </xf>
    <xf numFmtId="0" fontId="52" fillId="2" borderId="1" xfId="2" applyFont="1" applyFill="1" applyBorder="1" applyAlignment="1">
      <alignment horizontal="left"/>
    </xf>
    <xf numFmtId="0" fontId="32" fillId="10" borderId="0" xfId="0" applyFont="1" applyFill="1"/>
    <xf numFmtId="0" fontId="30" fillId="2" borderId="0" xfId="0" applyFont="1" applyFill="1"/>
    <xf numFmtId="0" fontId="43" fillId="2" borderId="0" xfId="0" applyFont="1" applyFill="1"/>
    <xf numFmtId="0" fontId="22" fillId="2" borderId="0" xfId="0" applyFont="1" applyFill="1"/>
    <xf numFmtId="0" fontId="36" fillId="10" borderId="0" xfId="0" applyFont="1" applyFill="1" applyAlignment="1">
      <alignment horizontal="left" vertical="center"/>
    </xf>
    <xf numFmtId="0" fontId="21" fillId="10" borderId="0" xfId="0" applyFont="1" applyFill="1" applyAlignment="1">
      <alignment horizontal="left" vertical="center"/>
    </xf>
    <xf numFmtId="165" fontId="22" fillId="11" borderId="0" xfId="0" applyNumberFormat="1" applyFont="1" applyFill="1" applyAlignment="1">
      <alignment horizontal="left"/>
    </xf>
    <xf numFmtId="0" fontId="22" fillId="2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8" fillId="10" borderId="0" xfId="0" applyFont="1" applyFill="1"/>
    <xf numFmtId="0" fontId="8" fillId="10" borderId="0" xfId="0" applyFont="1" applyFill="1" applyAlignment="1">
      <alignment horizontal="left"/>
    </xf>
    <xf numFmtId="0" fontId="32" fillId="2" borderId="52" xfId="0" applyFont="1" applyFill="1" applyBorder="1" applyAlignment="1">
      <alignment horizontal="left"/>
    </xf>
    <xf numFmtId="0" fontId="1" fillId="2" borderId="52" xfId="2" applyFill="1" applyBorder="1" applyAlignment="1">
      <alignment horizontal="left"/>
    </xf>
    <xf numFmtId="0" fontId="5" fillId="11" borderId="0" xfId="0" applyFont="1" applyFill="1" applyAlignment="1">
      <alignment vertical="center"/>
    </xf>
    <xf numFmtId="164" fontId="32" fillId="2" borderId="52" xfId="0" applyNumberFormat="1" applyFont="1" applyFill="1" applyBorder="1" applyAlignment="1">
      <alignment horizontal="left"/>
    </xf>
    <xf numFmtId="14" fontId="32" fillId="2" borderId="52" xfId="0" applyNumberFormat="1" applyFont="1" applyFill="1" applyBorder="1" applyAlignment="1">
      <alignment horizontal="left"/>
    </xf>
    <xf numFmtId="0" fontId="17" fillId="10" borderId="0" xfId="0" applyFont="1" applyFill="1" applyAlignment="1">
      <alignment vertical="center"/>
    </xf>
    <xf numFmtId="0" fontId="19" fillId="10" borderId="7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0" fontId="19" fillId="10" borderId="10" xfId="0" applyFont="1" applyFill="1" applyBorder="1" applyAlignment="1">
      <alignment horizontal="center" vertical="center"/>
    </xf>
    <xf numFmtId="0" fontId="19" fillId="10" borderId="8" xfId="0" applyFont="1" applyFill="1" applyBorder="1" applyAlignment="1">
      <alignment horizontal="center" vertical="center"/>
    </xf>
    <xf numFmtId="164" fontId="5" fillId="11" borderId="1" xfId="0" applyNumberFormat="1" applyFont="1" applyFill="1" applyBorder="1" applyAlignment="1">
      <alignment horizontal="left"/>
    </xf>
    <xf numFmtId="0" fontId="5" fillId="11" borderId="13" xfId="0" applyFont="1" applyFill="1" applyBorder="1" applyAlignment="1">
      <alignment horizontal="center" vertical="center"/>
    </xf>
    <xf numFmtId="0" fontId="32" fillId="0" borderId="1" xfId="0" applyFont="1" applyBorder="1"/>
    <xf numFmtId="0" fontId="32" fillId="2" borderId="0" xfId="0" applyFont="1" applyFill="1" applyAlignment="1">
      <alignment horizontal="left"/>
    </xf>
    <xf numFmtId="0" fontId="5" fillId="11" borderId="1" xfId="0" applyFont="1" applyFill="1" applyBorder="1" applyAlignment="1">
      <alignment vertical="center"/>
    </xf>
    <xf numFmtId="0" fontId="5" fillId="9" borderId="1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43" fillId="8" borderId="1" xfId="0" applyFont="1" applyFill="1" applyBorder="1" applyAlignment="1">
      <alignment horizontal="center" vertical="center"/>
    </xf>
    <xf numFmtId="0" fontId="32" fillId="0" borderId="0" xfId="0" applyFont="1"/>
    <xf numFmtId="0" fontId="32" fillId="0" borderId="71" xfId="0" applyFont="1" applyBorder="1"/>
    <xf numFmtId="0" fontId="32" fillId="0" borderId="39" xfId="0" applyFont="1" applyBorder="1"/>
    <xf numFmtId="0" fontId="32" fillId="0" borderId="38" xfId="0" applyFont="1" applyBorder="1"/>
    <xf numFmtId="0" fontId="32" fillId="2" borderId="0" xfId="0" applyFont="1" applyFill="1"/>
    <xf numFmtId="0" fontId="32" fillId="0" borderId="1" xfId="0" applyFont="1" applyBorder="1" applyAlignment="1">
      <alignment horizontal="left" vertical="center"/>
    </xf>
    <xf numFmtId="0" fontId="32" fillId="0" borderId="55" xfId="0" applyFont="1" applyBorder="1"/>
    <xf numFmtId="0" fontId="32" fillId="0" borderId="36" xfId="0" applyFont="1" applyBorder="1" applyAlignment="1">
      <alignment horizontal="left" vertical="center"/>
    </xf>
    <xf numFmtId="0" fontId="32" fillId="2" borderId="0" xfId="0" applyFont="1" applyFill="1" applyAlignment="1">
      <alignment horizontal="left" vertical="center"/>
    </xf>
    <xf numFmtId="0" fontId="32" fillId="0" borderId="40" xfId="0" applyFont="1" applyBorder="1"/>
    <xf numFmtId="0" fontId="32" fillId="0" borderId="72" xfId="0" applyFont="1" applyBorder="1"/>
    <xf numFmtId="44" fontId="32" fillId="0" borderId="37" xfId="5" applyFont="1" applyBorder="1"/>
    <xf numFmtId="44" fontId="32" fillId="0" borderId="1" xfId="5" applyFont="1" applyBorder="1"/>
    <xf numFmtId="0" fontId="32" fillId="0" borderId="56" xfId="0" applyFont="1" applyBorder="1"/>
    <xf numFmtId="0" fontId="53" fillId="0" borderId="1" xfId="2" applyFont="1" applyBorder="1"/>
    <xf numFmtId="0" fontId="28" fillId="17" borderId="53" xfId="0" applyFont="1" applyFill="1" applyBorder="1" applyAlignment="1">
      <alignment horizontal="center"/>
    </xf>
    <xf numFmtId="0" fontId="28" fillId="2" borderId="0" xfId="0" applyFont="1" applyFill="1" applyAlignment="1">
      <alignment horizontal="center"/>
    </xf>
    <xf numFmtId="0" fontId="44" fillId="7" borderId="1" xfId="0" applyFont="1" applyFill="1" applyBorder="1" applyAlignment="1">
      <alignment horizontal="center"/>
    </xf>
    <xf numFmtId="0" fontId="44" fillId="7" borderId="65" xfId="0" applyFont="1" applyFill="1" applyBorder="1" applyAlignment="1">
      <alignment horizontal="center"/>
    </xf>
    <xf numFmtId="0" fontId="44" fillId="7" borderId="64" xfId="0" applyFont="1" applyFill="1" applyBorder="1" applyAlignment="1">
      <alignment horizontal="center"/>
    </xf>
    <xf numFmtId="0" fontId="44" fillId="2" borderId="0" xfId="0" applyFont="1" applyFill="1" applyAlignment="1">
      <alignment horizontal="center"/>
    </xf>
    <xf numFmtId="0" fontId="28" fillId="17" borderId="3" xfId="0" applyFont="1" applyFill="1" applyBorder="1" applyAlignment="1">
      <alignment horizontal="center"/>
    </xf>
    <xf numFmtId="0" fontId="44" fillId="7" borderId="66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0" fontId="53" fillId="2" borderId="37" xfId="2" applyFont="1" applyFill="1" applyBorder="1" applyAlignment="1">
      <alignment horizontal="left" vertical="center"/>
    </xf>
    <xf numFmtId="0" fontId="53" fillId="2" borderId="0" xfId="2" applyFont="1" applyFill="1" applyBorder="1" applyAlignment="1">
      <alignment horizontal="left" vertical="center"/>
    </xf>
    <xf numFmtId="0" fontId="32" fillId="0" borderId="37" xfId="0" applyFont="1" applyBorder="1"/>
    <xf numFmtId="0" fontId="32" fillId="0" borderId="36" xfId="0" applyFont="1" applyBorder="1"/>
    <xf numFmtId="0" fontId="53" fillId="2" borderId="37" xfId="2" applyFont="1" applyFill="1" applyBorder="1" applyAlignment="1">
      <alignment horizontal="left"/>
    </xf>
    <xf numFmtId="0" fontId="53" fillId="2" borderId="0" xfId="2" applyFont="1" applyFill="1" applyBorder="1" applyAlignment="1">
      <alignment horizontal="left"/>
    </xf>
    <xf numFmtId="0" fontId="32" fillId="2" borderId="33" xfId="0" applyFont="1" applyFill="1" applyBorder="1" applyAlignment="1">
      <alignment horizontal="left" vertical="center"/>
    </xf>
    <xf numFmtId="0" fontId="32" fillId="2" borderId="2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/>
    </xf>
    <xf numFmtId="0" fontId="46" fillId="2" borderId="1" xfId="2" applyFont="1" applyFill="1" applyBorder="1" applyAlignment="1">
      <alignment horizontal="left"/>
    </xf>
    <xf numFmtId="0" fontId="28" fillId="3" borderId="0" xfId="0" applyFont="1" applyFill="1" applyAlignment="1">
      <alignment horizontal="center" vertical="center"/>
    </xf>
    <xf numFmtId="0" fontId="28" fillId="12" borderId="1" xfId="0" applyFont="1" applyFill="1" applyBorder="1" applyAlignment="1">
      <alignment horizontal="center" vertical="center"/>
    </xf>
    <xf numFmtId="0" fontId="28" fillId="3" borderId="0" xfId="0" applyFont="1" applyFill="1" applyAlignment="1">
      <alignment horizontal="center"/>
    </xf>
    <xf numFmtId="0" fontId="28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35" fillId="10" borderId="7" xfId="0" applyFont="1" applyFill="1" applyBorder="1" applyAlignment="1">
      <alignment horizontal="center" vertical="center"/>
    </xf>
    <xf numFmtId="0" fontId="35" fillId="10" borderId="20" xfId="0" applyFont="1" applyFill="1" applyBorder="1" applyAlignment="1">
      <alignment horizontal="center" vertical="center"/>
    </xf>
    <xf numFmtId="0" fontId="28" fillId="5" borderId="4" xfId="0" applyFont="1" applyFill="1" applyBorder="1" applyAlignment="1">
      <alignment horizontal="center" vertical="center"/>
    </xf>
    <xf numFmtId="0" fontId="28" fillId="5" borderId="5" xfId="0" applyFont="1" applyFill="1" applyBorder="1" applyAlignment="1">
      <alignment horizontal="center" vertical="center"/>
    </xf>
    <xf numFmtId="0" fontId="28" fillId="5" borderId="6" xfId="0" applyFont="1" applyFill="1" applyBorder="1" applyAlignment="1">
      <alignment horizontal="center" vertical="center"/>
    </xf>
    <xf numFmtId="0" fontId="28" fillId="5" borderId="21" xfId="0" applyFont="1" applyFill="1" applyBorder="1" applyAlignment="1">
      <alignment horizontal="center" vertical="center"/>
    </xf>
    <xf numFmtId="0" fontId="28" fillId="5" borderId="14" xfId="0" applyFont="1" applyFill="1" applyBorder="1" applyAlignment="1">
      <alignment horizontal="center" vertical="center"/>
    </xf>
    <xf numFmtId="0" fontId="28" fillId="5" borderId="22" xfId="0" applyFont="1" applyFill="1" applyBorder="1" applyAlignment="1">
      <alignment horizontal="center" vertical="center"/>
    </xf>
    <xf numFmtId="0" fontId="28" fillId="4" borderId="4" xfId="0" applyFont="1" applyFill="1" applyBorder="1" applyAlignment="1">
      <alignment horizontal="center" vertical="center"/>
    </xf>
    <xf numFmtId="0" fontId="28" fillId="4" borderId="5" xfId="0" applyFont="1" applyFill="1" applyBorder="1" applyAlignment="1">
      <alignment horizontal="center" vertical="center"/>
    </xf>
    <xf numFmtId="0" fontId="28" fillId="4" borderId="6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14" xfId="0" applyFont="1" applyFill="1" applyBorder="1" applyAlignment="1">
      <alignment horizontal="center" vertical="center"/>
    </xf>
    <xf numFmtId="0" fontId="28" fillId="4" borderId="22" xfId="0" applyFont="1" applyFill="1" applyBorder="1" applyAlignment="1">
      <alignment horizontal="center" vertical="center"/>
    </xf>
    <xf numFmtId="0" fontId="25" fillId="9" borderId="31" xfId="0" applyFont="1" applyFill="1" applyBorder="1" applyAlignment="1">
      <alignment horizontal="center" vertical="center"/>
    </xf>
    <xf numFmtId="0" fontId="25" fillId="9" borderId="15" xfId="0" applyFont="1" applyFill="1" applyBorder="1" applyAlignment="1">
      <alignment horizontal="center" vertical="center"/>
    </xf>
    <xf numFmtId="0" fontId="25" fillId="9" borderId="21" xfId="0" applyFont="1" applyFill="1" applyBorder="1" applyAlignment="1">
      <alignment horizontal="center" vertical="center"/>
    </xf>
    <xf numFmtId="0" fontId="25" fillId="9" borderId="3" xfId="0" applyFont="1" applyFill="1" applyBorder="1" applyAlignment="1">
      <alignment horizontal="center" vertical="center"/>
    </xf>
    <xf numFmtId="0" fontId="34" fillId="3" borderId="13" xfId="0" applyFont="1" applyFill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/>
    </xf>
    <xf numFmtId="0" fontId="19" fillId="12" borderId="5" xfId="0" applyFont="1" applyFill="1" applyBorder="1" applyAlignment="1">
      <alignment horizontal="center" vertical="center"/>
    </xf>
    <xf numFmtId="0" fontId="19" fillId="12" borderId="6" xfId="0" applyFont="1" applyFill="1" applyBorder="1" applyAlignment="1">
      <alignment horizontal="center" vertical="center"/>
    </xf>
    <xf numFmtId="0" fontId="19" fillId="12" borderId="7" xfId="0" applyFont="1" applyFill="1" applyBorder="1" applyAlignment="1">
      <alignment horizontal="center" vertical="center"/>
    </xf>
    <xf numFmtId="0" fontId="19" fillId="12" borderId="0" xfId="0" applyFont="1" applyFill="1" applyBorder="1" applyAlignment="1">
      <alignment horizontal="center" vertical="center"/>
    </xf>
    <xf numFmtId="0" fontId="19" fillId="12" borderId="8" xfId="0" applyFont="1" applyFill="1" applyBorder="1" applyAlignment="1">
      <alignment horizontal="center" vertical="center"/>
    </xf>
    <xf numFmtId="0" fontId="19" fillId="12" borderId="9" xfId="0" applyFont="1" applyFill="1" applyBorder="1" applyAlignment="1">
      <alignment horizontal="center" vertical="center"/>
    </xf>
    <xf numFmtId="0" fontId="19" fillId="12" borderId="10" xfId="0" applyFont="1" applyFill="1" applyBorder="1" applyAlignment="1">
      <alignment horizontal="center" vertical="center"/>
    </xf>
    <xf numFmtId="0" fontId="19" fillId="12" borderId="11" xfId="0" applyFont="1" applyFill="1" applyBorder="1" applyAlignment="1">
      <alignment horizontal="center" vertical="center"/>
    </xf>
    <xf numFmtId="0" fontId="19" fillId="6" borderId="4" xfId="0" applyFont="1" applyFill="1" applyBorder="1" applyAlignment="1">
      <alignment horizontal="center" vertical="center"/>
    </xf>
    <xf numFmtId="0" fontId="19" fillId="6" borderId="5" xfId="0" applyFont="1" applyFill="1" applyBorder="1" applyAlignment="1">
      <alignment horizontal="center" vertical="center"/>
    </xf>
    <xf numFmtId="0" fontId="19" fillId="6" borderId="6" xfId="0" applyFont="1" applyFill="1" applyBorder="1" applyAlignment="1">
      <alignment horizontal="center" vertical="center"/>
    </xf>
    <xf numFmtId="0" fontId="19" fillId="6" borderId="21" xfId="0" applyFont="1" applyFill="1" applyBorder="1" applyAlignment="1">
      <alignment horizontal="center" vertical="center"/>
    </xf>
    <xf numFmtId="0" fontId="19" fillId="6" borderId="14" xfId="0" applyFont="1" applyFill="1" applyBorder="1" applyAlignment="1">
      <alignment horizontal="center" vertical="center"/>
    </xf>
    <xf numFmtId="0" fontId="19" fillId="6" borderId="22" xfId="0" applyFont="1" applyFill="1" applyBorder="1" applyAlignment="1">
      <alignment horizontal="center" vertical="center"/>
    </xf>
    <xf numFmtId="0" fontId="16" fillId="8" borderId="31" xfId="0" applyFont="1" applyFill="1" applyBorder="1" applyAlignment="1">
      <alignment horizontal="center" vertical="center"/>
    </xf>
    <xf numFmtId="0" fontId="16" fillId="8" borderId="50" xfId="0" applyFont="1" applyFill="1" applyBorder="1" applyAlignment="1">
      <alignment horizontal="center" vertical="center"/>
    </xf>
    <xf numFmtId="0" fontId="16" fillId="8" borderId="63" xfId="0" applyFont="1" applyFill="1" applyBorder="1" applyAlignment="1">
      <alignment horizontal="center" vertical="center"/>
    </xf>
    <xf numFmtId="0" fontId="16" fillId="8" borderId="9" xfId="0" applyFont="1" applyFill="1" applyBorder="1" applyAlignment="1">
      <alignment horizontal="center" vertical="center"/>
    </xf>
    <xf numFmtId="0" fontId="16" fillId="8" borderId="10" xfId="0" applyFont="1" applyFill="1" applyBorder="1" applyAlignment="1">
      <alignment horizontal="center" vertical="center"/>
    </xf>
    <xf numFmtId="0" fontId="16" fillId="8" borderId="1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8" fillId="17" borderId="41" xfId="0" applyFont="1" applyFill="1" applyBorder="1" applyAlignment="1">
      <alignment horizontal="center" vertical="center"/>
    </xf>
    <xf numFmtId="0" fontId="28" fillId="17" borderId="42" xfId="0" applyFont="1" applyFill="1" applyBorder="1" applyAlignment="1">
      <alignment horizontal="center" vertical="center"/>
    </xf>
    <xf numFmtId="0" fontId="28" fillId="17" borderId="43" xfId="0" applyFont="1" applyFill="1" applyBorder="1" applyAlignment="1">
      <alignment horizontal="center" vertical="center"/>
    </xf>
    <xf numFmtId="0" fontId="28" fillId="17" borderId="44" xfId="0" applyFont="1" applyFill="1" applyBorder="1" applyAlignment="1">
      <alignment horizontal="center" vertical="center"/>
    </xf>
    <xf numFmtId="0" fontId="28" fillId="17" borderId="0" xfId="0" applyFont="1" applyFill="1" applyBorder="1" applyAlignment="1">
      <alignment horizontal="center" vertical="center"/>
    </xf>
    <xf numFmtId="0" fontId="28" fillId="17" borderId="45" xfId="0" applyFont="1" applyFill="1" applyBorder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19" fillId="17" borderId="4" xfId="0" applyFont="1" applyFill="1" applyBorder="1" applyAlignment="1">
      <alignment horizontal="center" vertical="center"/>
    </xf>
    <xf numFmtId="0" fontId="19" fillId="17" borderId="5" xfId="0" applyFont="1" applyFill="1" applyBorder="1" applyAlignment="1">
      <alignment horizontal="center" vertical="center"/>
    </xf>
    <xf numFmtId="0" fontId="19" fillId="17" borderId="6" xfId="0" applyFont="1" applyFill="1" applyBorder="1" applyAlignment="1">
      <alignment horizontal="center" vertical="center"/>
    </xf>
    <xf numFmtId="0" fontId="19" fillId="17" borderId="9" xfId="0" applyFont="1" applyFill="1" applyBorder="1" applyAlignment="1">
      <alignment horizontal="center" vertical="center"/>
    </xf>
    <xf numFmtId="0" fontId="19" fillId="17" borderId="10" xfId="0" applyFont="1" applyFill="1" applyBorder="1" applyAlignment="1">
      <alignment horizontal="center" vertical="center"/>
    </xf>
    <xf numFmtId="0" fontId="19" fillId="17" borderId="11" xfId="0" applyFont="1" applyFill="1" applyBorder="1" applyAlignment="1">
      <alignment horizontal="center" vertical="center"/>
    </xf>
    <xf numFmtId="0" fontId="19" fillId="17" borderId="7" xfId="0" applyFont="1" applyFill="1" applyBorder="1" applyAlignment="1">
      <alignment horizontal="center" vertical="center"/>
    </xf>
    <xf numFmtId="0" fontId="19" fillId="17" borderId="0" xfId="0" applyFont="1" applyFill="1" applyBorder="1" applyAlignment="1">
      <alignment horizontal="center" vertical="center"/>
    </xf>
    <xf numFmtId="0" fontId="19" fillId="17" borderId="8" xfId="0" applyFont="1" applyFill="1" applyBorder="1" applyAlignment="1">
      <alignment horizontal="center" vertical="center"/>
    </xf>
    <xf numFmtId="0" fontId="37" fillId="17" borderId="57" xfId="0" applyFont="1" applyFill="1" applyBorder="1" applyAlignment="1">
      <alignment horizontal="center" vertical="center"/>
    </xf>
    <xf numFmtId="0" fontId="37" fillId="17" borderId="58" xfId="0" applyFont="1" applyFill="1" applyBorder="1" applyAlignment="1">
      <alignment horizontal="center" vertical="center"/>
    </xf>
    <xf numFmtId="0" fontId="37" fillId="17" borderId="59" xfId="0" applyFont="1" applyFill="1" applyBorder="1" applyAlignment="1">
      <alignment horizontal="center" vertical="center"/>
    </xf>
    <xf numFmtId="0" fontId="36" fillId="18" borderId="36" xfId="0" applyFont="1" applyFill="1" applyBorder="1" applyAlignment="1">
      <alignment horizontal="center" vertical="center"/>
    </xf>
    <xf numFmtId="0" fontId="36" fillId="18" borderId="1" xfId="0" applyFont="1" applyFill="1" applyBorder="1" applyAlignment="1">
      <alignment horizontal="center" vertical="center"/>
    </xf>
    <xf numFmtId="0" fontId="19" fillId="17" borderId="0" xfId="0" applyFont="1" applyFill="1" applyAlignment="1">
      <alignment horizontal="center" vertical="center"/>
    </xf>
    <xf numFmtId="0" fontId="32" fillId="13" borderId="1" xfId="0" applyFont="1" applyFill="1" applyBorder="1" applyAlignment="1">
      <alignment horizontal="left"/>
    </xf>
    <xf numFmtId="44" fontId="32" fillId="13" borderId="1" xfId="4" applyFont="1" applyFill="1" applyBorder="1" applyAlignment="1">
      <alignment horizontal="center"/>
    </xf>
    <xf numFmtId="0" fontId="37" fillId="17" borderId="1" xfId="0" applyFont="1" applyFill="1" applyBorder="1" applyAlignment="1">
      <alignment horizontal="center" vertical="center"/>
    </xf>
    <xf numFmtId="0" fontId="43" fillId="13" borderId="55" xfId="0" applyFont="1" applyFill="1" applyBorder="1" applyAlignment="1">
      <alignment horizontal="center"/>
    </xf>
    <xf numFmtId="0" fontId="43" fillId="13" borderId="56" xfId="0" applyFont="1" applyFill="1" applyBorder="1" applyAlignment="1">
      <alignment horizontal="center"/>
    </xf>
    <xf numFmtId="0" fontId="29" fillId="13" borderId="1" xfId="0" applyFont="1" applyFill="1" applyBorder="1" applyAlignment="1">
      <alignment horizontal="left"/>
    </xf>
    <xf numFmtId="0" fontId="28" fillId="17" borderId="55" xfId="0" applyFont="1" applyFill="1" applyBorder="1" applyAlignment="1">
      <alignment horizontal="center" vertical="center"/>
    </xf>
    <xf numFmtId="0" fontId="28" fillId="17" borderId="54" xfId="0" applyFont="1" applyFill="1" applyBorder="1" applyAlignment="1">
      <alignment horizontal="center" vertical="center"/>
    </xf>
    <xf numFmtId="0" fontId="28" fillId="17" borderId="56" xfId="0" applyFont="1" applyFill="1" applyBorder="1" applyAlignment="1">
      <alignment horizontal="center" vertical="center"/>
    </xf>
    <xf numFmtId="0" fontId="21" fillId="13" borderId="1" xfId="0" applyFont="1" applyFill="1" applyBorder="1" applyAlignment="1">
      <alignment horizontal="center"/>
    </xf>
    <xf numFmtId="0" fontId="37" fillId="17" borderId="55" xfId="0" applyFont="1" applyFill="1" applyBorder="1" applyAlignment="1">
      <alignment horizontal="center" vertical="center"/>
    </xf>
    <xf numFmtId="0" fontId="37" fillId="17" borderId="54" xfId="0" applyFont="1" applyFill="1" applyBorder="1" applyAlignment="1">
      <alignment horizontal="center" vertical="center"/>
    </xf>
    <xf numFmtId="0" fontId="37" fillId="17" borderId="56" xfId="0" applyFont="1" applyFill="1" applyBorder="1" applyAlignment="1">
      <alignment horizontal="center" vertical="center"/>
    </xf>
    <xf numFmtId="0" fontId="19" fillId="17" borderId="14" xfId="0" applyFont="1" applyFill="1" applyBorder="1" applyAlignment="1">
      <alignment horizontal="center" vertical="center"/>
    </xf>
    <xf numFmtId="0" fontId="0" fillId="16" borderId="0" xfId="0" applyFill="1" applyAlignment="1">
      <alignment horizontal="center"/>
    </xf>
    <xf numFmtId="0" fontId="28" fillId="2" borderId="0" xfId="0" applyFont="1" applyFill="1" applyAlignment="1">
      <alignment horizontal="center" vertical="center"/>
    </xf>
    <xf numFmtId="0" fontId="28" fillId="7" borderId="1" xfId="0" applyFont="1" applyFill="1" applyBorder="1" applyAlignment="1">
      <alignment horizontal="center" vertical="center"/>
    </xf>
    <xf numFmtId="0" fontId="28" fillId="22" borderId="57" xfId="0" applyFont="1" applyFill="1" applyBorder="1" applyAlignment="1">
      <alignment horizontal="center"/>
    </xf>
    <xf numFmtId="0" fontId="28" fillId="22" borderId="58" xfId="0" applyFont="1" applyFill="1" applyBorder="1" applyAlignment="1">
      <alignment horizontal="center"/>
    </xf>
    <xf numFmtId="0" fontId="28" fillId="22" borderId="59" xfId="0" applyFont="1" applyFill="1" applyBorder="1" applyAlignment="1">
      <alignment horizontal="center"/>
    </xf>
    <xf numFmtId="0" fontId="37" fillId="7" borderId="64" xfId="0" applyFont="1" applyFill="1" applyBorder="1" applyAlignment="1">
      <alignment horizontal="center" vertical="center"/>
    </xf>
    <xf numFmtId="0" fontId="37" fillId="7" borderId="65" xfId="0" applyFont="1" applyFill="1" applyBorder="1" applyAlignment="1">
      <alignment horizontal="center" vertical="center"/>
    </xf>
    <xf numFmtId="0" fontId="37" fillId="7" borderId="66" xfId="0" applyFont="1" applyFill="1" applyBorder="1" applyAlignment="1">
      <alignment horizontal="center" vertical="center"/>
    </xf>
    <xf numFmtId="0" fontId="37" fillId="22" borderId="57" xfId="0" applyFont="1" applyFill="1" applyBorder="1" applyAlignment="1">
      <alignment horizontal="center"/>
    </xf>
    <xf numFmtId="0" fontId="37" fillId="22" borderId="58" xfId="0" applyFont="1" applyFill="1" applyBorder="1" applyAlignment="1">
      <alignment horizontal="center"/>
    </xf>
    <xf numFmtId="0" fontId="37" fillId="22" borderId="59" xfId="0" applyFont="1" applyFill="1" applyBorder="1" applyAlignment="1">
      <alignment horizontal="center"/>
    </xf>
    <xf numFmtId="0" fontId="47" fillId="7" borderId="64" xfId="0" applyFont="1" applyFill="1" applyBorder="1" applyAlignment="1">
      <alignment horizontal="center"/>
    </xf>
    <xf numFmtId="0" fontId="47" fillId="7" borderId="65" xfId="0" applyFont="1" applyFill="1" applyBorder="1" applyAlignment="1">
      <alignment horizontal="center"/>
    </xf>
    <xf numFmtId="0" fontId="47" fillId="7" borderId="66" xfId="0" applyFont="1" applyFill="1" applyBorder="1" applyAlignment="1">
      <alignment horizontal="center"/>
    </xf>
    <xf numFmtId="0" fontId="37" fillId="7" borderId="14" xfId="0" applyFont="1" applyFill="1" applyBorder="1" applyAlignment="1">
      <alignment horizontal="center" vertical="center"/>
    </xf>
    <xf numFmtId="14" fontId="32" fillId="2" borderId="52" xfId="0" applyNumberFormat="1" applyFont="1" applyFill="1" applyBorder="1" applyAlignment="1">
      <alignment horizontal="center"/>
    </xf>
    <xf numFmtId="14" fontId="32" fillId="0" borderId="1" xfId="0" applyNumberFormat="1" applyFont="1" applyBorder="1" applyAlignment="1">
      <alignment horizontal="center"/>
    </xf>
    <xf numFmtId="0" fontId="32" fillId="2" borderId="52" xfId="0" applyFont="1" applyFill="1" applyBorder="1" applyAlignment="1">
      <alignment horizontal="center"/>
    </xf>
    <xf numFmtId="0" fontId="32" fillId="0" borderId="1" xfId="0" applyFont="1" applyBorder="1" applyAlignment="1">
      <alignment horizontal="center"/>
    </xf>
    <xf numFmtId="0" fontId="32" fillId="0" borderId="2" xfId="0" applyFont="1" applyBorder="1"/>
    <xf numFmtId="0" fontId="32" fillId="2" borderId="61" xfId="0" applyFont="1" applyFill="1" applyBorder="1" applyAlignment="1">
      <alignment horizontal="left"/>
    </xf>
    <xf numFmtId="0" fontId="32" fillId="2" borderId="61" xfId="0" applyFont="1" applyFill="1" applyBorder="1" applyAlignment="1">
      <alignment horizontal="center"/>
    </xf>
    <xf numFmtId="14" fontId="32" fillId="2" borderId="61" xfId="0" applyNumberFormat="1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</cellXfs>
  <cellStyles count="6">
    <cellStyle name="Hiperlink" xfId="2" builtinId="8"/>
    <cellStyle name="Hyperlink" xfId="1"/>
    <cellStyle name="Moeda" xfId="4" builtinId="4"/>
    <cellStyle name="Moeda 2" xfId="3"/>
    <cellStyle name="Moeda 3" xfId="5"/>
    <cellStyle name="Normal" xfId="0" builtinId="0"/>
  </cellStyles>
  <dxfs count="0"/>
  <tableStyles count="0" defaultTableStyle="TableStyleMedium2" defaultPivotStyle="PivotStyleLight16"/>
  <colors>
    <mruColors>
      <color rgb="FF3D5B7A"/>
      <color rgb="FF171717"/>
      <color rgb="FFF13FF5"/>
      <color rgb="FF3A5775"/>
      <color rgb="FF8EA9DB"/>
      <color rgb="FF212121"/>
      <color rgb="FF3D597A"/>
      <color rgb="FF202020"/>
      <color rgb="FF1C1C1C"/>
      <color rgb="FFD0C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20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CONTROLE DE ENTRADAS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D5B7A"/>
            </a:solidFill>
            <a:ln>
              <a:noFill/>
            </a:ln>
            <a:effectLst/>
          </c:spPr>
          <c:invertIfNegative val="0"/>
          <c:cat>
            <c:strRef>
              <c:f>'[2]BANCO DE DADOS'!$C$7:$C$10</c:f>
              <c:strCache>
                <c:ptCount val="4"/>
                <c:pt idx="0">
                  <c:v>QUEIJO MEIA CURA</c:v>
                </c:pt>
                <c:pt idx="1">
                  <c:v>QUEIJO MINAS</c:v>
                </c:pt>
                <c:pt idx="2">
                  <c:v>QUEIJO COALHO</c:v>
                </c:pt>
                <c:pt idx="3">
                  <c:v>QUEIJO MUSSARELA</c:v>
                </c:pt>
              </c:strCache>
            </c:strRef>
          </c:cat>
          <c:val>
            <c:numRef>
              <c:f>'[2]BANCO DE DADOS'!$D$7:$D$10</c:f>
              <c:numCache>
                <c:formatCode>General</c:formatCode>
                <c:ptCount val="4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9E1-480F-8160-518E9C9F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49682464"/>
        <c:axId val="-549691712"/>
      </c:barChart>
      <c:catAx>
        <c:axId val="-54968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-549691712"/>
        <c:crosses val="autoZero"/>
        <c:auto val="1"/>
        <c:lblAlgn val="ctr"/>
        <c:lblOffset val="100"/>
        <c:noMultiLvlLbl val="0"/>
      </c:catAx>
      <c:valAx>
        <c:axId val="-54969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-549682464"/>
        <c:crosses val="autoZero"/>
        <c:crossBetween val="between"/>
      </c:valAx>
      <c:spPr>
        <a:solidFill>
          <a:schemeClr val="tx2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HOME_VENDAS!A1"/><Relationship Id="rId3" Type="http://schemas.openxmlformats.org/officeDocument/2006/relationships/hyperlink" Target="#PROD_HOME!A1"/><Relationship Id="rId7" Type="http://schemas.openxmlformats.org/officeDocument/2006/relationships/hyperlink" Target="#HOME_RH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HOME_COMPRAS!A1"/><Relationship Id="rId5" Type="http://schemas.openxmlformats.org/officeDocument/2006/relationships/hyperlink" Target="#HOME_ESTOQUE!A1"/><Relationship Id="rId4" Type="http://schemas.openxmlformats.org/officeDocument/2006/relationships/hyperlink" Target="#HOME_LOGISTICA!A1"/><Relationship Id="rId9" Type="http://schemas.openxmlformats.org/officeDocument/2006/relationships/hyperlink" Target="#HOME_FINANCAS!A1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png"/><Relationship Id="rId18" Type="http://schemas.openxmlformats.org/officeDocument/2006/relationships/hyperlink" Target="#HOME_RH!A1"/><Relationship Id="rId26" Type="http://schemas.microsoft.com/office/2007/relationships/hdphoto" Target="../media/hdphoto7.wdp"/><Relationship Id="rId3" Type="http://schemas.openxmlformats.org/officeDocument/2006/relationships/hyperlink" Target="#PRODU&#199;&#195;O_EQUIPES!A1"/><Relationship Id="rId21" Type="http://schemas.openxmlformats.org/officeDocument/2006/relationships/hyperlink" Target="#HOME_FINANCAS!A1"/><Relationship Id="rId34" Type="http://schemas.openxmlformats.org/officeDocument/2006/relationships/image" Target="../media/image13.png"/><Relationship Id="rId7" Type="http://schemas.openxmlformats.org/officeDocument/2006/relationships/image" Target="../media/image4.png"/><Relationship Id="rId12" Type="http://schemas.openxmlformats.org/officeDocument/2006/relationships/hyperlink" Target="#HOME_LOGISTICA!A1"/><Relationship Id="rId17" Type="http://schemas.microsoft.com/office/2007/relationships/hdphoto" Target="../media/hdphoto4.wdp"/><Relationship Id="rId25" Type="http://schemas.openxmlformats.org/officeDocument/2006/relationships/image" Target="../media/image10.png"/><Relationship Id="rId33" Type="http://schemas.openxmlformats.org/officeDocument/2006/relationships/hyperlink" Target="#PRODU&#199;&#195;O_CONSULTA!A1"/><Relationship Id="rId2" Type="http://schemas.openxmlformats.org/officeDocument/2006/relationships/hyperlink" Target="#PRODU&#199;&#195;O_LAN&#199;AMENTOS!A1"/><Relationship Id="rId16" Type="http://schemas.openxmlformats.org/officeDocument/2006/relationships/image" Target="../media/image7.png"/><Relationship Id="rId20" Type="http://schemas.microsoft.com/office/2007/relationships/hdphoto" Target="../media/hdphoto5.wdp"/><Relationship Id="rId29" Type="http://schemas.microsoft.com/office/2007/relationships/hdphoto" Target="../media/hdphoto8.wdp"/><Relationship Id="rId1" Type="http://schemas.openxmlformats.org/officeDocument/2006/relationships/hyperlink" Target="#PRODU&#199;&#195;O_REQUISI&#199;&#213;ES!A1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hyperlink" Target="#HOME_COMPRAS!A1"/><Relationship Id="rId32" Type="http://schemas.microsoft.com/office/2007/relationships/hdphoto" Target="../media/hdphoto9.wdp"/><Relationship Id="rId5" Type="http://schemas.openxmlformats.org/officeDocument/2006/relationships/hyperlink" Target="#NOVO!A1"/><Relationship Id="rId15" Type="http://schemas.openxmlformats.org/officeDocument/2006/relationships/hyperlink" Target="#HOME_ESTOQUE!A1"/><Relationship Id="rId23" Type="http://schemas.microsoft.com/office/2007/relationships/hdphoto" Target="../media/hdphoto6.wdp"/><Relationship Id="rId28" Type="http://schemas.openxmlformats.org/officeDocument/2006/relationships/image" Target="../media/image11.png"/><Relationship Id="rId10" Type="http://schemas.openxmlformats.org/officeDocument/2006/relationships/image" Target="../media/image5.png"/><Relationship Id="rId19" Type="http://schemas.openxmlformats.org/officeDocument/2006/relationships/image" Target="../media/image8.png"/><Relationship Id="rId31" Type="http://schemas.openxmlformats.org/officeDocument/2006/relationships/image" Target="../media/image12.png"/><Relationship Id="rId4" Type="http://schemas.openxmlformats.org/officeDocument/2006/relationships/image" Target="../media/image3.png"/><Relationship Id="rId9" Type="http://schemas.openxmlformats.org/officeDocument/2006/relationships/hyperlink" Target="#PROD_HOME!A1"/><Relationship Id="rId14" Type="http://schemas.microsoft.com/office/2007/relationships/hdphoto" Target="../media/hdphoto3.wdp"/><Relationship Id="rId22" Type="http://schemas.openxmlformats.org/officeDocument/2006/relationships/image" Target="../media/image9.png"/><Relationship Id="rId27" Type="http://schemas.openxmlformats.org/officeDocument/2006/relationships/hyperlink" Target="#HOME_VENDAS!A1"/><Relationship Id="rId30" Type="http://schemas.openxmlformats.org/officeDocument/2006/relationships/hyperlink" Target="#HOME_BD!A1"/><Relationship Id="rId35" Type="http://schemas.microsoft.com/office/2007/relationships/hdphoto" Target="../media/hdphoto10.wdp"/><Relationship Id="rId8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4.wdp"/><Relationship Id="rId26" Type="http://schemas.openxmlformats.org/officeDocument/2006/relationships/image" Target="../media/image10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5.wdp"/><Relationship Id="rId7" Type="http://schemas.openxmlformats.org/officeDocument/2006/relationships/hyperlink" Target="#Home!A1"/><Relationship Id="rId12" Type="http://schemas.microsoft.com/office/2007/relationships/hdphoto" Target="../media/hdphoto2.wdp"/><Relationship Id="rId17" Type="http://schemas.openxmlformats.org/officeDocument/2006/relationships/image" Target="../media/image7.png"/><Relationship Id="rId25" Type="http://schemas.openxmlformats.org/officeDocument/2006/relationships/hyperlink" Target="#HOME_COMPRAS!A1"/><Relationship Id="rId33" Type="http://schemas.microsoft.com/office/2007/relationships/hdphoto" Target="../media/hdphoto9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8.png"/><Relationship Id="rId29" Type="http://schemas.openxmlformats.org/officeDocument/2006/relationships/image" Target="../media/image11.png"/><Relationship Id="rId1" Type="http://schemas.openxmlformats.org/officeDocument/2006/relationships/image" Target="../media/image3.png"/><Relationship Id="rId6" Type="http://schemas.openxmlformats.org/officeDocument/2006/relationships/hyperlink" Target="#NOVO!A1"/><Relationship Id="rId11" Type="http://schemas.openxmlformats.org/officeDocument/2006/relationships/image" Target="../media/image5.png"/><Relationship Id="rId24" Type="http://schemas.microsoft.com/office/2007/relationships/hdphoto" Target="../media/hdphoto6.wdp"/><Relationship Id="rId32" Type="http://schemas.openxmlformats.org/officeDocument/2006/relationships/image" Target="../media/image12.png"/><Relationship Id="rId5" Type="http://schemas.openxmlformats.org/officeDocument/2006/relationships/hyperlink" Target="#PRODU&#199;&#195;O_CONSULTA!A1"/><Relationship Id="rId15" Type="http://schemas.microsoft.com/office/2007/relationships/hdphoto" Target="../media/hdphoto3.wdp"/><Relationship Id="rId23" Type="http://schemas.openxmlformats.org/officeDocument/2006/relationships/image" Target="../media/image9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1.wdp"/><Relationship Id="rId14" Type="http://schemas.openxmlformats.org/officeDocument/2006/relationships/image" Target="../media/image6.png"/><Relationship Id="rId22" Type="http://schemas.openxmlformats.org/officeDocument/2006/relationships/hyperlink" Target="#HOME_FINANCAS!A1"/><Relationship Id="rId27" Type="http://schemas.microsoft.com/office/2007/relationships/hdphoto" Target="../media/hdphoto7.wdp"/><Relationship Id="rId30" Type="http://schemas.microsoft.com/office/2007/relationships/hdphoto" Target="../media/hdphoto8.wdp"/><Relationship Id="rId8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4.wdp"/><Relationship Id="rId26" Type="http://schemas.openxmlformats.org/officeDocument/2006/relationships/image" Target="../media/image10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5.wdp"/><Relationship Id="rId7" Type="http://schemas.openxmlformats.org/officeDocument/2006/relationships/hyperlink" Target="#Home!A1"/><Relationship Id="rId12" Type="http://schemas.microsoft.com/office/2007/relationships/hdphoto" Target="../media/hdphoto2.wdp"/><Relationship Id="rId17" Type="http://schemas.openxmlformats.org/officeDocument/2006/relationships/image" Target="../media/image7.png"/><Relationship Id="rId25" Type="http://schemas.openxmlformats.org/officeDocument/2006/relationships/hyperlink" Target="#HOME_COMPRAS!A1"/><Relationship Id="rId33" Type="http://schemas.microsoft.com/office/2007/relationships/hdphoto" Target="../media/hdphoto9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8.png"/><Relationship Id="rId29" Type="http://schemas.openxmlformats.org/officeDocument/2006/relationships/image" Target="../media/image11.png"/><Relationship Id="rId1" Type="http://schemas.openxmlformats.org/officeDocument/2006/relationships/image" Target="../media/image3.png"/><Relationship Id="rId6" Type="http://schemas.openxmlformats.org/officeDocument/2006/relationships/hyperlink" Target="#NOVO!A1"/><Relationship Id="rId11" Type="http://schemas.openxmlformats.org/officeDocument/2006/relationships/image" Target="../media/image5.png"/><Relationship Id="rId24" Type="http://schemas.microsoft.com/office/2007/relationships/hdphoto" Target="../media/hdphoto6.wdp"/><Relationship Id="rId32" Type="http://schemas.openxmlformats.org/officeDocument/2006/relationships/image" Target="../media/image12.png"/><Relationship Id="rId5" Type="http://schemas.openxmlformats.org/officeDocument/2006/relationships/hyperlink" Target="#PRODU&#199;&#195;O_CONSULTA!A1"/><Relationship Id="rId15" Type="http://schemas.microsoft.com/office/2007/relationships/hdphoto" Target="../media/hdphoto3.wdp"/><Relationship Id="rId23" Type="http://schemas.openxmlformats.org/officeDocument/2006/relationships/image" Target="../media/image9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1.wdp"/><Relationship Id="rId14" Type="http://schemas.openxmlformats.org/officeDocument/2006/relationships/image" Target="../media/image6.png"/><Relationship Id="rId22" Type="http://schemas.openxmlformats.org/officeDocument/2006/relationships/hyperlink" Target="#HOME_FINANCAS!A1"/><Relationship Id="rId27" Type="http://schemas.microsoft.com/office/2007/relationships/hdphoto" Target="../media/hdphoto7.wdp"/><Relationship Id="rId30" Type="http://schemas.microsoft.com/office/2007/relationships/hdphoto" Target="../media/hdphoto8.wdp"/><Relationship Id="rId8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4.wdp"/><Relationship Id="rId26" Type="http://schemas.openxmlformats.org/officeDocument/2006/relationships/image" Target="../media/image10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5.wdp"/><Relationship Id="rId7" Type="http://schemas.openxmlformats.org/officeDocument/2006/relationships/hyperlink" Target="#Home!A1"/><Relationship Id="rId12" Type="http://schemas.microsoft.com/office/2007/relationships/hdphoto" Target="../media/hdphoto2.wdp"/><Relationship Id="rId17" Type="http://schemas.openxmlformats.org/officeDocument/2006/relationships/image" Target="../media/image7.png"/><Relationship Id="rId25" Type="http://schemas.openxmlformats.org/officeDocument/2006/relationships/hyperlink" Target="#HOME_COMPRAS!A1"/><Relationship Id="rId33" Type="http://schemas.microsoft.com/office/2007/relationships/hdphoto" Target="../media/hdphoto9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8.png"/><Relationship Id="rId29" Type="http://schemas.openxmlformats.org/officeDocument/2006/relationships/image" Target="../media/image11.png"/><Relationship Id="rId1" Type="http://schemas.openxmlformats.org/officeDocument/2006/relationships/image" Target="../media/image3.png"/><Relationship Id="rId6" Type="http://schemas.openxmlformats.org/officeDocument/2006/relationships/hyperlink" Target="#NOVO!A1"/><Relationship Id="rId11" Type="http://schemas.openxmlformats.org/officeDocument/2006/relationships/image" Target="../media/image5.png"/><Relationship Id="rId24" Type="http://schemas.microsoft.com/office/2007/relationships/hdphoto" Target="../media/hdphoto6.wdp"/><Relationship Id="rId32" Type="http://schemas.openxmlformats.org/officeDocument/2006/relationships/image" Target="../media/image12.png"/><Relationship Id="rId5" Type="http://schemas.openxmlformats.org/officeDocument/2006/relationships/hyperlink" Target="#PRODU&#199;&#195;O_CONSULTA!A1"/><Relationship Id="rId15" Type="http://schemas.microsoft.com/office/2007/relationships/hdphoto" Target="../media/hdphoto3.wdp"/><Relationship Id="rId23" Type="http://schemas.openxmlformats.org/officeDocument/2006/relationships/image" Target="../media/image9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1.wdp"/><Relationship Id="rId14" Type="http://schemas.openxmlformats.org/officeDocument/2006/relationships/image" Target="../media/image6.png"/><Relationship Id="rId22" Type="http://schemas.openxmlformats.org/officeDocument/2006/relationships/hyperlink" Target="#HOME_FINANCAS!A1"/><Relationship Id="rId27" Type="http://schemas.microsoft.com/office/2007/relationships/hdphoto" Target="../media/hdphoto7.wdp"/><Relationship Id="rId30" Type="http://schemas.microsoft.com/office/2007/relationships/hdphoto" Target="../media/hdphoto8.wdp"/><Relationship Id="rId8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3" Type="http://schemas.microsoft.com/office/2007/relationships/hdphoto" Target="../media/hdphoto2.wdp"/><Relationship Id="rId18" Type="http://schemas.openxmlformats.org/officeDocument/2006/relationships/image" Target="../media/image7.png"/><Relationship Id="rId26" Type="http://schemas.openxmlformats.org/officeDocument/2006/relationships/hyperlink" Target="#HOME_COMPRAS!A1"/><Relationship Id="rId3" Type="http://schemas.openxmlformats.org/officeDocument/2006/relationships/hyperlink" Target="#PRODU&#199;&#195;O_REQUISI&#199;&#213;ES!A1"/><Relationship Id="rId21" Type="http://schemas.openxmlformats.org/officeDocument/2006/relationships/image" Target="../media/image8.png"/><Relationship Id="rId34" Type="http://schemas.microsoft.com/office/2007/relationships/hdphoto" Target="../media/hdphoto9.wdp"/><Relationship Id="rId7" Type="http://schemas.openxmlformats.org/officeDocument/2006/relationships/hyperlink" Target="#NOVO!A1"/><Relationship Id="rId12" Type="http://schemas.openxmlformats.org/officeDocument/2006/relationships/image" Target="../media/image5.png"/><Relationship Id="rId17" Type="http://schemas.openxmlformats.org/officeDocument/2006/relationships/hyperlink" Target="#HOME_ESTOQUE!A1"/><Relationship Id="rId25" Type="http://schemas.microsoft.com/office/2007/relationships/hdphoto" Target="../media/hdphoto6.wdp"/><Relationship Id="rId33" Type="http://schemas.openxmlformats.org/officeDocument/2006/relationships/image" Target="../media/image12.png"/><Relationship Id="rId2" Type="http://schemas.openxmlformats.org/officeDocument/2006/relationships/image" Target="../media/image3.png"/><Relationship Id="rId16" Type="http://schemas.microsoft.com/office/2007/relationships/hdphoto" Target="../media/hdphoto3.wdp"/><Relationship Id="rId20" Type="http://schemas.openxmlformats.org/officeDocument/2006/relationships/hyperlink" Target="#HOME_RH!A1"/><Relationship Id="rId29" Type="http://schemas.openxmlformats.org/officeDocument/2006/relationships/hyperlink" Target="#HOME_VENDAS!A1"/><Relationship Id="rId1" Type="http://schemas.openxmlformats.org/officeDocument/2006/relationships/chart" Target="../charts/chart1.xml"/><Relationship Id="rId6" Type="http://schemas.openxmlformats.org/officeDocument/2006/relationships/hyperlink" Target="#PRODU&#199;&#195;O_CONSULTA!A1"/><Relationship Id="rId11" Type="http://schemas.openxmlformats.org/officeDocument/2006/relationships/hyperlink" Target="#PROD_HOME!A1"/><Relationship Id="rId24" Type="http://schemas.openxmlformats.org/officeDocument/2006/relationships/image" Target="../media/image9.png"/><Relationship Id="rId32" Type="http://schemas.openxmlformats.org/officeDocument/2006/relationships/hyperlink" Target="#HOME_BD!A1"/><Relationship Id="rId5" Type="http://schemas.openxmlformats.org/officeDocument/2006/relationships/hyperlink" Target="#PRODU&#199;&#195;O_EQUIPES!A1"/><Relationship Id="rId15" Type="http://schemas.openxmlformats.org/officeDocument/2006/relationships/image" Target="../media/image6.png"/><Relationship Id="rId23" Type="http://schemas.openxmlformats.org/officeDocument/2006/relationships/hyperlink" Target="#HOME_FINANCAS!A1"/><Relationship Id="rId28" Type="http://schemas.microsoft.com/office/2007/relationships/hdphoto" Target="../media/hdphoto7.wdp"/><Relationship Id="rId10" Type="http://schemas.microsoft.com/office/2007/relationships/hdphoto" Target="../media/hdphoto1.wdp"/><Relationship Id="rId19" Type="http://schemas.microsoft.com/office/2007/relationships/hdphoto" Target="../media/hdphoto4.wdp"/><Relationship Id="rId31" Type="http://schemas.microsoft.com/office/2007/relationships/hdphoto" Target="../media/hdphoto8.wdp"/><Relationship Id="rId4" Type="http://schemas.openxmlformats.org/officeDocument/2006/relationships/hyperlink" Target="#PRODU&#199;&#195;O_LAN&#199;AMENTOS!A1"/><Relationship Id="rId9" Type="http://schemas.openxmlformats.org/officeDocument/2006/relationships/image" Target="../media/image4.png"/><Relationship Id="rId14" Type="http://schemas.openxmlformats.org/officeDocument/2006/relationships/hyperlink" Target="#HOME_LOGISTICA!A1"/><Relationship Id="rId22" Type="http://schemas.microsoft.com/office/2007/relationships/hdphoto" Target="../media/hdphoto5.wdp"/><Relationship Id="rId27" Type="http://schemas.openxmlformats.org/officeDocument/2006/relationships/image" Target="../media/image10.png"/><Relationship Id="rId30" Type="http://schemas.openxmlformats.org/officeDocument/2006/relationships/image" Target="../media/image11.png"/><Relationship Id="rId8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8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8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8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2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2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2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2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2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hyperlink" Target="#SOLICITA&#199;&#213;ES!A1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hyperlink" Target="#N_CSOLICITAR!A1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7.png"/><Relationship Id="rId16" Type="http://schemas.openxmlformats.org/officeDocument/2006/relationships/image" Target="../media/image22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22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22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22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40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2.wdp"/><Relationship Id="rId21" Type="http://schemas.openxmlformats.org/officeDocument/2006/relationships/image" Target="../media/image10.png"/><Relationship Id="rId7" Type="http://schemas.openxmlformats.org/officeDocument/2006/relationships/hyperlink" Target="#'B2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23.png"/><Relationship Id="rId2" Type="http://schemas.openxmlformats.org/officeDocument/2006/relationships/image" Target="../media/image17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28" Type="http://schemas.microsoft.com/office/2007/relationships/hdphoto" Target="../media/hdphoto10.wdp"/><Relationship Id="rId10" Type="http://schemas.microsoft.com/office/2007/relationships/hdphoto" Target="../media/hdphoto1.wdp"/><Relationship Id="rId19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Relationship Id="rId27" Type="http://schemas.openxmlformats.org/officeDocument/2006/relationships/image" Target="../media/image13.png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2.wdp"/><Relationship Id="rId21" Type="http://schemas.openxmlformats.org/officeDocument/2006/relationships/image" Target="../media/image10.png"/><Relationship Id="rId7" Type="http://schemas.openxmlformats.org/officeDocument/2006/relationships/hyperlink" Target="#'B2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23.png"/><Relationship Id="rId2" Type="http://schemas.openxmlformats.org/officeDocument/2006/relationships/image" Target="../media/image17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10" Type="http://schemas.microsoft.com/office/2007/relationships/hdphoto" Target="../media/hdphoto1.wdp"/><Relationship Id="rId19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/Relationships>
</file>

<file path=xl/drawings/_rels/drawing42.xml.rels><?xml version="1.0" encoding="UTF-8" standalone="yes"?>
<Relationships xmlns="http://schemas.openxmlformats.org/package/2006/relationships"><Relationship Id="rId8" Type="http://schemas.microsoft.com/office/2007/relationships/hdphoto" Target="../media/hdphoto14.wdp"/><Relationship Id="rId13" Type="http://schemas.openxmlformats.org/officeDocument/2006/relationships/image" Target="../media/image28.png"/><Relationship Id="rId18" Type="http://schemas.openxmlformats.org/officeDocument/2006/relationships/image" Target="../media/image31.png"/><Relationship Id="rId3" Type="http://schemas.openxmlformats.org/officeDocument/2006/relationships/hyperlink" Target="#Home!A1"/><Relationship Id="rId21" Type="http://schemas.openxmlformats.org/officeDocument/2006/relationships/image" Target="../media/image33.png"/><Relationship Id="rId7" Type="http://schemas.openxmlformats.org/officeDocument/2006/relationships/image" Target="../media/image25.png"/><Relationship Id="rId12" Type="http://schemas.microsoft.com/office/2007/relationships/hdphoto" Target="../media/hdphoto16.wdp"/><Relationship Id="rId17" Type="http://schemas.microsoft.com/office/2007/relationships/hdphoto" Target="../media/hdphoto18.wdp"/><Relationship Id="rId2" Type="http://schemas.microsoft.com/office/2007/relationships/hdphoto" Target="../media/hdphoto13.wdp"/><Relationship Id="rId16" Type="http://schemas.openxmlformats.org/officeDocument/2006/relationships/image" Target="../media/image30.png"/><Relationship Id="rId20" Type="http://schemas.openxmlformats.org/officeDocument/2006/relationships/image" Target="../media/image32.png"/><Relationship Id="rId1" Type="http://schemas.openxmlformats.org/officeDocument/2006/relationships/image" Target="../media/image24.png"/><Relationship Id="rId6" Type="http://schemas.openxmlformats.org/officeDocument/2006/relationships/hyperlink" Target="#Produ&#231;&#227;o!A1"/><Relationship Id="rId11" Type="http://schemas.openxmlformats.org/officeDocument/2006/relationships/image" Target="../media/image27.png"/><Relationship Id="rId5" Type="http://schemas.microsoft.com/office/2007/relationships/hdphoto" Target="../media/hdphoto1.wdp"/><Relationship Id="rId15" Type="http://schemas.openxmlformats.org/officeDocument/2006/relationships/image" Target="../media/image29.png"/><Relationship Id="rId10" Type="http://schemas.microsoft.com/office/2007/relationships/hdphoto" Target="../media/hdphoto15.wdp"/><Relationship Id="rId19" Type="http://schemas.openxmlformats.org/officeDocument/2006/relationships/image" Target="../media/image3.png"/><Relationship Id="rId4" Type="http://schemas.openxmlformats.org/officeDocument/2006/relationships/image" Target="../media/image4.png"/><Relationship Id="rId9" Type="http://schemas.openxmlformats.org/officeDocument/2006/relationships/image" Target="../media/image26.png"/><Relationship Id="rId14" Type="http://schemas.microsoft.com/office/2007/relationships/hdphoto" Target="../media/hdphoto17.wdp"/></Relationships>
</file>

<file path=xl/drawings/_rels/drawing43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2.wdp"/><Relationship Id="rId21" Type="http://schemas.openxmlformats.org/officeDocument/2006/relationships/image" Target="../media/image10.png"/><Relationship Id="rId7" Type="http://schemas.openxmlformats.org/officeDocument/2006/relationships/hyperlink" Target="#'B2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23.png"/><Relationship Id="rId2" Type="http://schemas.openxmlformats.org/officeDocument/2006/relationships/image" Target="../media/image17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10" Type="http://schemas.microsoft.com/office/2007/relationships/hdphoto" Target="../media/hdphoto1.wdp"/><Relationship Id="rId19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2.wdp"/><Relationship Id="rId21" Type="http://schemas.openxmlformats.org/officeDocument/2006/relationships/image" Target="../media/image10.png"/><Relationship Id="rId7" Type="http://schemas.openxmlformats.org/officeDocument/2006/relationships/hyperlink" Target="#'B2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23.png"/><Relationship Id="rId2" Type="http://schemas.openxmlformats.org/officeDocument/2006/relationships/image" Target="../media/image17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10" Type="http://schemas.microsoft.com/office/2007/relationships/hdphoto" Target="../media/hdphoto1.wdp"/><Relationship Id="rId19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266700</xdr:colOff>
      <xdr:row>0</xdr:row>
      <xdr:rowOff>95250</xdr:rowOff>
    </xdr:from>
    <xdr:to>
      <xdr:col>31</xdr:col>
      <xdr:colOff>514350</xdr:colOff>
      <xdr:row>0</xdr:row>
      <xdr:rowOff>762000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AD69FCF3-1DA2-47EC-9F09-304C9D0E1885}"/>
            </a:ext>
            <a:ext uri="{147F2762-F138-4A5C-976F-8EAC2B608ADB}">
              <a16:predDERef xmlns:a16="http://schemas.microsoft.com/office/drawing/2014/main" xmlns="" pred="{1A271014-B2D8-45B4-B4B0-3B0A451723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1896" b="31628"/>
        <a:stretch/>
      </xdr:blipFill>
      <xdr:spPr>
        <a:xfrm>
          <a:off x="16725900" y="95250"/>
          <a:ext cx="2686050" cy="666750"/>
        </a:xfrm>
        <a:prstGeom prst="rect">
          <a:avLst/>
        </a:prstGeom>
      </xdr:spPr>
    </xdr:pic>
    <xdr:clientData/>
  </xdr:twoCellAnchor>
  <xdr:twoCellAnchor>
    <xdr:from>
      <xdr:col>14</xdr:col>
      <xdr:colOff>243840</xdr:colOff>
      <xdr:row>0</xdr:row>
      <xdr:rowOff>691749</xdr:rowOff>
    </xdr:from>
    <xdr:to>
      <xdr:col>45</xdr:col>
      <xdr:colOff>182297</xdr:colOff>
      <xdr:row>76</xdr:row>
      <xdr:rowOff>2543080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xmlns="" id="{4DC50336-6207-48CC-B652-28021BA5AAA2}"/>
            </a:ext>
          </a:extLst>
        </xdr:cNvPr>
        <xdr:cNvGrpSpPr/>
      </xdr:nvGrpSpPr>
      <xdr:grpSpPr>
        <a:xfrm>
          <a:off x="8778240" y="691749"/>
          <a:ext cx="18836057" cy="17319931"/>
          <a:chOff x="8778240" y="691749"/>
          <a:chExt cx="18836057" cy="17319931"/>
        </a:xfrm>
      </xdr:grpSpPr>
      <xdr:pic>
        <xdr:nvPicPr>
          <xdr:cNvPr id="9" name="Imagem 8">
            <a:extLst>
              <a:ext uri="{FF2B5EF4-FFF2-40B4-BE49-F238E27FC236}">
                <a16:creationId xmlns:a16="http://schemas.microsoft.com/office/drawing/2014/main" xmlns="" id="{1A271014-B2D8-45B4-B4B0-3B0A45172369}"/>
              </a:ext>
              <a:ext uri="{147F2762-F138-4A5C-976F-8EAC2B608ADB}">
                <a16:predDERef xmlns:a16="http://schemas.microsoft.com/office/drawing/2014/main" xmlns="" pred="{45AAF0B4-637A-42E1-B7D2-A6E46851A7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30773" y="691749"/>
            <a:ext cx="11730990" cy="12432269"/>
          </a:xfrm>
          <a:prstGeom prst="rect">
            <a:avLst/>
          </a:prstGeom>
        </xdr:spPr>
      </xdr:pic>
      <xdr:grpSp>
        <xdr:nvGrpSpPr>
          <xdr:cNvPr id="3" name="Agrupar 2">
            <a:extLst>
              <a:ext uri="{FF2B5EF4-FFF2-40B4-BE49-F238E27FC236}">
                <a16:creationId xmlns:a16="http://schemas.microsoft.com/office/drawing/2014/main" xmlns="" id="{511367E3-8F60-4615-B9E2-D76D9B6A4A1B}"/>
              </a:ext>
            </a:extLst>
          </xdr:cNvPr>
          <xdr:cNvGrpSpPr/>
        </xdr:nvGrpSpPr>
        <xdr:grpSpPr>
          <a:xfrm>
            <a:off x="8778240" y="12809825"/>
            <a:ext cx="18836057" cy="5201855"/>
            <a:chOff x="9753600" y="12480070"/>
            <a:chExt cx="18836057" cy="5150610"/>
          </a:xfrm>
        </xdr:grpSpPr>
        <xdr:sp macro="" textlink="">
          <xdr:nvSpPr>
            <xdr:cNvPr id="2" name="Retângulo 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xmlns="" id="{A27A1621-AD33-48E5-89E5-B6102C9218FB}"/>
                </a:ext>
                <a:ext uri="{147F2762-F138-4A5C-976F-8EAC2B608ADB}">
                  <a16:predDERef xmlns:a16="http://schemas.microsoft.com/office/drawing/2014/main" xmlns="" pred="{AD69FCF3-1DA2-47EC-9F09-304C9D0E1885}"/>
                </a:ext>
              </a:extLst>
            </xdr:cNvPr>
            <xdr:cNvSpPr/>
          </xdr:nvSpPr>
          <xdr:spPr>
            <a:xfrm>
              <a:off x="9753600" y="12480070"/>
              <a:ext cx="4815257" cy="12067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sp macro="" textlink="">
          <xdr:nvSpPr>
            <xdr:cNvPr id="6" name="Retângulo 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xmlns="" id="{3363B077-DCDF-4B4E-A3A8-52F50972E801}"/>
                </a:ext>
              </a:extLst>
            </xdr:cNvPr>
            <xdr:cNvSpPr/>
          </xdr:nvSpPr>
          <xdr:spPr>
            <a:xfrm>
              <a:off x="16764000" y="12483880"/>
              <a:ext cx="4815257" cy="119909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LOGISTICA</a:t>
              </a:r>
            </a:p>
          </xdr:txBody>
        </xdr:sp>
        <xdr:sp macro="" textlink="">
          <xdr:nvSpPr>
            <xdr:cNvPr id="7" name="Retângulo 6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F85E8954-78EF-4B2D-BBED-94A436E7D4D0}"/>
                </a:ext>
              </a:extLst>
            </xdr:cNvPr>
            <xdr:cNvSpPr/>
          </xdr:nvSpPr>
          <xdr:spPr>
            <a:xfrm>
              <a:off x="9753600" y="14384018"/>
              <a:ext cx="4815257" cy="122809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sp macro="" textlink="">
          <xdr:nvSpPr>
            <xdr:cNvPr id="8" name="Retângulo 7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xmlns="" id="{F6759180-4857-4EE9-8789-D8F31EA8B3E6}"/>
                </a:ext>
              </a:extLst>
            </xdr:cNvPr>
            <xdr:cNvSpPr/>
          </xdr:nvSpPr>
          <xdr:spPr>
            <a:xfrm>
              <a:off x="167640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sp macro="" textlink="">
          <xdr:nvSpPr>
            <xdr:cNvPr id="10" name="Retângulo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xmlns="" id="{9CADF97B-1A34-49F5-99DD-83EA451C57DC}"/>
                </a:ext>
              </a:extLst>
            </xdr:cNvPr>
            <xdr:cNvSpPr/>
          </xdr:nvSpPr>
          <xdr:spPr>
            <a:xfrm>
              <a:off x="23774400" y="12488468"/>
              <a:ext cx="4815257" cy="1189923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sp macro="" textlink="">
          <xdr:nvSpPr>
            <xdr:cNvPr id="12" name="Retângulo 1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xmlns="" id="{39E58D9A-D3C6-44CA-863A-BE15222A48E2}"/>
                </a:ext>
              </a:extLst>
            </xdr:cNvPr>
            <xdr:cNvSpPr/>
          </xdr:nvSpPr>
          <xdr:spPr>
            <a:xfrm>
              <a:off x="237744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sp macro="" textlink="">
          <xdr:nvSpPr>
            <xdr:cNvPr id="13" name="Retângulo 1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xmlns="" id="{975C4812-9CB2-4690-BF00-90C779BCD6B5}"/>
                </a:ext>
              </a:extLst>
            </xdr:cNvPr>
            <xdr:cNvSpPr/>
          </xdr:nvSpPr>
          <xdr:spPr>
            <a:xfrm>
              <a:off x="16764000" y="16411762"/>
              <a:ext cx="4815257" cy="12189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</xdr:grpSp>
    </xdr:grpSp>
    <xdr:clientData/>
  </xdr:twoCellAnchor>
  <xdr:twoCellAnchor>
    <xdr:from>
      <xdr:col>1</xdr:col>
      <xdr:colOff>131620</xdr:colOff>
      <xdr:row>0</xdr:row>
      <xdr:rowOff>226870</xdr:rowOff>
    </xdr:from>
    <xdr:to>
      <xdr:col>2</xdr:col>
      <xdr:colOff>533400</xdr:colOff>
      <xdr:row>1</xdr:row>
      <xdr:rowOff>476250</xdr:rowOff>
    </xdr:to>
    <xdr:sp macro="[0]!BotaoComLogin" textlink="">
      <xdr:nvSpPr>
        <xdr:cNvPr id="15" name="Círculo: Vazio 14">
          <a:extLst>
            <a:ext uri="{FF2B5EF4-FFF2-40B4-BE49-F238E27FC236}">
              <a16:creationId xmlns:a16="http://schemas.microsoft.com/office/drawing/2014/main" xmlns="" id="{712F380D-EDC3-4A67-AE6E-466806333055}"/>
            </a:ext>
          </a:extLst>
        </xdr:cNvPr>
        <xdr:cNvSpPr/>
      </xdr:nvSpPr>
      <xdr:spPr>
        <a:xfrm>
          <a:off x="741220" y="226870"/>
          <a:ext cx="1011380" cy="103043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4</xdr:col>
      <xdr:colOff>1245042</xdr:colOff>
      <xdr:row>5</xdr:row>
      <xdr:rowOff>171449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8DED53B5-C183-41B7-BA06-5BE376667DEA}"/>
            </a:ext>
          </a:extLst>
        </xdr:cNvPr>
        <xdr:cNvSpPr/>
      </xdr:nvSpPr>
      <xdr:spPr>
        <a:xfrm>
          <a:off x="285750" y="132568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201150</xdr:rowOff>
    </xdr:from>
    <xdr:to>
      <xdr:col>16</xdr:col>
      <xdr:colOff>190500</xdr:colOff>
      <xdr:row>6</xdr:row>
      <xdr:rowOff>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567F52C2-48CF-4196-809B-4AE5DB20EA06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94840" y="1344150"/>
          <a:ext cx="341364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201150</xdr:rowOff>
    </xdr:from>
    <xdr:to>
      <xdr:col>9</xdr:col>
      <xdr:colOff>1074300</xdr:colOff>
      <xdr:row>6</xdr:row>
      <xdr:rowOff>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27F89333-0539-4CA4-88F2-E7EEF6CC4FFF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55970" y="1344150"/>
          <a:ext cx="340983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438150</xdr:colOff>
      <xdr:row>3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91782F4-EB70-4DBA-8CC1-4C0769B2A28A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1303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>
    <xdr:from>
      <xdr:col>4</xdr:col>
      <xdr:colOff>28572</xdr:colOff>
      <xdr:row>0</xdr:row>
      <xdr:rowOff>0</xdr:rowOff>
    </xdr:from>
    <xdr:to>
      <xdr:col>38</xdr:col>
      <xdr:colOff>1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xmlns="" id="{16D287D3-4807-4A0F-984C-BB16708EF0E8}"/>
            </a:ext>
          </a:extLst>
        </xdr:cNvPr>
        <xdr:cNvGrpSpPr/>
      </xdr:nvGrpSpPr>
      <xdr:grpSpPr>
        <a:xfrm>
          <a:off x="2466972" y="0"/>
          <a:ext cx="30546679" cy="1162050"/>
          <a:chOff x="2466972" y="0"/>
          <a:chExt cx="30546679" cy="1162050"/>
        </a:xfrm>
      </xdr:grpSpPr>
      <xdr:grpSp>
        <xdr:nvGrpSpPr>
          <xdr:cNvPr id="7" name="Agrupar 6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326A7F4E-F530-414A-9273-C0FDFC6DCC15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8" name="Retângulo 7">
              <a:extLst>
                <a:ext uri="{FF2B5EF4-FFF2-40B4-BE49-F238E27FC236}">
                  <a16:creationId xmlns:a16="http://schemas.microsoft.com/office/drawing/2014/main" xmlns="" id="{207A8015-998C-4FEA-843D-55B4B608E98A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9" name="Imagem 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xmlns="" id="{9AFE44F8-489A-4CE1-A152-AF1EBC7F4E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BEBA8EAE-BF5A-486C-A8C5-ECC9F3942E4B}">
                  <a14:imgProps xmlns:a14="http://schemas.microsoft.com/office/drawing/2010/main">
                    <a14:imgLayer r:embed="rId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xmlns="" id="{E426D7F3-2B26-4441-A417-F50BAAD0D766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xmlns="" id="{B172B695-19DD-498D-BAAB-21310DBDEB28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xmlns="" id="{97D5B4D5-3363-4E37-BA46-39C3DE1D9B2F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xmlns="" id="{3C1136C4-A9E9-40AF-8916-13637D787547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4" name="Imagem 1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xmlns="" id="{A929A630-52E2-41BF-B754-2CE7ECD802F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xmlns="" id="{B84FFBE2-2D3D-4B8A-AF60-1A6BA4956774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6" name="Retângulo 15">
              <a:extLst>
                <a:ext uri="{FF2B5EF4-FFF2-40B4-BE49-F238E27FC236}">
                  <a16:creationId xmlns:a16="http://schemas.microsoft.com/office/drawing/2014/main" xmlns="" id="{5D47FB20-02D7-4AF8-8FA7-8AD925CE6A54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" name="CaixaDeTexto 16">
              <a:extLst>
                <a:ext uri="{FF2B5EF4-FFF2-40B4-BE49-F238E27FC236}">
                  <a16:creationId xmlns:a16="http://schemas.microsoft.com/office/drawing/2014/main" xmlns="" id="{6FE199B4-3C58-4457-A36E-F2B6ED8AABF7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8" name="Imagem 17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xmlns="" id="{6671D3E8-9D9A-4487-94A4-199B2826D5B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BEBA8EAE-BF5A-486C-A8C5-ECC9F3942E4B}">
                  <a14:imgProps xmlns:a14="http://schemas.microsoft.com/office/drawing/2010/main">
                    <a14:imgLayer r:embed="rId1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xmlns="" id="{5D93BFE9-4B6F-4FB6-A745-909FB0783BA8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20" name="Retângulo 19">
              <a:extLst>
                <a:ext uri="{FF2B5EF4-FFF2-40B4-BE49-F238E27FC236}">
                  <a16:creationId xmlns:a16="http://schemas.microsoft.com/office/drawing/2014/main" xmlns="" id="{F3191B70-A22D-4609-B65C-83DE2A405C39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" name="CaixaDeTexto 20">
              <a:extLst>
                <a:ext uri="{FF2B5EF4-FFF2-40B4-BE49-F238E27FC236}">
                  <a16:creationId xmlns:a16="http://schemas.microsoft.com/office/drawing/2014/main" xmlns="" id="{54C4D125-7C8F-4B69-A607-E51111259829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22" name="Imagem 1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xmlns="" id="{DF942C0D-2238-495D-9291-F8703AE3AD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xmlns="" id="{E95D69B2-057D-49FE-AF96-F8BDA7E38C7D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24" name="Retângulo 23">
              <a:extLst>
                <a:ext uri="{FF2B5EF4-FFF2-40B4-BE49-F238E27FC236}">
                  <a16:creationId xmlns:a16="http://schemas.microsoft.com/office/drawing/2014/main" xmlns="" id="{F423B0B0-12CC-4AE4-8574-1678DD41A3C1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" name="CaixaDeTexto 24">
              <a:extLst>
                <a:ext uri="{FF2B5EF4-FFF2-40B4-BE49-F238E27FC236}">
                  <a16:creationId xmlns:a16="http://schemas.microsoft.com/office/drawing/2014/main" xmlns="" id="{C3521594-A2B8-4731-9733-A3EF4935A566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26" name="Imagem 1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xmlns="" id="{5E6986DB-A350-4067-89B3-BD5264423F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BEBA8EAE-BF5A-486C-A8C5-ECC9F3942E4B}">
                  <a14:imgProps xmlns:a14="http://schemas.microsoft.com/office/drawing/2010/main">
                    <a14:imgLayer r:embed="rId2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xmlns="" id="{9182FCB3-0B69-4253-AEE0-881090F99BFB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xmlns="" id="{B6F6AEC5-17B9-4ABE-9C98-73EF754BDF98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xmlns="" id="{E02F5C7C-69FE-47EC-AED0-C6790785590A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xmlns="" id="{5D17CD25-78B0-43ED-B656-2E56BC75187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49" name="Agrupar 48">
            <a:extLst>
              <a:ext uri="{FF2B5EF4-FFF2-40B4-BE49-F238E27FC236}">
                <a16:creationId xmlns:a16="http://schemas.microsoft.com/office/drawing/2014/main" xmlns="" id="{C17925A5-E917-40B8-BE60-2B16F9DBEA4D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32" name="Retângulo 31">
              <a:extLst>
                <a:ext uri="{FF2B5EF4-FFF2-40B4-BE49-F238E27FC236}">
                  <a16:creationId xmlns:a16="http://schemas.microsoft.com/office/drawing/2014/main" xmlns="" id="{07D8D865-40A6-4E5C-B13A-4F9455E26A67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xmlns="" id="{71DA0D94-E380-4D04-A249-746CAC0394EA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4" name="Imagem 17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xmlns="" id="{743019B0-36EA-4B63-9511-1547A6B0A8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5" cstate="print">
              <a:extLst>
                <a:ext uri="{BEBA8EAE-BF5A-486C-A8C5-ECC9F3942E4B}">
                  <a14:imgProps xmlns:a14="http://schemas.microsoft.com/office/drawing/2010/main">
                    <a14:imgLayer r:embed="rId26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48" name="Agrupar 47">
            <a:extLst>
              <a:ext uri="{FF2B5EF4-FFF2-40B4-BE49-F238E27FC236}">
                <a16:creationId xmlns:a16="http://schemas.microsoft.com/office/drawing/2014/main" xmlns="" id="{DBEFDCAC-84FB-4493-BDC3-B6570AD7872E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36" name="Retângulo 35">
              <a:extLst>
                <a:ext uri="{FF2B5EF4-FFF2-40B4-BE49-F238E27FC236}">
                  <a16:creationId xmlns:a16="http://schemas.microsoft.com/office/drawing/2014/main" xmlns="" id="{C27471FA-D743-4505-A0DB-A8E35D30293E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7" name="CaixaDeTexto 36">
              <a:extLst>
                <a:ext uri="{FF2B5EF4-FFF2-40B4-BE49-F238E27FC236}">
                  <a16:creationId xmlns:a16="http://schemas.microsoft.com/office/drawing/2014/main" xmlns="" id="{7A9E31A4-7BB2-4CF5-BB6B-11079C967F19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38" name="Imagem 17">
              <a:hlinkClick xmlns:r="http://schemas.openxmlformats.org/officeDocument/2006/relationships" r:id="rId27"/>
              <a:extLst>
                <a:ext uri="{FF2B5EF4-FFF2-40B4-BE49-F238E27FC236}">
                  <a16:creationId xmlns:a16="http://schemas.microsoft.com/office/drawing/2014/main" xmlns="" id="{E3521283-844B-4585-B052-A7A9AD9501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 cstate="print">
              <a:extLst>
                <a:ext uri="{BEBA8EAE-BF5A-486C-A8C5-ECC9F3942E4B}">
                  <a14:imgProps xmlns:a14="http://schemas.microsoft.com/office/drawing/2010/main">
                    <a14:imgLayer r:embed="rId2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47" name="Agrupar 46">
            <a:extLst>
              <a:ext uri="{FF2B5EF4-FFF2-40B4-BE49-F238E27FC236}">
                <a16:creationId xmlns:a16="http://schemas.microsoft.com/office/drawing/2014/main" xmlns="" id="{EB756DCD-A276-4D36-98BA-39C99C878673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xmlns="" id="{5913CDF5-F23E-4402-9832-E17141C8B349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xmlns="" id="{90AC7DA7-BD6E-4514-9052-C3A1537B6404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42" name="Imagem 41" descr="Ícone do banco de dados (símbolo png) preto">
              <a:hlinkClick xmlns:r="http://schemas.openxmlformats.org/officeDocument/2006/relationships" r:id="rId30"/>
              <a:extLst>
                <a:ext uri="{FF2B5EF4-FFF2-40B4-BE49-F238E27FC236}">
                  <a16:creationId xmlns:a16="http://schemas.microsoft.com/office/drawing/2014/main" xmlns="" id="{F647CF7E-4060-4E42-95D6-CF60EB37FE2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1" cstate="print">
              <a:extLst>
                <a:ext uri="{BEBA8EAE-BF5A-486C-A8C5-ECC9F3942E4B}">
                  <a14:imgProps xmlns:a14="http://schemas.microsoft.com/office/drawing/2010/main">
                    <a14:imgLayer r:embed="rId32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16</xdr:col>
      <xdr:colOff>1878450</xdr:colOff>
      <xdr:row>3</xdr:row>
      <xdr:rowOff>182100</xdr:rowOff>
    </xdr:from>
    <xdr:to>
      <xdr:col>19</xdr:col>
      <xdr:colOff>438150</xdr:colOff>
      <xdr:row>5</xdr:row>
      <xdr:rowOff>171450</xdr:rowOff>
    </xdr:to>
    <xdr:sp macro="" textlink="">
      <xdr:nvSpPr>
        <xdr:cNvPr id="44" name="Retângulo 43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xmlns="" id="{920E6C6F-EC20-4CF1-A3A9-1F60DDD2792D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96430" y="1325100"/>
          <a:ext cx="34212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11</xdr:col>
      <xdr:colOff>190500</xdr:colOff>
      <xdr:row>12</xdr:row>
      <xdr:rowOff>190500</xdr:rowOff>
    </xdr:from>
    <xdr:to>
      <xdr:col>26</xdr:col>
      <xdr:colOff>361950</xdr:colOff>
      <xdr:row>65</xdr:row>
      <xdr:rowOff>160822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9DAAC046-4365-4D70-9D22-ACBD393646C5}"/>
            </a:ext>
            <a:ext uri="{147F2762-F138-4A5C-976F-8EAC2B608ADB}">
              <a16:predDERef xmlns:a16="http://schemas.microsoft.com/office/drawing/2014/main" xmlns="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>
          <a:alphaModFix amt="23000"/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610850" y="3733800"/>
          <a:ext cx="15449550" cy="1395302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4</xdr:col>
      <xdr:colOff>1245042</xdr:colOff>
      <xdr:row>5</xdr:row>
      <xdr:rowOff>171449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DD2119BC-029B-45F6-ACBF-276B04306587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201150</xdr:rowOff>
    </xdr:from>
    <xdr:to>
      <xdr:col>16</xdr:col>
      <xdr:colOff>190500</xdr:colOff>
      <xdr:row>6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xmlns="" id="{3EB06236-FA36-42B1-8B0C-F2FD642A1758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201150</xdr:rowOff>
    </xdr:from>
    <xdr:to>
      <xdr:col>9</xdr:col>
      <xdr:colOff>1074300</xdr:colOff>
      <xdr:row>6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xmlns="" id="{873DC564-DAE4-4475-B1D9-F21F5DC9DCDD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476983</xdr:colOff>
      <xdr:row>35</xdr:row>
      <xdr:rowOff>293668</xdr:rowOff>
    </xdr:from>
    <xdr:to>
      <xdr:col>19</xdr:col>
      <xdr:colOff>723900</xdr:colOff>
      <xdr:row>38</xdr:row>
      <xdr:rowOff>171450</xdr:rowOff>
    </xdr:to>
    <xdr:sp macro="[0]!REQTOP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xmlns="" id="{4CAC7DE0-2950-4685-853F-0E7DD42F235F}"/>
            </a:ext>
          </a:extLst>
        </xdr:cNvPr>
        <xdr:cNvSpPr/>
      </xdr:nvSpPr>
      <xdr:spPr>
        <a:xfrm>
          <a:off x="18136333" y="13266718"/>
          <a:ext cx="1694717" cy="9636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438150</xdr:colOff>
      <xdr:row>3</xdr:row>
      <xdr:rowOff>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838FC62B-9EB5-0901-C91F-4E877B57F872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11303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16</xdr:col>
      <xdr:colOff>1878450</xdr:colOff>
      <xdr:row>3</xdr:row>
      <xdr:rowOff>182100</xdr:rowOff>
    </xdr:from>
    <xdr:to>
      <xdr:col>19</xdr:col>
      <xdr:colOff>438150</xdr:colOff>
      <xdr:row>5</xdr:row>
      <xdr:rowOff>171450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xmlns="" id="{BBE69C41-F214-4756-A858-082FE8EB997D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469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191082</xdr:rowOff>
    </xdr:from>
    <xdr:to>
      <xdr:col>4</xdr:col>
      <xdr:colOff>1245042</xdr:colOff>
      <xdr:row>5</xdr:row>
      <xdr:rowOff>179849</xdr:rowOff>
    </xdr:to>
    <xdr:sp macro="" textlink="">
      <xdr:nvSpPr>
        <xdr:cNvPr id="74" name="Retângulo 7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17A11772-7B3E-49EF-9DDA-F58CAB4A2E36}"/>
            </a:ext>
          </a:extLst>
        </xdr:cNvPr>
        <xdr:cNvSpPr/>
      </xdr:nvSpPr>
      <xdr:spPr>
        <a:xfrm>
          <a:off x="285750" y="135313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209550</xdr:rowOff>
    </xdr:from>
    <xdr:to>
      <xdr:col>16</xdr:col>
      <xdr:colOff>190500</xdr:colOff>
      <xdr:row>6</xdr:row>
      <xdr:rowOff>8400</xdr:rowOff>
    </xdr:to>
    <xdr:sp macro="" textlink="">
      <xdr:nvSpPr>
        <xdr:cNvPr id="75" name="Retângulo 7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2C2B69BB-D8D0-4B66-8E83-BEFC08A315AE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605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209550</xdr:rowOff>
    </xdr:from>
    <xdr:to>
      <xdr:col>9</xdr:col>
      <xdr:colOff>1074300</xdr:colOff>
      <xdr:row>6</xdr:row>
      <xdr:rowOff>8400</xdr:rowOff>
    </xdr:to>
    <xdr:sp macro="" textlink="">
      <xdr:nvSpPr>
        <xdr:cNvPr id="76" name="Retângulo 7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F993B34E-644D-4A72-8B05-7CF85F9C2B52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483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16</xdr:col>
      <xdr:colOff>1878450</xdr:colOff>
      <xdr:row>3</xdr:row>
      <xdr:rowOff>190500</xdr:rowOff>
    </xdr:from>
    <xdr:to>
      <xdr:col>19</xdr:col>
      <xdr:colOff>438150</xdr:colOff>
      <xdr:row>5</xdr:row>
      <xdr:rowOff>179850</xdr:rowOff>
    </xdr:to>
    <xdr:sp macro="" textlink="">
      <xdr:nvSpPr>
        <xdr:cNvPr id="77" name="Retângulo 7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83F365E5-3773-41C5-9622-5912D2D3D27A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469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37</xdr:col>
      <xdr:colOff>581029</xdr:colOff>
      <xdr:row>3</xdr:row>
      <xdr:rowOff>0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xmlns="" id="{69C37D11-1918-4489-92D8-BE537B525F1B}"/>
            </a:ext>
          </a:extLst>
        </xdr:cNvPr>
        <xdr:cNvGrpSpPr/>
      </xdr:nvGrpSpPr>
      <xdr:grpSpPr>
        <a:xfrm>
          <a:off x="2438400" y="0"/>
          <a:ext cx="30546679" cy="1162050"/>
          <a:chOff x="2466972" y="0"/>
          <a:chExt cx="30546679" cy="1162050"/>
        </a:xfrm>
      </xdr:grpSpPr>
      <xdr:grpSp>
        <xdr:nvGrpSpPr>
          <xdr:cNvPr id="79" name="Agrupar 7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7949DA68-9C3D-428F-BD5C-1AFDADB9BEB0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12" name="Retângulo 111">
              <a:extLst>
                <a:ext uri="{FF2B5EF4-FFF2-40B4-BE49-F238E27FC236}">
                  <a16:creationId xmlns:a16="http://schemas.microsoft.com/office/drawing/2014/main" xmlns="" id="{7D7C959A-463E-4921-99CA-A3B769D4176E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13" name="Imagem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xmlns="" id="{9D3310A7-1671-429C-94FE-580929DA505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14" name="CaixaDeTexto 113">
              <a:extLst>
                <a:ext uri="{FF2B5EF4-FFF2-40B4-BE49-F238E27FC236}">
                  <a16:creationId xmlns:a16="http://schemas.microsoft.com/office/drawing/2014/main" xmlns="" id="{D0BFDF53-39F1-4860-A8EC-3CFA5721BB8D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80" name="Agrupar 79">
            <a:extLst>
              <a:ext uri="{FF2B5EF4-FFF2-40B4-BE49-F238E27FC236}">
                <a16:creationId xmlns:a16="http://schemas.microsoft.com/office/drawing/2014/main" xmlns="" id="{1D195B3D-C7DA-458C-90A6-A4736215750A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09" name="Retângulo 108">
              <a:extLst>
                <a:ext uri="{FF2B5EF4-FFF2-40B4-BE49-F238E27FC236}">
                  <a16:creationId xmlns:a16="http://schemas.microsoft.com/office/drawing/2014/main" xmlns="" id="{C7A24234-FAF6-42BD-B886-93C3FACCBA33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CaixaDeTexto 109">
              <a:extLst>
                <a:ext uri="{FF2B5EF4-FFF2-40B4-BE49-F238E27FC236}">
                  <a16:creationId xmlns:a16="http://schemas.microsoft.com/office/drawing/2014/main" xmlns="" id="{ACB9DC01-4501-411C-9526-47FAF57FD492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11" name="Imagem 1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xmlns="" id="{E1114F01-8E59-4D4A-8221-0F4A9A29CFC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xmlns="" id="{50B11AC7-5ED8-46F9-AC0B-7E8CA47A654E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06" name="Retângulo 105">
              <a:extLst>
                <a:ext uri="{FF2B5EF4-FFF2-40B4-BE49-F238E27FC236}">
                  <a16:creationId xmlns:a16="http://schemas.microsoft.com/office/drawing/2014/main" xmlns="" id="{11E3E4F3-E09A-4FC7-975E-DC1626961732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CaixaDeTexto 106">
              <a:extLst>
                <a:ext uri="{FF2B5EF4-FFF2-40B4-BE49-F238E27FC236}">
                  <a16:creationId xmlns:a16="http://schemas.microsoft.com/office/drawing/2014/main" xmlns="" id="{0A876542-DC74-401B-9B18-DC9B9FAA8C4F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08" name="Imagem 10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xmlns="" id="{01BCE424-8678-440F-9DE2-BD06461EBC4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xmlns="" id="{929640AB-8AA1-473C-ACDA-2A4D636462E3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xmlns="" id="{F883C91D-18A0-46ED-B500-EABEF0BA30D9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xmlns="" id="{44F47F77-7CBF-4170-A66E-99B58B3232C2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xmlns="" id="{0EA92BBF-D689-4EA9-AE8B-B0258D693F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83" name="Agrupar 82">
            <a:extLst>
              <a:ext uri="{FF2B5EF4-FFF2-40B4-BE49-F238E27FC236}">
                <a16:creationId xmlns:a16="http://schemas.microsoft.com/office/drawing/2014/main" xmlns="" id="{81D630AA-B065-4259-A412-C08B6BF5EE09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xmlns="" id="{8EB67026-0E6D-49EC-A309-99953CCAD5CF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xmlns="" id="{FCD59C17-EC2F-4D07-909E-1A35E0308AD4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02" name="Imagem 17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xmlns="" id="{5B5AE5B4-E050-4E42-AE9F-624CDAE8F2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84" name="Agrupar 83">
            <a:extLst>
              <a:ext uri="{FF2B5EF4-FFF2-40B4-BE49-F238E27FC236}">
                <a16:creationId xmlns:a16="http://schemas.microsoft.com/office/drawing/2014/main" xmlns="" id="{2D2840F1-5A0D-4BCD-BD1E-9C288A905B69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97" name="Retângulo 96">
              <a:extLst>
                <a:ext uri="{FF2B5EF4-FFF2-40B4-BE49-F238E27FC236}">
                  <a16:creationId xmlns:a16="http://schemas.microsoft.com/office/drawing/2014/main" xmlns="" id="{36E62163-21DC-4337-96F0-29856FC83CF5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8" name="CaixaDeTexto 97">
              <a:extLst>
                <a:ext uri="{FF2B5EF4-FFF2-40B4-BE49-F238E27FC236}">
                  <a16:creationId xmlns:a16="http://schemas.microsoft.com/office/drawing/2014/main" xmlns="" id="{54208E3B-34D1-4D5E-8278-8FFA25FAC31A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99" name="Imagem 1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xmlns="" id="{28613B27-25B9-482B-9A5E-4677F57D4CE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BEBA8EAE-BF5A-486C-A8C5-ECC9F3942E4B}">
                  <a14:imgProps xmlns:a14="http://schemas.microsoft.com/office/drawing/2010/main">
                    <a14:imgLayer r:embed="rId2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85" name="Agrupar 84">
            <a:extLst>
              <a:ext uri="{FF2B5EF4-FFF2-40B4-BE49-F238E27FC236}">
                <a16:creationId xmlns:a16="http://schemas.microsoft.com/office/drawing/2014/main" xmlns="" id="{70120646-1865-4B38-A78A-113621047779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94" name="Retângulo 93">
              <a:extLst>
                <a:ext uri="{FF2B5EF4-FFF2-40B4-BE49-F238E27FC236}">
                  <a16:creationId xmlns:a16="http://schemas.microsoft.com/office/drawing/2014/main" xmlns="" id="{B9A3BF0E-F807-4C9F-BCAD-D09F221B2865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5" name="CaixaDeTexto 94">
              <a:extLst>
                <a:ext uri="{FF2B5EF4-FFF2-40B4-BE49-F238E27FC236}">
                  <a16:creationId xmlns:a16="http://schemas.microsoft.com/office/drawing/2014/main" xmlns="" id="{059544F6-D653-489D-9D07-EC5FE355C5DE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96" name="Imagem 17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xmlns="" id="{20369CBF-E8F4-4F8A-9E44-180398E560F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BEBA8EAE-BF5A-486C-A8C5-ECC9F3942E4B}">
                  <a14:imgProps xmlns:a14="http://schemas.microsoft.com/office/drawing/2010/main">
                    <a14:imgLayer r:embed="rId2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86" name="Agrupar 85">
            <a:extLst>
              <a:ext uri="{FF2B5EF4-FFF2-40B4-BE49-F238E27FC236}">
                <a16:creationId xmlns:a16="http://schemas.microsoft.com/office/drawing/2014/main" xmlns="" id="{E618CD7E-AE3A-4552-8500-9BD357DEC4C9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91" name="Retângulo 90">
              <a:extLst>
                <a:ext uri="{FF2B5EF4-FFF2-40B4-BE49-F238E27FC236}">
                  <a16:creationId xmlns:a16="http://schemas.microsoft.com/office/drawing/2014/main" xmlns="" id="{A737769E-E6D0-4D5A-937F-D9ACA8ABC2CC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2" name="CaixaDeTexto 91">
              <a:extLst>
                <a:ext uri="{FF2B5EF4-FFF2-40B4-BE49-F238E27FC236}">
                  <a16:creationId xmlns:a16="http://schemas.microsoft.com/office/drawing/2014/main" xmlns="" id="{3E49F32B-CA86-430F-ADDB-9EF5D19981F0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93" name="Imagem 17">
              <a:hlinkClick xmlns:r="http://schemas.openxmlformats.org/officeDocument/2006/relationships" r:id="rId28"/>
              <a:extLst>
                <a:ext uri="{FF2B5EF4-FFF2-40B4-BE49-F238E27FC236}">
                  <a16:creationId xmlns:a16="http://schemas.microsoft.com/office/drawing/2014/main" xmlns="" id="{17CF5B09-3C7F-4603-9CCC-F6F4CA7DA04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87" name="Agrupar 86">
            <a:extLst>
              <a:ext uri="{FF2B5EF4-FFF2-40B4-BE49-F238E27FC236}">
                <a16:creationId xmlns:a16="http://schemas.microsoft.com/office/drawing/2014/main" xmlns="" id="{0659C500-AD1A-443A-B00E-BCE1FF9FBB5A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88" name="Retângulo 87">
              <a:extLst>
                <a:ext uri="{FF2B5EF4-FFF2-40B4-BE49-F238E27FC236}">
                  <a16:creationId xmlns:a16="http://schemas.microsoft.com/office/drawing/2014/main" xmlns="" id="{FB919FE8-AB95-4A05-B3E1-E0D28D1F4918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9" name="CaixaDeTexto 88">
              <a:extLst>
                <a:ext uri="{FF2B5EF4-FFF2-40B4-BE49-F238E27FC236}">
                  <a16:creationId xmlns:a16="http://schemas.microsoft.com/office/drawing/2014/main" xmlns="" id="{9A058E81-812F-4690-99CB-34B6F7B9AA5A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90" name="Imagem 89" descr="Ícone do banco de dados (símbolo png) preto">
              <a:hlinkClick xmlns:r="http://schemas.openxmlformats.org/officeDocument/2006/relationships" r:id="rId31"/>
              <a:extLst>
                <a:ext uri="{FF2B5EF4-FFF2-40B4-BE49-F238E27FC236}">
                  <a16:creationId xmlns:a16="http://schemas.microsoft.com/office/drawing/2014/main" xmlns="" id="{D590DE44-C6BF-4F93-9E02-C4F51517E27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2" cstate="print">
              <a:extLst>
                <a:ext uri="{BEBA8EAE-BF5A-486C-A8C5-ECC9F3942E4B}">
                  <a14:imgProps xmlns:a14="http://schemas.microsoft.com/office/drawing/2010/main">
                    <a14:imgLayer r:embed="rId3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6</xdr:col>
      <xdr:colOff>25842</xdr:colOff>
      <xdr:row>5</xdr:row>
      <xdr:rowOff>171449</xdr:rowOff>
    </xdr:to>
    <xdr:sp macro="" textlink="">
      <xdr:nvSpPr>
        <xdr:cNvPr id="78" name="Retângulo 77">
          <a:extLst>
            <a:ext uri="{FF2B5EF4-FFF2-40B4-BE49-F238E27FC236}">
              <a16:creationId xmlns:a16="http://schemas.microsoft.com/office/drawing/2014/main" xmlns="" id="{6387E164-EE07-4080-A517-A2AC7830177E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1306950</xdr:colOff>
      <xdr:row>3</xdr:row>
      <xdr:rowOff>201150</xdr:rowOff>
    </xdr:from>
    <xdr:to>
      <xdr:col>17</xdr:col>
      <xdr:colOff>1104900</xdr:colOff>
      <xdr:row>6</xdr:row>
      <xdr:rowOff>0</xdr:rowOff>
    </xdr:to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xmlns="" id="{6B9085FD-6DBC-43D7-9686-6C53E958877C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361950</xdr:colOff>
      <xdr:row>3</xdr:row>
      <xdr:rowOff>201150</xdr:rowOff>
    </xdr:from>
    <xdr:to>
      <xdr:col>12</xdr:col>
      <xdr:colOff>102750</xdr:colOff>
      <xdr:row>6</xdr:row>
      <xdr:rowOff>0</xdr:rowOff>
    </xdr:to>
    <xdr:sp macro="" textlink="">
      <xdr:nvSpPr>
        <xdr:cNvPr id="80" name="Retângulo 79">
          <a:extLst>
            <a:ext uri="{FF2B5EF4-FFF2-40B4-BE49-F238E27FC236}">
              <a16:creationId xmlns:a16="http://schemas.microsoft.com/office/drawing/2014/main" xmlns="" id="{DB25D4EA-B2B7-492C-9C81-6A37759D5B17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xmlns="" id="{9DED9435-1324-498D-9FE9-B350CFD762AD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17</xdr:col>
      <xdr:colOff>2781300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xmlns="" id="{13F0E146-F0FE-4F12-9F3D-F635CF3A63AE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3535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172032</xdr:rowOff>
    </xdr:from>
    <xdr:to>
      <xdr:col>6</xdr:col>
      <xdr:colOff>25842</xdr:colOff>
      <xdr:row>5</xdr:row>
      <xdr:rowOff>160799</xdr:rowOff>
    </xdr:to>
    <xdr:sp macro="" textlink="">
      <xdr:nvSpPr>
        <xdr:cNvPr id="45" name="Retângulo 4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26B9CA70-0F75-409B-B0EE-14FFCA1A810A}"/>
            </a:ext>
          </a:extLst>
        </xdr:cNvPr>
        <xdr:cNvSpPr/>
      </xdr:nvSpPr>
      <xdr:spPr>
        <a:xfrm>
          <a:off x="285750" y="133408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1306950</xdr:colOff>
      <xdr:row>3</xdr:row>
      <xdr:rowOff>190500</xdr:rowOff>
    </xdr:from>
    <xdr:to>
      <xdr:col>17</xdr:col>
      <xdr:colOff>1104900</xdr:colOff>
      <xdr:row>5</xdr:row>
      <xdr:rowOff>179850</xdr:rowOff>
    </xdr:to>
    <xdr:sp macro="" textlink="">
      <xdr:nvSpPr>
        <xdr:cNvPr id="46" name="Retângulo 4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B7D7EF1C-B103-40EA-B6C4-4192331CED36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6055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361950</xdr:colOff>
      <xdr:row>3</xdr:row>
      <xdr:rowOff>190500</xdr:rowOff>
    </xdr:from>
    <xdr:to>
      <xdr:col>12</xdr:col>
      <xdr:colOff>102750</xdr:colOff>
      <xdr:row>5</xdr:row>
      <xdr:rowOff>179850</xdr:rowOff>
    </xdr:to>
    <xdr:sp macro="" textlink="">
      <xdr:nvSpPr>
        <xdr:cNvPr id="47" name="Retângulo 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1D2263CB-8144-4D29-AD6F-CE2257763DD7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4835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17</xdr:col>
      <xdr:colOff>2792850</xdr:colOff>
      <xdr:row>3</xdr:row>
      <xdr:rowOff>171450</xdr:rowOff>
    </xdr:from>
    <xdr:to>
      <xdr:col>22</xdr:col>
      <xdr:colOff>495300</xdr:colOff>
      <xdr:row>5</xdr:row>
      <xdr:rowOff>160800</xdr:rowOff>
    </xdr:to>
    <xdr:sp macro="" textlink="">
      <xdr:nvSpPr>
        <xdr:cNvPr id="48" name="Retângulo 4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C715832B-6E6D-4D2A-BC1A-91F0D2A0990F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4690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32</xdr:col>
      <xdr:colOff>1990729</xdr:colOff>
      <xdr:row>3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xmlns="" id="{3BB20D42-B832-4C4B-88B2-8406203801D8}"/>
            </a:ext>
          </a:extLst>
        </xdr:cNvPr>
        <xdr:cNvGrpSpPr/>
      </xdr:nvGrpSpPr>
      <xdr:grpSpPr>
        <a:xfrm>
          <a:off x="2438400" y="0"/>
          <a:ext cx="30546679" cy="1162050"/>
          <a:chOff x="2466972" y="0"/>
          <a:chExt cx="30546679" cy="1162050"/>
        </a:xfrm>
      </xdr:grpSpPr>
      <xdr:grpSp>
        <xdr:nvGrpSpPr>
          <xdr:cNvPr id="50" name="Agrupar 4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E395F13E-97B4-4988-A2C1-07E115C63B8E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23" name="Retângulo 122">
              <a:extLst>
                <a:ext uri="{FF2B5EF4-FFF2-40B4-BE49-F238E27FC236}">
                  <a16:creationId xmlns:a16="http://schemas.microsoft.com/office/drawing/2014/main" xmlns="" id="{7C2AE7FB-DBE7-4EA2-9A50-B458DE893DD6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24" name="Imagem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xmlns="" id="{99022DBD-6052-49B7-9CA9-A7EA3090836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25" name="CaixaDeTexto 124">
              <a:extLst>
                <a:ext uri="{FF2B5EF4-FFF2-40B4-BE49-F238E27FC236}">
                  <a16:creationId xmlns:a16="http://schemas.microsoft.com/office/drawing/2014/main" xmlns="" id="{0075C0C6-0AD1-454A-97B0-35DC34DB5398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xmlns="" id="{3B559A3A-3B63-4E79-A9D7-A043B5DF567B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0" name="Retângulo 119">
              <a:extLst>
                <a:ext uri="{FF2B5EF4-FFF2-40B4-BE49-F238E27FC236}">
                  <a16:creationId xmlns:a16="http://schemas.microsoft.com/office/drawing/2014/main" xmlns="" id="{A9A5E404-9F2E-4A82-B50D-27F03B164A3B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1" name="CaixaDeTexto 120">
              <a:extLst>
                <a:ext uri="{FF2B5EF4-FFF2-40B4-BE49-F238E27FC236}">
                  <a16:creationId xmlns:a16="http://schemas.microsoft.com/office/drawing/2014/main" xmlns="" id="{CD33D963-2C0F-4A5C-B47D-88B1A7406AB2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22" name="Imagem 1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xmlns="" id="{F3012B9D-F1A1-45A7-BA01-E2968B3F1D6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xmlns="" id="{0EDA2FEF-C064-4752-9305-D140472B605D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77" name="Retângulo 76">
              <a:extLst>
                <a:ext uri="{FF2B5EF4-FFF2-40B4-BE49-F238E27FC236}">
                  <a16:creationId xmlns:a16="http://schemas.microsoft.com/office/drawing/2014/main" xmlns="" id="{CE7D064C-814D-41FC-8909-DDA2A3DC5C2A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8" name="CaixaDeTexto 117">
              <a:extLst>
                <a:ext uri="{FF2B5EF4-FFF2-40B4-BE49-F238E27FC236}">
                  <a16:creationId xmlns:a16="http://schemas.microsoft.com/office/drawing/2014/main" xmlns="" id="{72238F4D-123B-4C2E-9250-E9D6345157B0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19" name="Imagem 118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xmlns="" id="{CF13DEB6-CF7D-4ECB-84B5-28C4EEEFB4A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xmlns="" id="{F05BA8DD-D328-4DBF-931B-248BF2D6F9A6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74" name="Retângulo 73">
              <a:extLst>
                <a:ext uri="{FF2B5EF4-FFF2-40B4-BE49-F238E27FC236}">
                  <a16:creationId xmlns:a16="http://schemas.microsoft.com/office/drawing/2014/main" xmlns="" id="{5E5914E8-4081-4B72-9BC6-947901703315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5" name="CaixaDeTexto 74">
              <a:extLst>
                <a:ext uri="{FF2B5EF4-FFF2-40B4-BE49-F238E27FC236}">
                  <a16:creationId xmlns:a16="http://schemas.microsoft.com/office/drawing/2014/main" xmlns="" id="{B8E2AECE-060B-4C3E-85CA-C74A75331BC8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76" name="Imagem 1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xmlns="" id="{806690FF-2D07-434D-9062-B21ABA62C6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xmlns="" id="{7EA791A8-38BC-4D65-850E-781C73D3CA3C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71" name="Retângulo 70">
              <a:extLst>
                <a:ext uri="{FF2B5EF4-FFF2-40B4-BE49-F238E27FC236}">
                  <a16:creationId xmlns:a16="http://schemas.microsoft.com/office/drawing/2014/main" xmlns="" id="{DFCE6D8A-F035-4861-B797-B26C3B57119E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2" name="CaixaDeTexto 71">
              <a:extLst>
                <a:ext uri="{FF2B5EF4-FFF2-40B4-BE49-F238E27FC236}">
                  <a16:creationId xmlns:a16="http://schemas.microsoft.com/office/drawing/2014/main" xmlns="" id="{A761038E-C258-4406-AF6F-B6D08BA7FE78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73" name="Imagem 17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xmlns="" id="{12B0BEBA-82B5-4147-BF6F-EC4D64B56AE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55" name="Agrupar 54">
            <a:extLst>
              <a:ext uri="{FF2B5EF4-FFF2-40B4-BE49-F238E27FC236}">
                <a16:creationId xmlns:a16="http://schemas.microsoft.com/office/drawing/2014/main" xmlns="" id="{FDE422F6-FAE2-4EF7-9F38-7402D9F8B040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68" name="Retângulo 67">
              <a:extLst>
                <a:ext uri="{FF2B5EF4-FFF2-40B4-BE49-F238E27FC236}">
                  <a16:creationId xmlns:a16="http://schemas.microsoft.com/office/drawing/2014/main" xmlns="" id="{7CB1399D-3CEB-4E0B-9DA8-AD9579680DEB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9" name="CaixaDeTexto 68">
              <a:extLst>
                <a:ext uri="{FF2B5EF4-FFF2-40B4-BE49-F238E27FC236}">
                  <a16:creationId xmlns:a16="http://schemas.microsoft.com/office/drawing/2014/main" xmlns="" id="{C56B0819-8E14-4A19-89B4-A45C3A110A1C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70" name="Imagem 1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xmlns="" id="{F7EE0461-BE7B-4FC6-BF4C-1E887ABFB8E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BEBA8EAE-BF5A-486C-A8C5-ECC9F3942E4B}">
                  <a14:imgProps xmlns:a14="http://schemas.microsoft.com/office/drawing/2010/main">
                    <a14:imgLayer r:embed="rId2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xmlns="" id="{BA9EE820-86B4-41B7-94AB-604835F22FBF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65" name="Retângulo 64">
              <a:extLst>
                <a:ext uri="{FF2B5EF4-FFF2-40B4-BE49-F238E27FC236}">
                  <a16:creationId xmlns:a16="http://schemas.microsoft.com/office/drawing/2014/main" xmlns="" id="{0AC661D9-7CED-4464-BBBE-0AAA554D8146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6" name="CaixaDeTexto 65">
              <a:extLst>
                <a:ext uri="{FF2B5EF4-FFF2-40B4-BE49-F238E27FC236}">
                  <a16:creationId xmlns:a16="http://schemas.microsoft.com/office/drawing/2014/main" xmlns="" id="{CA1A0E86-3B72-4DC1-9D8E-238214C76CCF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67" name="Imagem 17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xmlns="" id="{284D5D20-D828-41DF-8AEA-3A04D02673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BEBA8EAE-BF5A-486C-A8C5-ECC9F3942E4B}">
                  <a14:imgProps xmlns:a14="http://schemas.microsoft.com/office/drawing/2010/main">
                    <a14:imgLayer r:embed="rId2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57" name="Agrupar 56">
            <a:extLst>
              <a:ext uri="{FF2B5EF4-FFF2-40B4-BE49-F238E27FC236}">
                <a16:creationId xmlns:a16="http://schemas.microsoft.com/office/drawing/2014/main" xmlns="" id="{D88679D8-7566-45FC-B4F7-58537F3E1B21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62" name="Retângulo 61">
              <a:extLst>
                <a:ext uri="{FF2B5EF4-FFF2-40B4-BE49-F238E27FC236}">
                  <a16:creationId xmlns:a16="http://schemas.microsoft.com/office/drawing/2014/main" xmlns="" id="{66ACB10B-4269-4975-A685-ECC4CFC67B25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3" name="CaixaDeTexto 62">
              <a:extLst>
                <a:ext uri="{FF2B5EF4-FFF2-40B4-BE49-F238E27FC236}">
                  <a16:creationId xmlns:a16="http://schemas.microsoft.com/office/drawing/2014/main" xmlns="" id="{F9D391BB-CE8D-4491-8D48-07726E10BC85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64" name="Imagem 17">
              <a:hlinkClick xmlns:r="http://schemas.openxmlformats.org/officeDocument/2006/relationships" r:id="rId28"/>
              <a:extLst>
                <a:ext uri="{FF2B5EF4-FFF2-40B4-BE49-F238E27FC236}">
                  <a16:creationId xmlns:a16="http://schemas.microsoft.com/office/drawing/2014/main" xmlns="" id="{459164D9-3E9E-40F0-8E5A-5BCFC7ADC38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58" name="Agrupar 57">
            <a:extLst>
              <a:ext uri="{FF2B5EF4-FFF2-40B4-BE49-F238E27FC236}">
                <a16:creationId xmlns:a16="http://schemas.microsoft.com/office/drawing/2014/main" xmlns="" id="{EE62A363-C46A-429A-AF6B-B9CFFFD55383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59" name="Retângulo 58">
              <a:extLst>
                <a:ext uri="{FF2B5EF4-FFF2-40B4-BE49-F238E27FC236}">
                  <a16:creationId xmlns:a16="http://schemas.microsoft.com/office/drawing/2014/main" xmlns="" id="{6A220D63-15E4-489C-9A88-D60C603F940B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0" name="CaixaDeTexto 59">
              <a:extLst>
                <a:ext uri="{FF2B5EF4-FFF2-40B4-BE49-F238E27FC236}">
                  <a16:creationId xmlns:a16="http://schemas.microsoft.com/office/drawing/2014/main" xmlns="" id="{2071CCE8-4CF1-4CC2-AADE-0C6E8F9E1A67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61" name="Imagem 60" descr="Ícone do banco de dados (símbolo png) preto">
              <a:hlinkClick xmlns:r="http://schemas.openxmlformats.org/officeDocument/2006/relationships" r:id="rId31"/>
              <a:extLst>
                <a:ext uri="{FF2B5EF4-FFF2-40B4-BE49-F238E27FC236}">
                  <a16:creationId xmlns:a16="http://schemas.microsoft.com/office/drawing/2014/main" xmlns="" id="{192837CA-FC55-40DC-BFFD-DFA75F5F4513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2" cstate="print">
              <a:extLst>
                <a:ext uri="{BEBA8EAE-BF5A-486C-A8C5-ECC9F3942E4B}">
                  <a14:imgProps xmlns:a14="http://schemas.microsoft.com/office/drawing/2010/main">
                    <a14:imgLayer r:embed="rId3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98F6044-3435-4A9B-94D6-20C32595DB41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xmlns="" id="{01FCF6E8-6876-4350-BC64-77B42BD1437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18</xdr:col>
      <xdr:colOff>704850</xdr:colOff>
      <xdr:row>6</xdr:row>
      <xdr:rowOff>1</xdr:rowOff>
    </xdr:to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xmlns="" id="{0EB0024F-8E8A-418A-BE9D-A8C972EE3636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83" name="Retângulo 82">
          <a:extLst>
            <a:ext uri="{FF2B5EF4-FFF2-40B4-BE49-F238E27FC236}">
              <a16:creationId xmlns:a16="http://schemas.microsoft.com/office/drawing/2014/main" xmlns="" id="{BC8D0F71-272B-4B75-BDD1-17351949F8B1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3143250</xdr:colOff>
      <xdr:row>23</xdr:row>
      <xdr:rowOff>57150</xdr:rowOff>
    </xdr:from>
    <xdr:to>
      <xdr:col>21</xdr:col>
      <xdr:colOff>457200</xdr:colOff>
      <xdr:row>26</xdr:row>
      <xdr:rowOff>125432</xdr:rowOff>
    </xdr:to>
    <xdr:sp macro="[1]!REQ_MP" textlink="">
      <xdr:nvSpPr>
        <xdr:cNvPr id="84" name="Retângulo: Cantos Arredondados 83">
          <a:extLst>
            <a:ext uri="{FF2B5EF4-FFF2-40B4-BE49-F238E27FC236}">
              <a16:creationId xmlns:a16="http://schemas.microsoft.com/office/drawing/2014/main" xmlns="" id="{1617A9C8-3F1D-43C2-9C94-CA9ABB1EAB0D}"/>
            </a:ext>
          </a:extLst>
        </xdr:cNvPr>
        <xdr:cNvSpPr/>
      </xdr:nvSpPr>
      <xdr:spPr>
        <a:xfrm>
          <a:off x="16897350" y="81724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  <xdr:twoCellAnchor editAs="absolute">
    <xdr:from>
      <xdr:col>18</xdr:col>
      <xdr:colOff>2362200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xmlns="" id="{91AAD696-6C11-4688-BA7C-749C83AE8462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1630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191082</xdr:rowOff>
    </xdr:from>
    <xdr:to>
      <xdr:col>5</xdr:col>
      <xdr:colOff>635442</xdr:colOff>
      <xdr:row>5</xdr:row>
      <xdr:rowOff>179849</xdr:rowOff>
    </xdr:to>
    <xdr:sp macro="" textlink="">
      <xdr:nvSpPr>
        <xdr:cNvPr id="86" name="Retângulo 8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92C8E728-0AD2-4B4F-A608-E7FF0D44A570}"/>
            </a:ext>
          </a:extLst>
        </xdr:cNvPr>
        <xdr:cNvSpPr/>
      </xdr:nvSpPr>
      <xdr:spPr>
        <a:xfrm>
          <a:off x="285750" y="13531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209550</xdr:rowOff>
    </xdr:from>
    <xdr:to>
      <xdr:col>18</xdr:col>
      <xdr:colOff>704850</xdr:colOff>
      <xdr:row>6</xdr:row>
      <xdr:rowOff>8400</xdr:rowOff>
    </xdr:to>
    <xdr:sp macro="" textlink="">
      <xdr:nvSpPr>
        <xdr:cNvPr id="87" name="Retângulo 8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146A88D9-DB68-4D64-8735-15FD13563114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60550" y="13716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209550</xdr:rowOff>
    </xdr:from>
    <xdr:to>
      <xdr:col>10</xdr:col>
      <xdr:colOff>369450</xdr:colOff>
      <xdr:row>6</xdr:row>
      <xdr:rowOff>8400</xdr:rowOff>
    </xdr:to>
    <xdr:sp macro="" textlink="">
      <xdr:nvSpPr>
        <xdr:cNvPr id="88" name="Retângulo 8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C7496021-B371-43CB-8642-C47CFDC6A81A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483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2392800</xdr:colOff>
      <xdr:row>3</xdr:row>
      <xdr:rowOff>190500</xdr:rowOff>
    </xdr:from>
    <xdr:to>
      <xdr:col>22</xdr:col>
      <xdr:colOff>514350</xdr:colOff>
      <xdr:row>5</xdr:row>
      <xdr:rowOff>179850</xdr:rowOff>
    </xdr:to>
    <xdr:sp macro="" textlink="">
      <xdr:nvSpPr>
        <xdr:cNvPr id="89" name="Retângulo 8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588488F9-9981-4D2A-9F01-DC7E26D2D322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469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40</xdr:col>
      <xdr:colOff>333379</xdr:colOff>
      <xdr:row>3</xdr:row>
      <xdr:rowOff>0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xmlns="" id="{ABCC02B1-A50A-48F8-A79C-3441A7A848ED}"/>
            </a:ext>
          </a:extLst>
        </xdr:cNvPr>
        <xdr:cNvGrpSpPr/>
      </xdr:nvGrpSpPr>
      <xdr:grpSpPr>
        <a:xfrm>
          <a:off x="2438400" y="0"/>
          <a:ext cx="30546679" cy="1162050"/>
          <a:chOff x="2466972" y="0"/>
          <a:chExt cx="30546679" cy="1162050"/>
        </a:xfrm>
      </xdr:grpSpPr>
      <xdr:grpSp>
        <xdr:nvGrpSpPr>
          <xdr:cNvPr id="91" name="Agrupar 9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6BBF6EFC-E490-4D2A-840F-79377E72CF32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24" name="Retângulo 123">
              <a:extLst>
                <a:ext uri="{FF2B5EF4-FFF2-40B4-BE49-F238E27FC236}">
                  <a16:creationId xmlns:a16="http://schemas.microsoft.com/office/drawing/2014/main" xmlns="" id="{0D746A78-9B18-4A56-B9FB-8FDAA8BCD1EC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25" name="Imagem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xmlns="" id="{002FE118-628D-427A-A615-F1D16F51AFF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26" name="CaixaDeTexto 125">
              <a:extLst>
                <a:ext uri="{FF2B5EF4-FFF2-40B4-BE49-F238E27FC236}">
                  <a16:creationId xmlns:a16="http://schemas.microsoft.com/office/drawing/2014/main" xmlns="" id="{6E3F6070-A7CF-4408-816E-7039D9D4B17B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92" name="Agrupar 91">
            <a:extLst>
              <a:ext uri="{FF2B5EF4-FFF2-40B4-BE49-F238E27FC236}">
                <a16:creationId xmlns:a16="http://schemas.microsoft.com/office/drawing/2014/main" xmlns="" id="{6F2C2758-00E5-4D67-B817-894642B218D2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1" name="Retângulo 120">
              <a:extLst>
                <a:ext uri="{FF2B5EF4-FFF2-40B4-BE49-F238E27FC236}">
                  <a16:creationId xmlns:a16="http://schemas.microsoft.com/office/drawing/2014/main" xmlns="" id="{56B8AEA3-409A-4CC4-AF71-70FEE0C5A540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2" name="CaixaDeTexto 121">
              <a:extLst>
                <a:ext uri="{FF2B5EF4-FFF2-40B4-BE49-F238E27FC236}">
                  <a16:creationId xmlns:a16="http://schemas.microsoft.com/office/drawing/2014/main" xmlns="" id="{101BDED6-1722-452D-AD0A-458767F516DB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23" name="Imagem 1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xmlns="" id="{2086F362-B3F9-456A-A3E5-F986234F30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93" name="Agrupar 92">
            <a:extLst>
              <a:ext uri="{FF2B5EF4-FFF2-40B4-BE49-F238E27FC236}">
                <a16:creationId xmlns:a16="http://schemas.microsoft.com/office/drawing/2014/main" xmlns="" id="{EF96C8B1-F810-4567-AB5A-CF7976A4BF28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18" name="Retângulo 117">
              <a:extLst>
                <a:ext uri="{FF2B5EF4-FFF2-40B4-BE49-F238E27FC236}">
                  <a16:creationId xmlns:a16="http://schemas.microsoft.com/office/drawing/2014/main" xmlns="" id="{1D5CA7AD-6A0F-4167-B5FD-81F89553C442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9" name="CaixaDeTexto 118">
              <a:extLst>
                <a:ext uri="{FF2B5EF4-FFF2-40B4-BE49-F238E27FC236}">
                  <a16:creationId xmlns:a16="http://schemas.microsoft.com/office/drawing/2014/main" xmlns="" id="{E7852B7F-A494-4FED-8E46-9231B5379DD8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20" name="Imagem 119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xmlns="" id="{187C7F25-3835-44D5-8084-5C250712EC9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94" name="Agrupar 93">
            <a:extLst>
              <a:ext uri="{FF2B5EF4-FFF2-40B4-BE49-F238E27FC236}">
                <a16:creationId xmlns:a16="http://schemas.microsoft.com/office/drawing/2014/main" xmlns="" id="{E18A090F-BCDA-460A-8DEF-FB96C94F4BBA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115" name="Retângulo 114">
              <a:extLst>
                <a:ext uri="{FF2B5EF4-FFF2-40B4-BE49-F238E27FC236}">
                  <a16:creationId xmlns:a16="http://schemas.microsoft.com/office/drawing/2014/main" xmlns="" id="{7E0AADAB-6898-4A87-BC59-BC31392CA890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6" name="CaixaDeTexto 115">
              <a:extLst>
                <a:ext uri="{FF2B5EF4-FFF2-40B4-BE49-F238E27FC236}">
                  <a16:creationId xmlns:a16="http://schemas.microsoft.com/office/drawing/2014/main" xmlns="" id="{A72F8687-195C-43E1-84E9-25B8775B8DD6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117" name="Imagem 1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xmlns="" id="{C4841CD5-5009-48B1-92F7-21E84433E73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95" name="Agrupar 94">
            <a:extLst>
              <a:ext uri="{FF2B5EF4-FFF2-40B4-BE49-F238E27FC236}">
                <a16:creationId xmlns:a16="http://schemas.microsoft.com/office/drawing/2014/main" xmlns="" id="{E14D25BC-B016-4B50-92B3-98EA77447068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112" name="Retângulo 111">
              <a:extLst>
                <a:ext uri="{FF2B5EF4-FFF2-40B4-BE49-F238E27FC236}">
                  <a16:creationId xmlns:a16="http://schemas.microsoft.com/office/drawing/2014/main" xmlns="" id="{8616B51D-CBD3-4B18-BCED-B418BF08F09D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3" name="CaixaDeTexto 112">
              <a:extLst>
                <a:ext uri="{FF2B5EF4-FFF2-40B4-BE49-F238E27FC236}">
                  <a16:creationId xmlns:a16="http://schemas.microsoft.com/office/drawing/2014/main" xmlns="" id="{AB00E12E-DFB2-4B44-A757-069087C5D2D9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14" name="Imagem 17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xmlns="" id="{768A9F03-1DCB-4C4B-A2E6-567CD142EB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96" name="Agrupar 95">
            <a:extLst>
              <a:ext uri="{FF2B5EF4-FFF2-40B4-BE49-F238E27FC236}">
                <a16:creationId xmlns:a16="http://schemas.microsoft.com/office/drawing/2014/main" xmlns="" id="{66C74D71-C8F2-4DF1-8B3B-B186EECFD49E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109" name="Retângulo 108">
              <a:extLst>
                <a:ext uri="{FF2B5EF4-FFF2-40B4-BE49-F238E27FC236}">
                  <a16:creationId xmlns:a16="http://schemas.microsoft.com/office/drawing/2014/main" xmlns="" id="{C19E9854-391D-4D3A-9111-69BF99E41C65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CaixaDeTexto 109">
              <a:extLst>
                <a:ext uri="{FF2B5EF4-FFF2-40B4-BE49-F238E27FC236}">
                  <a16:creationId xmlns:a16="http://schemas.microsoft.com/office/drawing/2014/main" xmlns="" id="{073B76B0-F984-4C3F-AF92-50D463E7EBA6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111" name="Imagem 1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xmlns="" id="{9BD943AE-3B4F-4357-9764-968E01398B0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BEBA8EAE-BF5A-486C-A8C5-ECC9F3942E4B}">
                  <a14:imgProps xmlns:a14="http://schemas.microsoft.com/office/drawing/2010/main">
                    <a14:imgLayer r:embed="rId2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97" name="Agrupar 96">
            <a:extLst>
              <a:ext uri="{FF2B5EF4-FFF2-40B4-BE49-F238E27FC236}">
                <a16:creationId xmlns:a16="http://schemas.microsoft.com/office/drawing/2014/main" xmlns="" id="{CF334CEE-5347-4D9D-8C93-3917BACF777C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106" name="Retângulo 105">
              <a:extLst>
                <a:ext uri="{FF2B5EF4-FFF2-40B4-BE49-F238E27FC236}">
                  <a16:creationId xmlns:a16="http://schemas.microsoft.com/office/drawing/2014/main" xmlns="" id="{EBF2710C-BC4B-4E10-A17F-A8BB9EA7D520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CaixaDeTexto 106">
              <a:extLst>
                <a:ext uri="{FF2B5EF4-FFF2-40B4-BE49-F238E27FC236}">
                  <a16:creationId xmlns:a16="http://schemas.microsoft.com/office/drawing/2014/main" xmlns="" id="{96AEAE9B-DBCB-4D8F-8C4A-581B2D564C4C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108" name="Imagem 17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xmlns="" id="{6099BE66-9FB9-4354-B79F-DACA490185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BEBA8EAE-BF5A-486C-A8C5-ECC9F3942E4B}">
                  <a14:imgProps xmlns:a14="http://schemas.microsoft.com/office/drawing/2010/main">
                    <a14:imgLayer r:embed="rId2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98" name="Agrupar 97">
            <a:extLst>
              <a:ext uri="{FF2B5EF4-FFF2-40B4-BE49-F238E27FC236}">
                <a16:creationId xmlns:a16="http://schemas.microsoft.com/office/drawing/2014/main" xmlns="" id="{FE1237C5-4957-43CE-9A21-E17B153C200C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xmlns="" id="{0F9D32CA-2067-4923-889B-27C8A2EBC9C8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xmlns="" id="{A243427D-3AE2-44CC-9257-D2C9C128CF31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28"/>
              <a:extLst>
                <a:ext uri="{FF2B5EF4-FFF2-40B4-BE49-F238E27FC236}">
                  <a16:creationId xmlns:a16="http://schemas.microsoft.com/office/drawing/2014/main" xmlns="" id="{8224384B-3123-4EE3-8D88-EF4232DA821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99" name="Agrupar 98">
            <a:extLst>
              <a:ext uri="{FF2B5EF4-FFF2-40B4-BE49-F238E27FC236}">
                <a16:creationId xmlns:a16="http://schemas.microsoft.com/office/drawing/2014/main" xmlns="" id="{6A7C032D-7F56-4BF3-A1A9-C7B91AEA29CE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xmlns="" id="{A705836F-41C6-4270-9C4A-938CE41B2B7E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xmlns="" id="{B5F0BEDC-1E6D-494B-9A3E-A27450DA376D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102" name="Imagem 101" descr="Ícone do banco de dados (símbolo png) preto">
              <a:hlinkClick xmlns:r="http://schemas.openxmlformats.org/officeDocument/2006/relationships" r:id="rId31"/>
              <a:extLst>
                <a:ext uri="{FF2B5EF4-FFF2-40B4-BE49-F238E27FC236}">
                  <a16:creationId xmlns:a16="http://schemas.microsoft.com/office/drawing/2014/main" xmlns="" id="{C1B8DF4C-C102-4719-816D-4EAD6B25138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2" cstate="print">
              <a:extLst>
                <a:ext uri="{BEBA8EAE-BF5A-486C-A8C5-ECC9F3942E4B}">
                  <a14:imgProps xmlns:a14="http://schemas.microsoft.com/office/drawing/2010/main">
                    <a14:imgLayer r:embed="rId3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133350</xdr:colOff>
      <xdr:row>22</xdr:row>
      <xdr:rowOff>285750</xdr:rowOff>
    </xdr:from>
    <xdr:to>
      <xdr:col>24</xdr:col>
      <xdr:colOff>515199</xdr:colOff>
      <xdr:row>45</xdr:row>
      <xdr:rowOff>247650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xmlns="" id="{A58E4694-49DB-457D-9505-DE808B2B1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xmlns="" id="{A2EF78E8-1936-433D-84CA-B19738E669B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19</xdr:col>
      <xdr:colOff>95250</xdr:colOff>
      <xdr:row>6</xdr:row>
      <xdr:rowOff>1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xmlns="" id="{400EBBFF-35F4-4E32-9C51-DA483560A066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xmlns="" id="{D2E29B54-56DE-4F60-8A80-287F197976A5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690ED7EE-2CDB-4692-A564-2EF9ED92BAE6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19</xdr:col>
      <xdr:colOff>1752600</xdr:colOff>
      <xdr:row>3</xdr:row>
      <xdr:rowOff>163050</xdr:rowOff>
    </xdr:from>
    <xdr:to>
      <xdr:col>22</xdr:col>
      <xdr:colOff>483750</xdr:colOff>
      <xdr:row>5</xdr:row>
      <xdr:rowOff>152400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xmlns="" id="{9854D1A0-20CD-4B5D-B30B-00FAC2E6D678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16300" y="13251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191082</xdr:rowOff>
    </xdr:from>
    <xdr:to>
      <xdr:col>5</xdr:col>
      <xdr:colOff>635442</xdr:colOff>
      <xdr:row>5</xdr:row>
      <xdr:rowOff>179849</xdr:rowOff>
    </xdr:to>
    <xdr:sp macro="" textlink="">
      <xdr:nvSpPr>
        <xdr:cNvPr id="86" name="Retângulo 8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A610C417-B8F8-4F45-9186-BDEF66837366}"/>
            </a:ext>
          </a:extLst>
        </xdr:cNvPr>
        <xdr:cNvSpPr/>
      </xdr:nvSpPr>
      <xdr:spPr>
        <a:xfrm>
          <a:off x="285750" y="13531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209550</xdr:rowOff>
    </xdr:from>
    <xdr:to>
      <xdr:col>19</xdr:col>
      <xdr:colOff>95250</xdr:colOff>
      <xdr:row>6</xdr:row>
      <xdr:rowOff>8400</xdr:rowOff>
    </xdr:to>
    <xdr:sp macro="" textlink="">
      <xdr:nvSpPr>
        <xdr:cNvPr id="87" name="Retângulo 8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23317582-EF18-4A46-8403-6A19E9D1B050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605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209550</xdr:rowOff>
    </xdr:from>
    <xdr:to>
      <xdr:col>10</xdr:col>
      <xdr:colOff>369450</xdr:colOff>
      <xdr:row>6</xdr:row>
      <xdr:rowOff>8400</xdr:rowOff>
    </xdr:to>
    <xdr:sp macro="" textlink="">
      <xdr:nvSpPr>
        <xdr:cNvPr id="88" name="Retângulo 8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8E7371E3-3366-46CA-BB76-3E5106C37E60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483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19</xdr:col>
      <xdr:colOff>1783200</xdr:colOff>
      <xdr:row>3</xdr:row>
      <xdr:rowOff>190500</xdr:rowOff>
    </xdr:from>
    <xdr:to>
      <xdr:col>22</xdr:col>
      <xdr:colOff>514350</xdr:colOff>
      <xdr:row>5</xdr:row>
      <xdr:rowOff>179850</xdr:rowOff>
    </xdr:to>
    <xdr:sp macro="" textlink="">
      <xdr:nvSpPr>
        <xdr:cNvPr id="89" name="Retângulo 8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5BA9A26B-439C-4B0D-99A5-61A8C7876096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4690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40</xdr:col>
      <xdr:colOff>333379</xdr:colOff>
      <xdr:row>3</xdr:row>
      <xdr:rowOff>0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xmlns="" id="{8CF4FBA7-2CF5-4240-9185-3EE5675BA1E7}"/>
            </a:ext>
          </a:extLst>
        </xdr:cNvPr>
        <xdr:cNvGrpSpPr/>
      </xdr:nvGrpSpPr>
      <xdr:grpSpPr>
        <a:xfrm>
          <a:off x="2438400" y="0"/>
          <a:ext cx="30546679" cy="1162050"/>
          <a:chOff x="2466972" y="0"/>
          <a:chExt cx="30546679" cy="1162050"/>
        </a:xfrm>
      </xdr:grpSpPr>
      <xdr:grpSp>
        <xdr:nvGrpSpPr>
          <xdr:cNvPr id="91" name="Agrupar 90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xmlns="" id="{BBDBC924-189A-462D-A590-533780CA0E33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24" name="Retângulo 123">
              <a:extLst>
                <a:ext uri="{FF2B5EF4-FFF2-40B4-BE49-F238E27FC236}">
                  <a16:creationId xmlns:a16="http://schemas.microsoft.com/office/drawing/2014/main" xmlns="" id="{0D304988-047E-450C-A73F-01B2FBCDF6B2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25" name="Imagem 9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xmlns="" id="{6A76BC9B-4A72-4386-A565-2316F070E38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BEBA8EAE-BF5A-486C-A8C5-ECC9F3942E4B}">
                  <a14:imgProps xmlns:a14="http://schemas.microsoft.com/office/drawing/2010/main">
                    <a14:imgLayer r:embed="rId1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26" name="CaixaDeTexto 125">
              <a:extLst>
                <a:ext uri="{FF2B5EF4-FFF2-40B4-BE49-F238E27FC236}">
                  <a16:creationId xmlns:a16="http://schemas.microsoft.com/office/drawing/2014/main" xmlns="" id="{172779FF-967F-49D4-B836-3754026E41AF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92" name="Agrupar 91">
            <a:extLst>
              <a:ext uri="{FF2B5EF4-FFF2-40B4-BE49-F238E27FC236}">
                <a16:creationId xmlns:a16="http://schemas.microsoft.com/office/drawing/2014/main" xmlns="" id="{9FF9374E-C7C4-479B-8031-A72DBF869BDA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1" name="Retângulo 120">
              <a:extLst>
                <a:ext uri="{FF2B5EF4-FFF2-40B4-BE49-F238E27FC236}">
                  <a16:creationId xmlns:a16="http://schemas.microsoft.com/office/drawing/2014/main" xmlns="" id="{A5E62A66-C4C3-4F2D-8194-990C1CE1012B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2" name="CaixaDeTexto 121">
              <a:extLst>
                <a:ext uri="{FF2B5EF4-FFF2-40B4-BE49-F238E27FC236}">
                  <a16:creationId xmlns:a16="http://schemas.microsoft.com/office/drawing/2014/main" xmlns="" id="{2CE20422-B173-4D08-B285-70AB1D986853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23" name="Imagem 17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xmlns="" id="{F01B2C74-FCA1-4286-BCD1-2C105CA7916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93" name="Agrupar 92">
            <a:extLst>
              <a:ext uri="{FF2B5EF4-FFF2-40B4-BE49-F238E27FC236}">
                <a16:creationId xmlns:a16="http://schemas.microsoft.com/office/drawing/2014/main" xmlns="" id="{CFABA9E3-2887-4431-B438-0BE56CC76797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18" name="Retângulo 117">
              <a:extLst>
                <a:ext uri="{FF2B5EF4-FFF2-40B4-BE49-F238E27FC236}">
                  <a16:creationId xmlns:a16="http://schemas.microsoft.com/office/drawing/2014/main" xmlns="" id="{215C1089-F316-434E-A8A0-97F5507323CD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9" name="CaixaDeTexto 118">
              <a:extLst>
                <a:ext uri="{FF2B5EF4-FFF2-40B4-BE49-F238E27FC236}">
                  <a16:creationId xmlns:a16="http://schemas.microsoft.com/office/drawing/2014/main" xmlns="" id="{1AA71733-2C25-4F98-8336-703C028B19E3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20" name="Imagem 11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xmlns="" id="{D11A6160-97CF-4B24-9A24-BEC27D73065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BEBA8EAE-BF5A-486C-A8C5-ECC9F3942E4B}">
                  <a14:imgProps xmlns:a14="http://schemas.microsoft.com/office/drawing/2010/main">
                    <a14:imgLayer r:embed="rId16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94" name="Agrupar 93">
            <a:extLst>
              <a:ext uri="{FF2B5EF4-FFF2-40B4-BE49-F238E27FC236}">
                <a16:creationId xmlns:a16="http://schemas.microsoft.com/office/drawing/2014/main" xmlns="" id="{7B24E35B-5997-4C6F-ADA3-CEF35EDC450E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115" name="Retângulo 114">
              <a:extLst>
                <a:ext uri="{FF2B5EF4-FFF2-40B4-BE49-F238E27FC236}">
                  <a16:creationId xmlns:a16="http://schemas.microsoft.com/office/drawing/2014/main" xmlns="" id="{CA16EB78-CD0F-4DFA-B595-A43CB16669AD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6" name="CaixaDeTexto 115">
              <a:extLst>
                <a:ext uri="{FF2B5EF4-FFF2-40B4-BE49-F238E27FC236}">
                  <a16:creationId xmlns:a16="http://schemas.microsoft.com/office/drawing/2014/main" xmlns="" id="{B43C7746-142E-4C31-AE8F-7A24A7BB0605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117" name="Imagem 1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xmlns="" id="{89553F73-FF60-4009-A3E2-1AFF00A6A8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95" name="Agrupar 94">
            <a:extLst>
              <a:ext uri="{FF2B5EF4-FFF2-40B4-BE49-F238E27FC236}">
                <a16:creationId xmlns:a16="http://schemas.microsoft.com/office/drawing/2014/main" xmlns="" id="{312B812A-7EF9-401F-A90E-360F7BDBE6CF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112" name="Retângulo 111">
              <a:extLst>
                <a:ext uri="{FF2B5EF4-FFF2-40B4-BE49-F238E27FC236}">
                  <a16:creationId xmlns:a16="http://schemas.microsoft.com/office/drawing/2014/main" xmlns="" id="{0029F15A-233B-4528-BDA9-15EAB85067ED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3" name="CaixaDeTexto 112">
              <a:extLst>
                <a:ext uri="{FF2B5EF4-FFF2-40B4-BE49-F238E27FC236}">
                  <a16:creationId xmlns:a16="http://schemas.microsoft.com/office/drawing/2014/main" xmlns="" id="{6450ED86-49D1-46FC-AD40-E080216E72E2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14" name="Imagem 17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xmlns="" id="{E427D45E-DCE8-4F7D-AD7E-19680B5C9A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 cstate="print">
              <a:extLst>
                <a:ext uri="{BEBA8EAE-BF5A-486C-A8C5-ECC9F3942E4B}">
                  <a14:imgProps xmlns:a14="http://schemas.microsoft.com/office/drawing/2010/main">
                    <a14:imgLayer r:embed="rId22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96" name="Agrupar 95">
            <a:extLst>
              <a:ext uri="{FF2B5EF4-FFF2-40B4-BE49-F238E27FC236}">
                <a16:creationId xmlns:a16="http://schemas.microsoft.com/office/drawing/2014/main" xmlns="" id="{DFC55B25-59E0-42F5-8B2B-2CD6233812B5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109" name="Retângulo 108">
              <a:extLst>
                <a:ext uri="{FF2B5EF4-FFF2-40B4-BE49-F238E27FC236}">
                  <a16:creationId xmlns:a16="http://schemas.microsoft.com/office/drawing/2014/main" xmlns="" id="{5C284D7D-97A6-4277-B7A7-464902F0791F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CaixaDeTexto 109">
              <a:extLst>
                <a:ext uri="{FF2B5EF4-FFF2-40B4-BE49-F238E27FC236}">
                  <a16:creationId xmlns:a16="http://schemas.microsoft.com/office/drawing/2014/main" xmlns="" id="{35C5298B-8D19-49DD-A710-7434A894DF35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111" name="Imagem 17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xmlns="" id="{1F06AA8A-57B3-4156-9B0F-5736720E54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BEBA8EAE-BF5A-486C-A8C5-ECC9F3942E4B}">
                  <a14:imgProps xmlns:a14="http://schemas.microsoft.com/office/drawing/2010/main">
                    <a14:imgLayer r:embed="rId2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97" name="Agrupar 96">
            <a:extLst>
              <a:ext uri="{FF2B5EF4-FFF2-40B4-BE49-F238E27FC236}">
                <a16:creationId xmlns:a16="http://schemas.microsoft.com/office/drawing/2014/main" xmlns="" id="{105DC37A-E3A6-40F1-A735-F62B26CC9C5C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106" name="Retângulo 105">
              <a:extLst>
                <a:ext uri="{FF2B5EF4-FFF2-40B4-BE49-F238E27FC236}">
                  <a16:creationId xmlns:a16="http://schemas.microsoft.com/office/drawing/2014/main" xmlns="" id="{1E1229AA-4C7E-463F-88E6-D1F3272EE69A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CaixaDeTexto 106">
              <a:extLst>
                <a:ext uri="{FF2B5EF4-FFF2-40B4-BE49-F238E27FC236}">
                  <a16:creationId xmlns:a16="http://schemas.microsoft.com/office/drawing/2014/main" xmlns="" id="{213539F2-BA3E-4498-8EE5-D989F7DC24DD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108" name="Imagem 17">
              <a:hlinkClick xmlns:r="http://schemas.openxmlformats.org/officeDocument/2006/relationships" r:id="rId26"/>
              <a:extLst>
                <a:ext uri="{FF2B5EF4-FFF2-40B4-BE49-F238E27FC236}">
                  <a16:creationId xmlns:a16="http://schemas.microsoft.com/office/drawing/2014/main" xmlns="" id="{ED05FEE3-C1F2-4999-B8AF-1FD66D3A918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 cstate="print">
              <a:extLst>
                <a:ext uri="{BEBA8EAE-BF5A-486C-A8C5-ECC9F3942E4B}">
                  <a14:imgProps xmlns:a14="http://schemas.microsoft.com/office/drawing/2010/main">
                    <a14:imgLayer r:embed="rId2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98" name="Agrupar 97">
            <a:extLst>
              <a:ext uri="{FF2B5EF4-FFF2-40B4-BE49-F238E27FC236}">
                <a16:creationId xmlns:a16="http://schemas.microsoft.com/office/drawing/2014/main" xmlns="" id="{A800111E-3E94-4E53-AD1B-3C740953AAE8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xmlns="" id="{21DE07B6-AB50-461B-BBC3-CEC4EE95BE19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xmlns="" id="{AE35BAE4-021E-46AD-A335-90CE7194E964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29"/>
              <a:extLst>
                <a:ext uri="{FF2B5EF4-FFF2-40B4-BE49-F238E27FC236}">
                  <a16:creationId xmlns:a16="http://schemas.microsoft.com/office/drawing/2014/main" xmlns="" id="{E3E47686-9EEF-444D-84FB-46285D6BE1C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 cstate="print">
              <a:extLst>
                <a:ext uri="{BEBA8EAE-BF5A-486C-A8C5-ECC9F3942E4B}">
                  <a14:imgProps xmlns:a14="http://schemas.microsoft.com/office/drawing/2010/main">
                    <a14:imgLayer r:embed="rId3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99" name="Agrupar 98">
            <a:extLst>
              <a:ext uri="{FF2B5EF4-FFF2-40B4-BE49-F238E27FC236}">
                <a16:creationId xmlns:a16="http://schemas.microsoft.com/office/drawing/2014/main" xmlns="" id="{569827A0-8920-4DBD-A859-3348D009440D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xmlns="" id="{9E200730-B25E-4E10-AD50-1D3FA73D01E7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xmlns="" id="{0F7CD73A-634C-470B-AEFA-E7743E2623FD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102" name="Imagem 101" descr="Ícone do banco de dados (símbolo png) preto">
              <a:hlinkClick xmlns:r="http://schemas.openxmlformats.org/officeDocument/2006/relationships" r:id="rId32"/>
              <a:extLst>
                <a:ext uri="{FF2B5EF4-FFF2-40B4-BE49-F238E27FC236}">
                  <a16:creationId xmlns:a16="http://schemas.microsoft.com/office/drawing/2014/main" xmlns="" id="{C8837DB9-8463-4099-BD31-B5CED41CAC8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3" cstate="print">
              <a:extLst>
                <a:ext uri="{BEBA8EAE-BF5A-486C-A8C5-ECC9F3942E4B}">
                  <a14:imgProps xmlns:a14="http://schemas.microsoft.com/office/drawing/2010/main">
                    <a14:imgLayer r:embed="rId3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1615770</xdr:colOff>
      <xdr:row>2</xdr:row>
      <xdr:rowOff>133894</xdr:rowOff>
    </xdr:from>
    <xdr:to>
      <xdr:col>6</xdr:col>
      <xdr:colOff>674705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D040D80F-8623-40D2-B006-8301A98EA268}"/>
            </a:ext>
          </a:extLst>
        </xdr:cNvPr>
        <xdr:cNvSpPr txBox="1"/>
      </xdr:nvSpPr>
      <xdr:spPr>
        <a:xfrm rot="10800000" flipH="1" flipV="1">
          <a:off x="4442790" y="499654"/>
          <a:ext cx="110871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1952595</xdr:colOff>
      <xdr:row>0</xdr:row>
      <xdr:rowOff>91651</xdr:rowOff>
    </xdr:from>
    <xdr:to>
      <xdr:col>6</xdr:col>
      <xdr:colOff>312431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BCCA5A95-5FA9-4FD2-8C5F-B58DEEE7A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9615" y="91651"/>
          <a:ext cx="40961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845700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45DF1727-A9D7-4A1B-8222-8660498A2FC8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952500</xdr:colOff>
      <xdr:row>3</xdr:row>
      <xdr:rowOff>190500</xdr:rowOff>
    </xdr:from>
    <xdr:to>
      <xdr:col>7</xdr:col>
      <xdr:colOff>921900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xmlns="" id="{72D5A2DB-FEAD-456F-B2C5-A072ED17D0CE}"/>
            </a:ext>
          </a:extLst>
        </xdr:cNvPr>
        <xdr:cNvSpPr/>
      </xdr:nvSpPr>
      <xdr:spPr>
        <a:xfrm>
          <a:off x="5829300" y="13335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8</xdr:col>
      <xdr:colOff>640200</xdr:colOff>
      <xdr:row>3</xdr:row>
      <xdr:rowOff>209552</xdr:rowOff>
    </xdr:from>
    <xdr:to>
      <xdr:col>10</xdr:col>
      <xdr:colOff>1200150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B2706F00-EC02-4920-A70F-2D9617D44465}"/>
            </a:ext>
          </a:extLst>
        </xdr:cNvPr>
        <xdr:cNvSpPr/>
      </xdr:nvSpPr>
      <xdr:spPr>
        <a:xfrm>
          <a:off x="11026260" y="1352552"/>
          <a:ext cx="338697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10</xdr:col>
      <xdr:colOff>2857500</xdr:colOff>
      <xdr:row>3</xdr:row>
      <xdr:rowOff>171452</xdr:rowOff>
    </xdr:from>
    <xdr:to>
      <xdr:col>12</xdr:col>
      <xdr:colOff>731400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28230C9D-C04C-4778-93C0-5978337F9EA0}"/>
            </a:ext>
          </a:extLst>
        </xdr:cNvPr>
        <xdr:cNvSpPr/>
      </xdr:nvSpPr>
      <xdr:spPr>
        <a:xfrm>
          <a:off x="1607058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13</xdr:col>
      <xdr:colOff>640896</xdr:colOff>
      <xdr:row>3</xdr:row>
      <xdr:rowOff>171452</xdr:rowOff>
    </xdr:from>
    <xdr:to>
      <xdr:col>14</xdr:col>
      <xdr:colOff>534096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70425B81-E6F6-4470-BFA9-1B9AE0E9ADAA}"/>
            </a:ext>
          </a:extLst>
        </xdr:cNvPr>
        <xdr:cNvSpPr/>
      </xdr:nvSpPr>
      <xdr:spPr>
        <a:xfrm>
          <a:off x="21085356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2158093</xdr:colOff>
      <xdr:row>3</xdr:row>
      <xdr:rowOff>171452</xdr:rowOff>
    </xdr:from>
    <xdr:to>
      <xdr:col>15</xdr:col>
      <xdr:colOff>2698993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41549FAA-084C-4A68-9C75-F91A3732FF34}"/>
            </a:ext>
          </a:extLst>
        </xdr:cNvPr>
        <xdr:cNvSpPr/>
      </xdr:nvSpPr>
      <xdr:spPr>
        <a:xfrm>
          <a:off x="26115373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B7DC65D8-67F8-4A16-9A19-BC18DAC1AB97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21</xdr:col>
      <xdr:colOff>230508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F946BFAA-14F0-4861-8F74-CDAFBD150886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xmlns="" id="{6FC30387-1AB2-44F8-9294-C2C36E6366BD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xmlns="" id="{BFD9D7BE-EFF0-4A7E-99AC-0B6809AE5DE6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65DD4A60-5392-40CD-86FC-29F3723E4D1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xmlns="" id="{49824625-7B04-4ADD-98C5-FF9826DBE2E6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xmlns="" id="{D13AFEEC-6576-4571-A67F-E3B5CC31AA21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48FBCA97-6A12-4AC6-964A-AE14AF5F0144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xmlns="" id="{18E46A36-9EC1-4EFA-A349-E568BD9BE5B9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370F64F0-7CC9-4470-9891-E445B78E19A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xmlns="" id="{4DEDE5C8-206D-47A9-95BC-8C96889AE0D6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xmlns="" id="{7B0E7B4D-653E-4B67-B67D-AD40B3C4300B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xmlns="" id="{DFE56BB2-CFDF-4B60-979B-50D43CFDB7D6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2CB01CD2-52F8-49DF-99C6-A6EF9932E74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xmlns="" id="{A280B614-6718-4928-ADD1-C987417321B5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xmlns="" id="{3A20F231-0588-494B-B150-860795D3DCAD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xmlns="" id="{4DE99279-21E7-49E6-8F46-09897AE19E55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F3BD097F-C419-41F0-9752-5F51033A524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xmlns="" id="{EF005D9A-03BB-4D39-BA45-64BF68B04EF9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xmlns="" id="{3B124877-7F0C-4968-B27D-5B0DFC53134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xmlns="" id="{70C0B48B-DA27-4FB5-AB16-A1E9707892C1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2B126312-886A-46D0-A0AF-1EDEE030186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xmlns="" id="{F2B593E4-18ED-4A83-8192-B27E13F03388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xmlns="" id="{7F0671F4-9A33-41D0-A147-BD5CC0CA9BD0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xmlns="" id="{8D22336D-34B7-42EC-9753-BE074B9961C4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C720FCA0-1CE4-4FA0-A8A2-1239DDE8E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xmlns="" id="{1B09E2A5-2870-41F2-8138-95CA5E30B93D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xmlns="" id="{BD4241E9-9770-4805-96E9-70D937CBCEAD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xmlns="" id="{9B52F05B-7620-488E-BE87-EAC627115AA6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728B1526-4AD7-464A-96A1-7C818C4398A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xmlns="" id="{8A16F50A-4A8C-40AB-9839-1A5D9AA091EA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xmlns="" id="{A09FAEC9-CB78-4BC1-BBFE-ABAAB34890D3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xmlns="" id="{F63B741C-A2E4-48D4-BD7F-AD1E5295628C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82283E3D-3A1D-4C18-A5F4-9BC9C18D6A2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xmlns="" id="{7DDD5977-7698-4409-B3DD-13E53538A5EE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xmlns="" id="{806AFE6B-D1F2-4AF2-965C-C6570AF18844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xmlns="" id="{8975D43F-0CC3-4357-BDC0-A3BB30FFED08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xmlns="" id="{897682EF-742A-431D-A5BE-A5AD1EE5A4CA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8</xdr:col>
      <xdr:colOff>628650</xdr:colOff>
      <xdr:row>12</xdr:row>
      <xdr:rowOff>19050</xdr:rowOff>
    </xdr:from>
    <xdr:to>
      <xdr:col>14</xdr:col>
      <xdr:colOff>2495550</xdr:colOff>
      <xdr:row>50</xdr:row>
      <xdr:rowOff>217972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C99F2DEE-ED7B-4320-8567-3464A1328907}"/>
            </a:ext>
            <a:ext uri="{147F2762-F138-4A5C-976F-8EAC2B608ADB}">
              <a16:predDERef xmlns:a16="http://schemas.microsoft.com/office/drawing/2014/main" xmlns="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1029950" y="4152900"/>
          <a:ext cx="15449550" cy="1395302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1615770</xdr:colOff>
      <xdr:row>2</xdr:row>
      <xdr:rowOff>133894</xdr:rowOff>
    </xdr:from>
    <xdr:to>
      <xdr:col>6</xdr:col>
      <xdr:colOff>674705</xdr:colOff>
      <xdr:row>2</xdr:row>
      <xdr:rowOff>388325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 txBox="1"/>
      </xdr:nvSpPr>
      <xdr:spPr>
        <a:xfrm rot="10800000" flipH="1" flipV="1">
          <a:off x="4450172" y="514894"/>
          <a:ext cx="111828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1952595</xdr:colOff>
      <xdr:row>0</xdr:row>
      <xdr:rowOff>91651</xdr:rowOff>
    </xdr:from>
    <xdr:to>
      <xdr:col>6</xdr:col>
      <xdr:colOff>312431</xdr:colOff>
      <xdr:row>2</xdr:row>
      <xdr:rowOff>113501</xdr:rowOff>
    </xdr:to>
    <xdr:pic>
      <xdr:nvPicPr>
        <xdr:cNvPr id="1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6997" y="91651"/>
          <a:ext cx="418213" cy="40285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845700</xdr:colOff>
      <xdr:row>5</xdr:row>
      <xdr:rowOff>179850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40AF9AC3-AE9B-4BF4-A4AD-F3E97E5BD7B5}"/>
            </a:ext>
          </a:extLst>
        </xdr:cNvPr>
        <xdr:cNvSpPr/>
      </xdr:nvSpPr>
      <xdr:spPr>
        <a:xfrm>
          <a:off x="26670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952500</xdr:colOff>
      <xdr:row>3</xdr:row>
      <xdr:rowOff>190500</xdr:rowOff>
    </xdr:from>
    <xdr:to>
      <xdr:col>7</xdr:col>
      <xdr:colOff>921900</xdr:colOff>
      <xdr:row>5</xdr:row>
      <xdr:rowOff>179850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C848A7C6-D013-4CEC-BF4A-0C55D6414E9F}"/>
            </a:ext>
          </a:extLst>
        </xdr:cNvPr>
        <xdr:cNvSpPr/>
      </xdr:nvSpPr>
      <xdr:spPr>
        <a:xfrm>
          <a:off x="58293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8</xdr:col>
      <xdr:colOff>640200</xdr:colOff>
      <xdr:row>3</xdr:row>
      <xdr:rowOff>209552</xdr:rowOff>
    </xdr:from>
    <xdr:to>
      <xdr:col>10</xdr:col>
      <xdr:colOff>1200150</xdr:colOff>
      <xdr:row>6</xdr:row>
      <xdr:rowOff>8402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6614F270-C3E8-4DA4-B197-D0A65514F2CC}"/>
            </a:ext>
          </a:extLst>
        </xdr:cNvPr>
        <xdr:cNvSpPr/>
      </xdr:nvSpPr>
      <xdr:spPr>
        <a:xfrm>
          <a:off x="11041500" y="13716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10</xdr:col>
      <xdr:colOff>2857500</xdr:colOff>
      <xdr:row>3</xdr:row>
      <xdr:rowOff>171452</xdr:rowOff>
    </xdr:from>
    <xdr:to>
      <xdr:col>12</xdr:col>
      <xdr:colOff>731400</xdr:colOff>
      <xdr:row>5</xdr:row>
      <xdr:rowOff>160802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xmlns="" id="{9FD508A8-0C9B-43AF-B0B7-5639D954104C}"/>
            </a:ext>
          </a:extLst>
        </xdr:cNvPr>
        <xdr:cNvSpPr/>
      </xdr:nvSpPr>
      <xdr:spPr>
        <a:xfrm>
          <a:off x="16097250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13</xdr:col>
      <xdr:colOff>640896</xdr:colOff>
      <xdr:row>3</xdr:row>
      <xdr:rowOff>171452</xdr:rowOff>
    </xdr:from>
    <xdr:to>
      <xdr:col>14</xdr:col>
      <xdr:colOff>534096</xdr:colOff>
      <xdr:row>5</xdr:row>
      <xdr:rowOff>160802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xmlns="" id="{DC3EA4EA-D623-49F1-8D39-41821F3EF0FA}"/>
            </a:ext>
          </a:extLst>
        </xdr:cNvPr>
        <xdr:cNvSpPr/>
      </xdr:nvSpPr>
      <xdr:spPr>
        <a:xfrm>
          <a:off x="21119646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2158093</xdr:colOff>
      <xdr:row>3</xdr:row>
      <xdr:rowOff>171452</xdr:rowOff>
    </xdr:from>
    <xdr:to>
      <xdr:col>15</xdr:col>
      <xdr:colOff>2698993</xdr:colOff>
      <xdr:row>5</xdr:row>
      <xdr:rowOff>160802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xmlns="" id="{E4631C0A-D19F-4D54-BBD1-1CA97DB843D4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1AB7B0DD-FB06-421F-9690-CCA1966000A7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21</xdr:col>
      <xdr:colOff>230508</xdr:colOff>
      <xdr:row>3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xmlns="" id="{659F94F6-A5B8-4FBB-B18B-D5CC30C0D270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xmlns="" id="{DBC0329D-72D4-45E8-84B5-79585B9A3B47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70" name="Retângulo 69">
              <a:extLst>
                <a:ext uri="{FF2B5EF4-FFF2-40B4-BE49-F238E27FC236}">
                  <a16:creationId xmlns:a16="http://schemas.microsoft.com/office/drawing/2014/main" xmlns="" id="{ACB56EBB-1BD1-4220-B001-1114A4DDDFED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71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455B680D-F024-4648-BB6B-EC125C17FA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72" name="CaixaDeTexto 71">
              <a:extLst>
                <a:ext uri="{FF2B5EF4-FFF2-40B4-BE49-F238E27FC236}">
                  <a16:creationId xmlns:a16="http://schemas.microsoft.com/office/drawing/2014/main" xmlns="" id="{5070C323-4F6A-4317-A529-0A5CC2C8A0F9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3" name="Agrupar 2">
            <a:extLst>
              <a:ext uri="{FF2B5EF4-FFF2-40B4-BE49-F238E27FC236}">
                <a16:creationId xmlns:a16="http://schemas.microsoft.com/office/drawing/2014/main" xmlns="" id="{67396995-20F5-4620-A4CC-95C165CAFD62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67" name="Retângulo 66">
              <a:extLst>
                <a:ext uri="{FF2B5EF4-FFF2-40B4-BE49-F238E27FC236}">
                  <a16:creationId xmlns:a16="http://schemas.microsoft.com/office/drawing/2014/main" xmlns="" id="{70812E4A-7B18-439E-844F-BD7ECA7E487A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8" name="CaixaDeTexto 67">
              <a:extLst>
                <a:ext uri="{FF2B5EF4-FFF2-40B4-BE49-F238E27FC236}">
                  <a16:creationId xmlns:a16="http://schemas.microsoft.com/office/drawing/2014/main" xmlns="" id="{C5DF049E-BB40-4160-8C38-1740045DA3B5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6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E2705AF3-C447-4AB7-BF33-5773A13F7E8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4" name="Agrupar 3">
            <a:extLst>
              <a:ext uri="{FF2B5EF4-FFF2-40B4-BE49-F238E27FC236}">
                <a16:creationId xmlns:a16="http://schemas.microsoft.com/office/drawing/2014/main" xmlns="" id="{FAE089E5-C30A-4D06-919A-D1FDE4577291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64" name="Retângulo 63">
              <a:extLst>
                <a:ext uri="{FF2B5EF4-FFF2-40B4-BE49-F238E27FC236}">
                  <a16:creationId xmlns:a16="http://schemas.microsoft.com/office/drawing/2014/main" xmlns="" id="{61EB224C-595E-4E01-A559-8C2ADFFB05E5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5" name="CaixaDeTexto 64">
              <a:extLst>
                <a:ext uri="{FF2B5EF4-FFF2-40B4-BE49-F238E27FC236}">
                  <a16:creationId xmlns:a16="http://schemas.microsoft.com/office/drawing/2014/main" xmlns="" id="{E094E5E2-5E3F-452D-9A8D-6D44DF8814B9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6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C516F19C-68B7-4E45-8819-639AB26C22D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xmlns="" id="{57986F1E-D922-45B9-8334-5912E9C52E96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61" name="Retângulo 60">
              <a:extLst>
                <a:ext uri="{FF2B5EF4-FFF2-40B4-BE49-F238E27FC236}">
                  <a16:creationId xmlns:a16="http://schemas.microsoft.com/office/drawing/2014/main" xmlns="" id="{23B508FC-DF41-4A1E-8BC0-37CC75F10928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2" name="CaixaDeTexto 61">
              <a:extLst>
                <a:ext uri="{FF2B5EF4-FFF2-40B4-BE49-F238E27FC236}">
                  <a16:creationId xmlns:a16="http://schemas.microsoft.com/office/drawing/2014/main" xmlns="" id="{E914EE36-78CB-48A9-98E0-7B30468C5902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6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882C2071-0B7D-4BAE-A826-446A71D44B1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xmlns="" id="{9B77ED5A-6449-43E2-B86F-3137AA4C49B9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58" name="Retângulo 57">
              <a:extLst>
                <a:ext uri="{FF2B5EF4-FFF2-40B4-BE49-F238E27FC236}">
                  <a16:creationId xmlns:a16="http://schemas.microsoft.com/office/drawing/2014/main" xmlns="" id="{D4243DB1-EB20-4F68-BCB4-66A3244822CC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9" name="CaixaDeTexto 58">
              <a:extLst>
                <a:ext uri="{FF2B5EF4-FFF2-40B4-BE49-F238E27FC236}">
                  <a16:creationId xmlns:a16="http://schemas.microsoft.com/office/drawing/2014/main" xmlns="" id="{11915277-CCE7-4BD7-BF82-137AC7508ED8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6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52AD9C40-5794-43CB-A4C7-4C0C348174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xmlns="" id="{F5DC523D-1783-485F-84BA-2705E56DEC49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55" name="Retângulo 54">
              <a:extLst>
                <a:ext uri="{FF2B5EF4-FFF2-40B4-BE49-F238E27FC236}">
                  <a16:creationId xmlns:a16="http://schemas.microsoft.com/office/drawing/2014/main" xmlns="" id="{D26CFE17-C82B-4AD0-82DE-66D4CD86BDC9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6" name="CaixaDeTexto 55">
              <a:extLst>
                <a:ext uri="{FF2B5EF4-FFF2-40B4-BE49-F238E27FC236}">
                  <a16:creationId xmlns:a16="http://schemas.microsoft.com/office/drawing/2014/main" xmlns="" id="{748E2A1B-0DAB-40AC-92EC-2BAFB40230D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5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64501E5E-214B-4231-8473-31C40F7158D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xmlns="" id="{30AED1C0-CA2B-4AE9-B134-4C66D0FED7DA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52" name="Retângulo 51">
              <a:extLst>
                <a:ext uri="{FF2B5EF4-FFF2-40B4-BE49-F238E27FC236}">
                  <a16:creationId xmlns:a16="http://schemas.microsoft.com/office/drawing/2014/main" xmlns="" id="{773058B3-297D-4558-8CBF-F80E6E4E7850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3" name="CaixaDeTexto 52">
              <a:extLst>
                <a:ext uri="{FF2B5EF4-FFF2-40B4-BE49-F238E27FC236}">
                  <a16:creationId xmlns:a16="http://schemas.microsoft.com/office/drawing/2014/main" xmlns="" id="{71A8CAE2-9559-40AA-974B-5541829C7828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54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6876FD07-6135-4E32-8C93-63D5EBA49F3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xmlns="" id="{EE5C11E8-3833-4DA2-9027-602B4DA07BBF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xmlns="" id="{08EEC6FF-141D-46C3-9328-414FAA61BA65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xmlns="" id="{B930003C-D9AE-45AA-B72F-E43ACC4F7BD2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51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9678B13A-06EA-4913-B035-2AB2BE65F3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37" name="Agrupar 36">
            <a:extLst>
              <a:ext uri="{FF2B5EF4-FFF2-40B4-BE49-F238E27FC236}">
                <a16:creationId xmlns:a16="http://schemas.microsoft.com/office/drawing/2014/main" xmlns="" id="{341FE64D-0CB6-4846-92A1-5A2FD0386C4D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38" name="Retângulo 37">
              <a:extLst>
                <a:ext uri="{FF2B5EF4-FFF2-40B4-BE49-F238E27FC236}">
                  <a16:creationId xmlns:a16="http://schemas.microsoft.com/office/drawing/2014/main" xmlns="" id="{855D405E-E3EF-4AF7-AC0C-1B8ADFC7F52F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xmlns="" id="{F04D02A3-0122-49B5-9F5D-E0602B7822FC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48" name="Imagem 47" descr="Ícone do banco de dados (símbolo png) preto">
              <a:extLst>
                <a:ext uri="{FF2B5EF4-FFF2-40B4-BE49-F238E27FC236}">
                  <a16:creationId xmlns:a16="http://schemas.microsoft.com/office/drawing/2014/main" xmlns="" id="{8295F4D8-926F-4E6E-ABEF-BB9214AC62C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0A5A9444-C0E9-4DB3-AC4A-AC68ECE80C30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99C9F69-91E8-42C7-B9BA-0E2CC9422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9FC3853B-6846-4D45-83DC-530F549A9E77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xmlns="" id="{75A6E65E-C32F-4FE3-8FCE-971BC9202D44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1573650</xdr:colOff>
      <xdr:row>3</xdr:row>
      <xdr:rowOff>209552</xdr:rowOff>
    </xdr:from>
    <xdr:to>
      <xdr:col>13</xdr:col>
      <xdr:colOff>971550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DE3F393C-BD4C-4DE4-ABFC-A9BDC8B5BAE0}"/>
            </a:ext>
          </a:extLst>
        </xdr:cNvPr>
        <xdr:cNvSpPr/>
      </xdr:nvSpPr>
      <xdr:spPr>
        <a:xfrm>
          <a:off x="11022450" y="1352552"/>
          <a:ext cx="340221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13</xdr:col>
      <xdr:colOff>2628900</xdr:colOff>
      <xdr:row>3</xdr:row>
      <xdr:rowOff>171452</xdr:rowOff>
    </xdr:from>
    <xdr:to>
      <xdr:col>15</xdr:col>
      <xdr:colOff>998100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48F317D0-C8DC-4D17-896A-7C471EE42A1D}"/>
            </a:ext>
          </a:extLst>
        </xdr:cNvPr>
        <xdr:cNvSpPr/>
      </xdr:nvSpPr>
      <xdr:spPr>
        <a:xfrm>
          <a:off x="16082010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16</xdr:col>
      <xdr:colOff>374196</xdr:colOff>
      <xdr:row>3</xdr:row>
      <xdr:rowOff>171452</xdr:rowOff>
    </xdr:from>
    <xdr:to>
      <xdr:col>17</xdr:col>
      <xdr:colOff>1219896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D3F60EBA-3C70-43C0-9EA2-23CD807F8422}"/>
            </a:ext>
          </a:extLst>
        </xdr:cNvPr>
        <xdr:cNvSpPr/>
      </xdr:nvSpPr>
      <xdr:spPr>
        <a:xfrm>
          <a:off x="21104406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138793</xdr:colOff>
      <xdr:row>3</xdr:row>
      <xdr:rowOff>171452</xdr:rowOff>
    </xdr:from>
    <xdr:to>
      <xdr:col>24</xdr:col>
      <xdr:colOff>489193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C4F57878-C483-45A9-A400-589C8BB2ECD8}"/>
            </a:ext>
          </a:extLst>
        </xdr:cNvPr>
        <xdr:cNvSpPr/>
      </xdr:nvSpPr>
      <xdr:spPr>
        <a:xfrm>
          <a:off x="2612680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AD41383-AA64-401B-BB1B-06A400957886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30</xdr:col>
      <xdr:colOff>268608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0FEAE5E1-3821-46BA-9F11-820456CC4E54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xmlns="" id="{FA73073F-0647-46C6-8FB8-E5680BCBA716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xmlns="" id="{1E1260FF-E42C-41BD-8DFF-4480D59F2B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4F452992-8991-4057-BE65-87584FA959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xmlns="" id="{D6092158-A6D1-4C9C-942F-161562D094CD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xmlns="" id="{BBEB7C33-E23C-48BC-BD82-B2C917CF263F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B151588F-177C-4379-9AA8-CF75D2BB5292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xmlns="" id="{5C3EFB2C-E0AB-44A6-BB68-AE5D30A038B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C765042E-80D8-41F0-AF34-E9B431AF54D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xmlns="" id="{E2787F60-C405-4012-BED6-46FB76C25A27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xmlns="" id="{B054AC1A-61F6-4DA9-9713-30938F934250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xmlns="" id="{E619B64C-E607-43DE-B62C-4710C203C6EE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99DC5510-9D9A-4F4F-81EC-23841DC3344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xmlns="" id="{6DE37C33-4666-4D46-8CE2-F609A763DE92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xmlns="" id="{20702453-EBCA-4BEE-BC48-25F8C1624D5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xmlns="" id="{8E37FB79-2B5A-40FD-88E6-F3B3BCF283CF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FC236C86-7471-4C50-AD17-A1D10B6993E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xmlns="" id="{BD17D19E-EB4C-42AC-85D1-B0A8CCCB4CFE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xmlns="" id="{11EB871A-C252-436D-8689-0653D6CD78F6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xmlns="" id="{01D3752D-2B81-4A6A-A78F-73D8CC1E96D6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5CCCD1BF-71E9-463A-A2A2-799CEFC62F3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xmlns="" id="{979622A7-7EBC-4922-A2E8-3EE85E94D094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xmlns="" id="{0ADC81F0-B5E1-4BBF-A6C6-5FC9B524A21F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xmlns="" id="{3DB8B14C-C312-4243-9B9C-6DA29A44900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988A24A4-4280-404F-92B2-D71E8FD573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xmlns="" id="{8198932C-FD80-41E5-9882-E3FF784DAF0C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xmlns="" id="{D74AD763-A181-47CB-A617-30E99F59AF67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xmlns="" id="{66FAA381-D526-4203-9DE3-AE6CD3A656A8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F7A24312-A00A-460F-B65C-50FEDC8E3B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xmlns="" id="{D2521B5E-BB4E-4165-9E01-A9AE4967DE15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xmlns="" id="{911DC054-4D47-4357-8344-37FAC243F742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xmlns="" id="{8A365D9D-5427-41A0-B637-5E87F9653C25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E044BBF3-EB65-43A1-A37F-6F11392A02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xmlns="" id="{97AC923D-EEC2-410A-98F3-493FD2B2CC08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xmlns="" id="{33C20F95-C52D-42D1-B4B5-74E0A61B6DCF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xmlns="" id="{C4683181-D8C4-436F-828F-38ED55A433BB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xmlns="" id="{5ACF5A17-9FB0-44E0-8C97-C8B57C7DB42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332CBB9B-42E0-428F-B7D6-C19C3B2A4BD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33D1184-65E3-4699-A509-D1FF62DF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C7C9FB54-E97F-4E44-B4E4-564C321D1335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xmlns="" id="{5FE90BFC-2831-481F-B0F0-6D81AA9627C7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8169F5F8-FC79-4EC0-AEC9-CA241F02DDAF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1028700</xdr:colOff>
      <xdr:row>3</xdr:row>
      <xdr:rowOff>171452</xdr:rowOff>
    </xdr:from>
    <xdr:to>
      <xdr:col>15</xdr:col>
      <xdr:colOff>845700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5B53735D-7C10-4E06-B717-3F8F30B57BA5}"/>
            </a:ext>
          </a:extLst>
        </xdr:cNvPr>
        <xdr:cNvSpPr/>
      </xdr:nvSpPr>
      <xdr:spPr>
        <a:xfrm>
          <a:off x="1608582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16</xdr:col>
      <xdr:colOff>564696</xdr:colOff>
      <xdr:row>3</xdr:row>
      <xdr:rowOff>171452</xdr:rowOff>
    </xdr:from>
    <xdr:to>
      <xdr:col>18</xdr:col>
      <xdr:colOff>76896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B68D2A24-DEFC-4B80-87CE-507CB3AB6D1E}"/>
            </a:ext>
          </a:extLst>
        </xdr:cNvPr>
        <xdr:cNvSpPr/>
      </xdr:nvSpPr>
      <xdr:spPr>
        <a:xfrm>
          <a:off x="21085356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1700893</xdr:colOff>
      <xdr:row>3</xdr:row>
      <xdr:rowOff>171452</xdr:rowOff>
    </xdr:from>
    <xdr:to>
      <xdr:col>23</xdr:col>
      <xdr:colOff>489193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F0ADDA53-DF65-47CA-8CE3-6232862F50D1}"/>
            </a:ext>
          </a:extLst>
        </xdr:cNvPr>
        <xdr:cNvSpPr/>
      </xdr:nvSpPr>
      <xdr:spPr>
        <a:xfrm>
          <a:off x="261077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5DBA03EB-AE50-47AB-ACF6-26E3E4FD945D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29</xdr:col>
      <xdr:colOff>268608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F2759A86-849A-492E-BD16-5E8D3DE6A437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xmlns="" id="{65FD128C-4E46-46E8-AAD4-98B01DD983EB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xmlns="" id="{A24407F1-D12A-4726-8C55-85C0002B33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9210C2AC-14BE-4A3B-8357-88E6C5AB36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xmlns="" id="{44B43CA0-2B0E-4828-855F-6CC889231163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xmlns="" id="{69C4C5CF-8097-4473-9873-A3BA088244BB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06A5E027-A7F7-4257-AF5D-85C59FAF72AC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xmlns="" id="{CFA6C075-307C-4AE7-B9C1-C527F3308834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71BD1B3D-D471-4E4F-9D20-D2B4B30F8BD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xmlns="" id="{B85847C9-7CE1-4B5F-8FEA-7901DE7C5724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xmlns="" id="{514B9D7A-F973-4A13-BE3F-46C2786E9661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xmlns="" id="{987C6092-480D-4D34-BEAA-82C72B19A1FF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6309B487-5EA7-41B2-A058-B38EF259478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xmlns="" id="{DB2EAB78-78FB-4003-8479-16617BE183DC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xmlns="" id="{3AF6945F-618A-4995-8D67-EEB9ED48927B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xmlns="" id="{51768FCE-5F04-4B9C-9C6B-E106C3A83B0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D15351F6-A177-4EA0-800D-68C9739FE6F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xmlns="" id="{0225E516-02F8-4E4A-8EE6-8200E9545492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xmlns="" id="{2FD67F15-836C-4457-9A8F-D61197892D1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xmlns="" id="{9B9890AB-E06C-4D02-8E0C-F05C9038130C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A8751B4C-3BF4-476B-801C-F099100C96C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xmlns="" id="{163293AE-43E4-4663-827C-162C34C24903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xmlns="" id="{0BB5E6A3-1EC2-4178-825F-76918367A54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xmlns="" id="{2CFF783D-E1F2-4298-AF0E-29CCE4C6BCD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CD7E565B-A81F-43E6-8465-672BB493F8E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xmlns="" id="{32285D10-9049-47AC-851F-485C6AFB534D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xmlns="" id="{D224B51F-DBCB-4D34-9EC1-162BBDE1080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xmlns="" id="{092A305D-309C-43D8-9623-E6EA214B5413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576100DF-5439-4446-812F-E85090364F7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xmlns="" id="{2AD76C42-B054-4A8C-BF14-22307BE32457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xmlns="" id="{DF7FCB38-859C-4017-9B17-DBFEB3A7DD95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xmlns="" id="{5D9EA1AB-1FA8-4905-BC0D-D4163173056F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7EB2D1CC-202A-405F-AD5B-80C5B19BBF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xmlns="" id="{046482A3-7EBC-4800-8A3C-890B454749FC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xmlns="" id="{B338D797-C7F9-44ED-A2A3-5008E06F567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xmlns="" id="{12E371FF-E8CE-4DB0-9736-C3AA198905A0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xmlns="" id="{9EF4D79A-C84D-4BF4-B9A9-1E6E4E104D4C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E46A6F86-34B5-42F4-B663-D69B693237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8318984-2E8D-4A18-898D-92C3862AB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711A9F05-4893-4D6F-9097-CA931DEBB0E1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xmlns="" id="{BA2992B7-443D-4C7A-B3FD-D3A129C9C52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1573650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9C01BDEF-1A1C-4A8F-A16D-52C098FB93C8}"/>
            </a:ext>
          </a:extLst>
        </xdr:cNvPr>
        <xdr:cNvSpPr/>
      </xdr:nvSpPr>
      <xdr:spPr>
        <a:xfrm>
          <a:off x="11030070" y="1352552"/>
          <a:ext cx="338316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1333500</xdr:colOff>
      <xdr:row>3</xdr:row>
      <xdr:rowOff>171452</xdr:rowOff>
    </xdr:from>
    <xdr:to>
      <xdr:col>15</xdr:col>
      <xdr:colOff>3055500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CB001EB8-6CCC-494A-807C-6BF5B6A48BE2}"/>
            </a:ext>
          </a:extLst>
        </xdr:cNvPr>
        <xdr:cNvSpPr/>
      </xdr:nvSpPr>
      <xdr:spPr>
        <a:xfrm>
          <a:off x="16062960" y="1314452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145596</xdr:colOff>
      <xdr:row>3</xdr:row>
      <xdr:rowOff>171452</xdr:rowOff>
    </xdr:from>
    <xdr:to>
      <xdr:col>18</xdr:col>
      <xdr:colOff>1067496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EB04E908-61FC-49DB-A2B1-902DCCA786F4}"/>
            </a:ext>
          </a:extLst>
        </xdr:cNvPr>
        <xdr:cNvSpPr/>
      </xdr:nvSpPr>
      <xdr:spPr>
        <a:xfrm>
          <a:off x="21085356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519793</xdr:colOff>
      <xdr:row>3</xdr:row>
      <xdr:rowOff>171452</xdr:rowOff>
    </xdr:from>
    <xdr:to>
      <xdr:col>25</xdr:col>
      <xdr:colOff>260593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09A1249D-1A53-4087-A227-B89D8C92F1A2}"/>
            </a:ext>
          </a:extLst>
        </xdr:cNvPr>
        <xdr:cNvSpPr/>
      </xdr:nvSpPr>
      <xdr:spPr>
        <a:xfrm>
          <a:off x="26092513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5D04748B-E3EB-441F-A033-723B7AC00348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40008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459B1FA3-27E3-4FA5-AA45-3E8143D02F4A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xmlns="" id="{EC2640C8-7D25-4007-B084-723EE408EFD2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xmlns="" id="{E09ADA43-9208-449E-B808-6D2662999B13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5C992622-753B-4FA2-8C56-9426BEA4AEA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xmlns="" id="{7A8AC17D-D809-4D97-A67F-CBAA4B123ADE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xmlns="" id="{A34AACEB-0594-4541-8395-1573741896FA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C989E42C-F4B5-46C1-832D-D5939F7B985A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xmlns="" id="{B8A7CF15-7399-428B-B227-4B0A91C650F2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A550BFC7-9761-4771-9B3D-CF423BC66B5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xmlns="" id="{6EE24B40-C6BC-425D-9870-1910EB6231C6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xmlns="" id="{C7B09224-7D70-4F59-AEAF-F6790364408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xmlns="" id="{FB4D30FC-583F-4F9D-AC4A-F2FAF53497CA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8F5DD01E-5D67-4F37-A120-921ACDD91C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xmlns="" id="{E246E766-5C6D-41C3-9982-B6530CF2643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xmlns="" id="{A780B809-B829-47E2-849E-336FF800D77E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xmlns="" id="{F3327C02-B3C7-4DCB-9302-9C8FBB6558A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2C874A6A-4A1E-46AE-9D92-87F0B3A5B56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xmlns="" id="{BE76F083-55BC-46A7-97D1-A56CA863A37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xmlns="" id="{AD4B5A11-DC67-431A-947B-0FA7484FCBC5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xmlns="" id="{564E9AB4-BC4F-4F5B-B6A6-6C3BEEFF6D5B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31EC43C8-CF12-41F6-B3D8-583CB1C7C7D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xmlns="" id="{F3DAFB37-72BE-4F47-9F82-25B5A30C7E17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xmlns="" id="{2A5C544A-85E1-4CD8-A4D0-910FBD0CF39D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xmlns="" id="{50C55E61-D9B4-4F6D-8AE0-A8AD5D93CF8F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8CA58D18-B3B9-4DF1-A312-1FFBEE1657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xmlns="" id="{879D6E33-07E3-4212-BC90-3BB7AFC7B75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xmlns="" id="{D667AB98-180C-4696-A61E-AC823B23B352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xmlns="" id="{0A8B7955-72C0-4A0D-B4EE-412CBE10970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6C8BC7E4-0FEC-4C0B-8DD4-5FAAEBBE01B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xmlns="" id="{47A048D1-16CA-4AEE-84E2-15DB076F899B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xmlns="" id="{53106DBE-4F75-4B15-ACDF-8B3EA07C23B3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xmlns="" id="{108C47E3-4BB9-412F-AB50-CCAE19B025CA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5A2C7F2D-C0DD-4ED4-99A5-FD5F6D5119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xmlns="" id="{F9A99077-C52E-4348-A1B6-E5C4997D23B1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xmlns="" id="{DCA4E6FC-BBC7-4A03-ADF1-3F09163CA221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xmlns="" id="{90A44F1E-CC38-4A0D-BA18-EBFB38223C4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xmlns="" id="{E5D1A61D-0CB3-413D-A6DF-2D7E7CE58D04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55AA8987-FDBA-404F-8D86-36EC9525DD7D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52F67D8-BC17-4504-B88E-8B802E31C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1420EDA2-305E-4732-B24A-3190717272A2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xmlns="" id="{B418D5D2-6666-412F-B71D-0108D78A42D3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1466850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53C67777-5BFB-478A-8FC3-987069DA1018}"/>
            </a:ext>
          </a:extLst>
        </xdr:cNvPr>
        <xdr:cNvSpPr/>
      </xdr:nvSpPr>
      <xdr:spPr>
        <a:xfrm>
          <a:off x="1101483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1371600</xdr:colOff>
      <xdr:row>3</xdr:row>
      <xdr:rowOff>171452</xdr:rowOff>
    </xdr:from>
    <xdr:to>
      <xdr:col>15</xdr:col>
      <xdr:colOff>3093600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8630C606-2B63-495C-9CD4-C1EFEF40E653}"/>
            </a:ext>
          </a:extLst>
        </xdr:cNvPr>
        <xdr:cNvSpPr/>
      </xdr:nvSpPr>
      <xdr:spPr>
        <a:xfrm>
          <a:off x="1606296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183696</xdr:colOff>
      <xdr:row>3</xdr:row>
      <xdr:rowOff>171452</xdr:rowOff>
    </xdr:from>
    <xdr:to>
      <xdr:col>18</xdr:col>
      <xdr:colOff>1105596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E1908186-8712-4D37-B206-DB25B49387DF}"/>
            </a:ext>
          </a:extLst>
        </xdr:cNvPr>
        <xdr:cNvSpPr/>
      </xdr:nvSpPr>
      <xdr:spPr>
        <a:xfrm>
          <a:off x="21062496" y="1314452"/>
          <a:ext cx="339078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557893</xdr:colOff>
      <xdr:row>3</xdr:row>
      <xdr:rowOff>171452</xdr:rowOff>
    </xdr:from>
    <xdr:to>
      <xdr:col>25</xdr:col>
      <xdr:colOff>298693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0400E6D7-4273-4CF8-BBE1-CF1BB7379D60}"/>
            </a:ext>
          </a:extLst>
        </xdr:cNvPr>
        <xdr:cNvSpPr/>
      </xdr:nvSpPr>
      <xdr:spPr>
        <a:xfrm>
          <a:off x="260696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E8917B22-0931-49D4-B3D7-6C8208BF96AC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78108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1B333A1E-1BFC-4A0A-BE1B-00F62D3C1FDD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xmlns="" id="{08456B89-A500-4F07-865D-47BBC305F32D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xmlns="" id="{B1343E6E-CD5D-4D3E-AF74-08BDDFC6AA0E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B8D033C2-C903-45B9-86A0-A76AEFAD03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xmlns="" id="{165A0E30-7939-44C0-B27F-4AF1E2BA487A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xmlns="" id="{98FC930B-23DF-4099-95AC-CEFB60D4F465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5BEBD185-D8B3-49BD-BD87-4474E5F840C4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xmlns="" id="{CF7DC053-EBD0-40EE-B346-8B397E71244F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30B0B55C-7961-428D-945A-D1C13EEBF4F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xmlns="" id="{C3F5BC23-43D8-4008-A6C1-E6B3ADB932CB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xmlns="" id="{5DC61640-B6CD-4467-BFCC-1DE85F4F6785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xmlns="" id="{416FFAFE-1183-4028-A027-CDA556B36904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ED7C664B-C0CB-4865-8EB7-FA1C5C149EF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xmlns="" id="{1AA57F42-7C94-453B-AE5C-BEB45E465128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xmlns="" id="{22C485FB-6D4F-4A0D-948B-092DC49C169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xmlns="" id="{307F4718-A8CD-49CD-9A01-A8C3BEE34905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87BFF4BA-C817-4C4E-B4C2-19945BABDB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xmlns="" id="{E3DCE428-70CC-4C0D-89CF-AAF6AB94CE33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xmlns="" id="{C03CCDDA-B053-4F7F-9CEC-FEC37AA5ED6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xmlns="" id="{5B96FD53-C337-41AF-B037-3D5B93EC5BFD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CDDD127C-8BF9-4518-B437-B8BEE1972F1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xmlns="" id="{A62AC6AF-2DB2-49FF-AC41-D669872D0506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xmlns="" id="{AF199A47-F9B7-4271-BC5E-ABBBBD01CC0B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xmlns="" id="{3C4030D2-C35D-48C7-A14B-B01E7F31993D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828C18D9-BC46-489D-8C80-B17F207B249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xmlns="" id="{D41B5F03-DB21-4F59-B6AF-A8EB05AAD5F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xmlns="" id="{E353AC11-7938-4EE5-9600-89CD8F2A73C0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xmlns="" id="{911FBD6C-038C-4546-BB2F-ED4534A1367C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58C0FCB7-1CDB-46C9-B0E5-C37D3C1D470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xmlns="" id="{42192713-9455-494A-94C9-315565187E8E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xmlns="" id="{46FAC898-1293-482C-8693-8F876F4CA166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xmlns="" id="{0584CC8E-F997-46D2-AE5F-8AA88B9C6421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289F128F-734D-452A-9D3B-9462566053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xmlns="" id="{B78BE553-FD5A-4D80-87DD-8B3EEB2B03C4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xmlns="" id="{F0363263-FFF5-49BB-85FD-6B27A85BFAD2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xmlns="" id="{E1C137B2-7C6A-45B5-AABD-B4368400F80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xmlns="" id="{2EC31009-4A98-46D0-9116-C89A2AFBF08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BC551E84-9571-4EB0-91A4-BE214B3CEFD9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3429287-11B8-4BFE-BA5D-B0B52B7DA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69009CA1-0BC6-4935-B6A2-436D333002C8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xmlns="" id="{A22CA828-ABB7-48CE-B437-DAAD82A71B01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8AF467DC-C77D-4850-A0E8-B20248015E34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C7A5EDD9-A2DE-4143-8818-2956D4953F61}"/>
            </a:ext>
          </a:extLst>
        </xdr:cNvPr>
        <xdr:cNvSpPr/>
      </xdr:nvSpPr>
      <xdr:spPr>
        <a:xfrm>
          <a:off x="16078200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E1A16A1A-DD6F-40C1-82B2-82366FB17BB8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20093AC2-4177-4E5C-A0F2-688F23F104F4}"/>
            </a:ext>
          </a:extLst>
        </xdr:cNvPr>
        <xdr:cNvSpPr/>
      </xdr:nvSpPr>
      <xdr:spPr>
        <a:xfrm>
          <a:off x="26084893" y="1314452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BC161C9F-5DDC-4636-9D4C-4729F9340953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03B81898-56EF-4889-B28E-17BBECAA34AE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xmlns="" id="{7EC7D8C2-40B7-4E94-B3BF-C57ADF7925DE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xmlns="" id="{253FD071-8885-4BA9-8FEC-91A3B72452A0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7BCE85BC-9B04-4AF1-A2E4-771CAE9EF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xmlns="" id="{D828B53F-E317-40C4-BBC2-7F80843DCE7C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xmlns="" id="{F283C2E6-C486-4523-AD11-680D66280F14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F4AF378B-A001-45DE-95D8-25DBD2E68E78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xmlns="" id="{65066A35-C7A2-435B-B5AB-6BFF42AB0F0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470F5E3E-54B4-47AE-A991-DD2951EAB5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xmlns="" id="{74290568-0DD0-40B3-82EB-1705AA164A45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xmlns="" id="{18503683-0138-43CB-859E-912259B9EDB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xmlns="" id="{5DCB2C5F-804B-4D41-87E5-9D2F23F7C72D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7CDB9ABC-B2BF-48D8-A74D-2799F79706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xmlns="" id="{C55E1544-0381-4930-9904-9E75BE46202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xmlns="" id="{F11704D4-BCDF-4036-BBED-26A48C62DEA0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xmlns="" id="{EA0BBCEE-8120-4BCB-BBD1-F9A3D81C9410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68FB7823-98BE-4E7F-8829-18B7DA13718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xmlns="" id="{DA1EBE65-C002-4089-B2C9-96859600AB5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xmlns="" id="{1424B3AA-53BB-4D2A-804B-DCC0474D827D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xmlns="" id="{B8C4BA74-4D17-4C2D-9CCC-A6AB8D9EA459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5A3D87C9-6F7B-4B97-BEC3-29431FC50B5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xmlns="" id="{C36B5C3A-44DF-4C24-944C-9BAC6B518188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xmlns="" id="{6ED2D821-5FBF-4B81-9710-6AB9E628747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xmlns="" id="{B00F3546-518F-45AE-9629-8EA708B0BC8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80820728-83E5-4936-946B-DA4C0ED551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xmlns="" id="{0574098F-E6C1-4097-A2CF-1B5CADF8BD8E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xmlns="" id="{9A980CD5-F099-470C-AB44-9FC5545D6F36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xmlns="" id="{FBC0ED29-7D97-4957-BA99-7A19523361B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CB63E44A-6604-406D-A5E4-06F968EC09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xmlns="" id="{C8636A65-F970-4592-BE6A-C0FCAF433B62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xmlns="" id="{0D43FC29-E52B-4C2E-8CD4-BA6C7F4D8FB0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xmlns="" id="{F5A75C69-BEFE-459C-A56E-D7D79D87AFBE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87E0FED8-D2DB-4D38-8C3B-2900B66549F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xmlns="" id="{2B455EDC-92D8-44D3-9BE0-A260B302FB6F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xmlns="" id="{2BA103F3-2673-4FA8-90DD-14417171226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xmlns="" id="{85380322-2629-4B32-85E5-63337C9A45F5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xmlns="" id="{7789E941-4949-4940-8A51-D8ACEAB6C6A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62449F6D-E80F-42B5-B38C-292E8B37452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EFFCA08-02F0-4D3A-8A56-9B80C6EDB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3BD1B16F-AE8C-4093-AB25-2361D3EFEBAA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xmlns="" id="{7DD567C5-6CD0-4B5E-B8F6-76076AAE3815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2BBDC5B8-CCE1-4779-9851-18109DF105F7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7654B64E-CD0D-408B-BC3B-A8B6B056A108}"/>
            </a:ext>
          </a:extLst>
        </xdr:cNvPr>
        <xdr:cNvSpPr/>
      </xdr:nvSpPr>
      <xdr:spPr>
        <a:xfrm>
          <a:off x="1607820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16B6588F-C783-42DE-B932-3BF07CE650CC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522289DD-E397-4383-B71C-BD354DFCF4B8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FA5A6ABF-F122-4BF1-88DF-641AFC9A49B2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EA1FAA3E-C9E7-4B7B-A709-7830B084BAD1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xmlns="" id="{1BE500F5-1A0D-4796-9C08-8E44D1E41E29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xmlns="" id="{D0518CC4-0496-44F6-8D67-0D262158F6B0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3D5A19C7-1001-436A-BA8D-DE7C0A488C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xmlns="" id="{3E0D13BD-169F-4A33-9A11-C41271ABF9E4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xmlns="" id="{CF633B45-696B-477C-87BB-6B5068106CAB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50CDF32F-A78D-4349-B5C7-9C4F3F30D7E3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xmlns="" id="{87DFE145-8D40-41BF-AED1-EDD1BE128565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ED4966CE-6D04-428C-AB33-5794901DB9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xmlns="" id="{9305E3B6-E1C9-4F42-A98D-C5340039FC0F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xmlns="" id="{4AAE57E6-8297-488D-ADBA-CA01AE27BBF0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xmlns="" id="{45826F2C-AC0A-418C-A951-F21B3D83DE32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B676A07E-8328-4103-9627-5B75C2E3E6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xmlns="" id="{4B25F83B-7BA5-40F9-9652-7C8D6C21AE8D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xmlns="" id="{DC296931-7859-46C4-9A40-D228279D1F83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xmlns="" id="{041C7928-DAEF-4414-B518-AF24D347EEE6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7113546B-28D2-4EDA-B99C-86807D692F3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xmlns="" id="{240D81AF-0AEC-47AC-B9EF-883EEEBEB2C6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xmlns="" id="{64BE674D-79B8-4EDF-A5BF-4C3D85E6E4EA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xmlns="" id="{54DDC4A8-11A9-4AB5-B8FF-3FB9ACC17B6F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2BB8BF06-1CA3-4504-983C-027533E1DFF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xmlns="" id="{69A7C7FE-1A37-4D43-B78A-99665B3283E9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xmlns="" id="{41B11160-3E25-47F6-9251-DA6F7D1636C1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xmlns="" id="{B07EE2FF-8228-4D00-B378-06383719BCB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D2EC9289-A4EA-49A8-AFE3-EF33BCADF2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xmlns="" id="{6FBB366F-AC77-4F5C-A481-91FFFA103559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xmlns="" id="{382B7D9B-E823-4339-A4CA-ABDAFEADD89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xmlns="" id="{C73EF69D-9FCE-4429-BB96-1C40B3D6C5D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1BF4D750-7FDD-4B27-B23B-17493388E51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xmlns="" id="{B19DEFE1-6B71-4737-A7D3-0C9C31B4A0D4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xmlns="" id="{9DB3635A-5DF0-4541-A571-6106199E8087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xmlns="" id="{41FCF268-BA30-45E8-938F-EE2D4C4DA77A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DAC5E608-C8E8-4E60-9DB3-EB61038259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xmlns="" id="{67707D75-8C7D-4133-B63C-ADF2AF5655FB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xmlns="" id="{3BCC29E6-8D39-4045-8DF8-CDCC2A237CD2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xmlns="" id="{64A2A74D-917B-4085-8E9E-8E9CA64A13FA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xmlns="" id="{8F2B3C61-C79A-4E71-9274-CC5FDCCA79E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28</xdr:col>
      <xdr:colOff>24493</xdr:colOff>
      <xdr:row>3</xdr:row>
      <xdr:rowOff>171452</xdr:rowOff>
    </xdr:from>
    <xdr:to>
      <xdr:col>33</xdr:col>
      <xdr:colOff>374893</xdr:colOff>
      <xdr:row>5</xdr:row>
      <xdr:rowOff>160802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xmlns="" id="{E7620E1D-A7F6-4C7F-B5B3-CFDDF0E82C1B}"/>
            </a:ext>
          </a:extLst>
        </xdr:cNvPr>
        <xdr:cNvSpPr/>
      </xdr:nvSpPr>
      <xdr:spPr>
        <a:xfrm>
          <a:off x="31056943" y="1333502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VEÍCULOS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6168F214-87F0-4F3E-AB0E-B93AC0EB511B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B0286A3-CCE9-40CD-BB5A-CBCC7B468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C7D903BF-2CB0-4864-93DF-AFEFB47DB6F0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xmlns="" id="{30F67476-BBE7-4C14-BFBD-558381FB2CEF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xmlns="" id="{5C6B5881-0F4A-4880-9F67-7761EFE77DBF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xmlns="" id="{FFCBB4D0-F71B-4CA9-A5CD-C517CB4C1229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xmlns="" id="{BC64A780-2B8A-418B-B9DF-E472D817A1D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5094D6DD-E681-4F3B-BC4A-1E5810B585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xmlns="" id="{85E4A0CE-1223-41E4-93E1-56670EF4FD1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EB48B437-397C-4525-AB52-9F47CA6997A2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xmlns="" id="{0DD3041E-4866-4763-A9B3-2BE946EFBFFD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xmlns="" id="{EE247972-EE6B-4A4B-9337-3CE69C635645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CEC92161-DBC1-4823-9A2E-7DC4E5D942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xmlns="" id="{8EE2312D-0CF8-4AFC-8E63-A08CD1B16246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xmlns="" id="{E9F643E4-2CC8-4AAB-9259-DEA9005DB329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C6829D7-D262-4B4E-9F73-8099DEE2A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xmlns="" id="{19CE8F61-B981-4EF8-B5D3-63C2036C851C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xmlns="" id="{1D771491-7546-4AE5-8501-22A6D5786081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xmlns="" id="{82B89D2C-E41A-4A7D-BECF-0840569239CD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228AB116-3953-4980-A928-FBD7BDC765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226F6444-EB54-44C2-9499-4035EE105BF6}"/>
            </a:ext>
          </a:extLst>
        </xdr:cNvPr>
        <xdr:cNvGrpSpPr/>
      </xdr:nvGrpSpPr>
      <xdr:grpSpPr>
        <a:xfrm>
          <a:off x="16832891" y="0"/>
          <a:ext cx="1611886" cy="1162050"/>
          <a:chOff x="7112293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616C020D-D294-47F6-BD75-994B6390C98E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4494B93B-34DE-41EA-9BEE-3B6D275E614E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4708A3DB-943A-4DC6-8E88-CF99C7CBC4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2290570</xdr:colOff>
      <xdr:row>0</xdr:row>
      <xdr:rowOff>0</xdr:rowOff>
    </xdr:from>
    <xdr:to>
      <xdr:col>20</xdr:col>
      <xdr:colOff>54030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D2DCAEAE-9E32-498A-A92E-0EE7DFE26C78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A7FBAF80-71CF-4ED3-A98A-E0622B66D6CE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8C3FD430-8FCB-4D14-BFC4-AA6BF7F5CCC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19CF1F8D-01DE-4EDF-8E44-A90E74816D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263773</xdr:colOff>
      <xdr:row>0</xdr:row>
      <xdr:rowOff>0</xdr:rowOff>
    </xdr:from>
    <xdr:to>
      <xdr:col>25</xdr:col>
      <xdr:colOff>62734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AC74F398-A5C1-4E8B-88B3-33CCF8E5A5D9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A622DF0D-4CD4-4C43-B575-25313FAA2BE6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5CE72061-0A4D-425C-9897-5154EA04D601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9A4D0A3-478E-4D63-B87A-98CBBC539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2101278</xdr:colOff>
      <xdr:row>0</xdr:row>
      <xdr:rowOff>0</xdr:rowOff>
    </xdr:from>
    <xdr:to>
      <xdr:col>26</xdr:col>
      <xdr:colOff>194247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8B8A4BA2-A43F-4BC8-9411-E47FF32876D4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8BEFBEDA-6A68-432D-BDED-0358C6BEECA3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0FE1A22E-40D1-4EF6-A651-6B8A85098DD4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8C95C591-D276-4B0F-A372-796842991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403989</xdr:colOff>
      <xdr:row>0</xdr:row>
      <xdr:rowOff>0</xdr:rowOff>
    </xdr:from>
    <xdr:to>
      <xdr:col>32</xdr:col>
      <xdr:colOff>173358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xmlns="" id="{BC2B9454-FD76-4E6A-BDA4-F7D300DEE349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xmlns="" id="{81AE58E8-C55A-43F2-AE46-122CAEC4B60E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xmlns="" id="{E0636194-5295-42DB-8A57-0E8D32D12D54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xmlns="" id="{FDBB6F53-C912-4555-9456-F4E6DD1569D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11</xdr:col>
      <xdr:colOff>1047750</xdr:colOff>
      <xdr:row>10</xdr:row>
      <xdr:rowOff>228600</xdr:rowOff>
    </xdr:from>
    <xdr:to>
      <xdr:col>25</xdr:col>
      <xdr:colOff>247650</xdr:colOff>
      <xdr:row>49</xdr:row>
      <xdr:rowOff>65572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CF635739-29E6-4302-8535-F415E6EBFE7D}"/>
            </a:ext>
            <a:ext uri="{147F2762-F138-4A5C-976F-8EAC2B608ADB}">
              <a16:predDERef xmlns:a16="http://schemas.microsoft.com/office/drawing/2014/main" xmlns="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439400" y="3638550"/>
          <a:ext cx="15449550" cy="13953022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4A9ABE85-321A-441B-B049-92CC556B7ECF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7BF1B3C9-DCA9-49B9-990E-78D4642AD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4296EE05-044D-4DEB-A260-EC5C4B2A6864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xmlns="" id="{8B8900E5-24EC-4516-A6A1-9332D8E0CEEC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55702D68-D5C8-4CDF-BF80-7431A8BA482E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xmlns="" id="{E7C2BB46-B7A5-4596-90A4-DA16D21C1A4A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81250" y="0"/>
          <a:ext cx="1464743" cy="1143000"/>
          <a:chOff x="1993654" y="0"/>
          <a:chExt cx="1022595" cy="781538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xmlns="" id="{A22738E4-2AC4-430F-AB17-4E653D355ED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B1DC701C-6A69-4703-81D3-69760B276D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xmlns="" id="{496C9D55-40BF-4ACE-B513-CCD04E98196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xmlns="" id="{1049E32E-938D-4F64-BEC1-D545D54104D8}"/>
            </a:ext>
          </a:extLst>
        </xdr:cNvPr>
        <xdr:cNvGrpSpPr/>
      </xdr:nvGrpSpPr>
      <xdr:grpSpPr>
        <a:xfrm>
          <a:off x="5832148" y="0"/>
          <a:ext cx="1491065" cy="1143000"/>
          <a:chOff x="5936923" y="0"/>
          <a:chExt cx="1591077" cy="1162050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xmlns="" id="{E04E0035-8EA4-431E-BC75-DF89266DC6B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xmlns="" id="{F39D4734-6F89-4444-80B5-34FC06AEB9C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4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C2710989-5F8B-474A-825A-7038E25012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54C3F7EB-5705-4D3B-A507-BA29273851CC}"/>
            </a:ext>
          </a:extLst>
        </xdr:cNvPr>
        <xdr:cNvSpPr/>
      </xdr:nvSpPr>
      <xdr:spPr>
        <a:xfrm>
          <a:off x="9616039" y="0"/>
          <a:ext cx="1461409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xmlns="" id="{185F11A0-8729-4BC4-BC4B-9E7FE5AF8CCF}"/>
            </a:ext>
          </a:extLst>
        </xdr:cNvPr>
        <xdr:cNvSpPr txBox="1"/>
      </xdr:nvSpPr>
      <xdr:spPr>
        <a:xfrm rot="10800000" flipH="1" flipV="1">
          <a:off x="9566543" y="765583"/>
          <a:ext cx="159816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4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7D44FFC2-62CE-4590-A1E6-2C098E21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82" name="Agrupar 81">
          <a:extLst>
            <a:ext uri="{FF2B5EF4-FFF2-40B4-BE49-F238E27FC236}">
              <a16:creationId xmlns:a16="http://schemas.microsoft.com/office/drawing/2014/main" xmlns="" id="{5116B9A8-30A6-42FA-8BCA-C3A4230EC2C9}"/>
            </a:ext>
          </a:extLst>
        </xdr:cNvPr>
        <xdr:cNvGrpSpPr/>
      </xdr:nvGrpSpPr>
      <xdr:grpSpPr>
        <a:xfrm>
          <a:off x="12865117" y="0"/>
          <a:ext cx="1591094" cy="1143000"/>
          <a:chOff x="13203254" y="0"/>
          <a:chExt cx="1591094" cy="1162050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xmlns="" id="{2FFEF6F4-D132-42D0-87AC-BBF7F0AA73CB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xmlns="" id="{B03FB71C-55FD-4542-A178-1B427043CB27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39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FF3579AD-0FD5-463D-9B44-B0269C7A88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xmlns="" id="{D478F035-99C1-489C-B559-573865D7BBA0}"/>
            </a:ext>
          </a:extLst>
        </xdr:cNvPr>
        <xdr:cNvGrpSpPr/>
      </xdr:nvGrpSpPr>
      <xdr:grpSpPr>
        <a:xfrm>
          <a:off x="16409029" y="0"/>
          <a:ext cx="1559498" cy="1143000"/>
          <a:chOff x="711229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xmlns="" id="{C4680B87-840B-48BE-8BA4-36E092B4CBCA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xmlns="" id="{2DDBB5DC-D6BF-41B8-95EF-78F3EF160CD6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43CC6B72-2AD2-43F7-90EC-2B5C1CD437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2290570</xdr:colOff>
      <xdr:row>0</xdr:row>
      <xdr:rowOff>0</xdr:rowOff>
    </xdr:from>
    <xdr:to>
      <xdr:col>20</xdr:col>
      <xdr:colOff>54030</xdr:colOff>
      <xdr:row>3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xmlns="" id="{8C6B52A1-752E-400C-84E4-EB0E5EE70C25}"/>
            </a:ext>
          </a:extLst>
        </xdr:cNvPr>
        <xdr:cNvGrpSpPr/>
      </xdr:nvGrpSpPr>
      <xdr:grpSpPr>
        <a:xfrm>
          <a:off x="20007070" y="0"/>
          <a:ext cx="1478210" cy="1143000"/>
          <a:chOff x="8443355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xmlns="" id="{7FB681ED-D697-43F5-9605-AA6FBCC53E3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xmlns="" id="{D448301C-5EE6-4F63-8218-19F5F037FFD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FC075601-11E7-4382-BBF2-97CE31E78B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263773</xdr:colOff>
      <xdr:row>0</xdr:row>
      <xdr:rowOff>0</xdr:rowOff>
    </xdr:from>
    <xdr:to>
      <xdr:col>25</xdr:col>
      <xdr:colOff>62734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xmlns="" id="{59F4BEFE-D8D1-4B33-A392-4C5F7C3AB0B5}"/>
            </a:ext>
          </a:extLst>
        </xdr:cNvPr>
        <xdr:cNvGrpSpPr/>
      </xdr:nvGrpSpPr>
      <xdr:grpSpPr>
        <a:xfrm>
          <a:off x="23480961" y="0"/>
          <a:ext cx="156108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B0C4C089-699E-4F74-B166-AE18B530073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1FD56F95-C0E0-4D22-AB84-32D06A6D6B4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848B5C86-BD4C-4A13-8460-12EBF6F31B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2101278</xdr:colOff>
      <xdr:row>0</xdr:row>
      <xdr:rowOff>0</xdr:rowOff>
    </xdr:from>
    <xdr:to>
      <xdr:col>26</xdr:col>
      <xdr:colOff>194247</xdr:colOff>
      <xdr:row>3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xmlns="" id="{AD7031A8-DC00-4F59-AB81-0A7FEB4CD1D2}"/>
            </a:ext>
          </a:extLst>
        </xdr:cNvPr>
        <xdr:cNvGrpSpPr/>
      </xdr:nvGrpSpPr>
      <xdr:grpSpPr>
        <a:xfrm>
          <a:off x="27080591" y="0"/>
          <a:ext cx="1498156" cy="1143000"/>
          <a:chOff x="11105473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xmlns="" id="{6FA19239-C9B1-464E-94CB-FF0D6D52909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xmlns="" id="{C9E9A452-3FD6-45B9-9600-41670194EC6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73CB77B8-F0B6-48F6-886F-C2DAAEB798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403989</xdr:colOff>
      <xdr:row>0</xdr:row>
      <xdr:rowOff>0</xdr:rowOff>
    </xdr:from>
    <xdr:to>
      <xdr:col>32</xdr:col>
      <xdr:colOff>173358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xmlns="" id="{6111BAAE-8FAF-42D4-B390-3B069A4514FC}"/>
            </a:ext>
          </a:extLst>
        </xdr:cNvPr>
        <xdr:cNvGrpSpPr/>
      </xdr:nvGrpSpPr>
      <xdr:grpSpPr>
        <a:xfrm>
          <a:off x="30574427" y="0"/>
          <a:ext cx="1555306" cy="1143000"/>
          <a:chOff x="12260227" y="0"/>
          <a:chExt cx="1118316" cy="770164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xmlns="" id="{63B829E0-9E92-432D-A901-E4D9F9A8052F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xmlns="" id="{9DB1A713-22EF-4A0B-A24D-B8ECC7B26D3A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24" name="Imagem 23" descr="Ícone do banco de dados (símbolo png) preto">
            <a:extLst>
              <a:ext uri="{FF2B5EF4-FFF2-40B4-BE49-F238E27FC236}">
                <a16:creationId xmlns:a16="http://schemas.microsoft.com/office/drawing/2014/main" xmlns="" id="{DC7F1D98-9576-465E-96F5-EDD10D841ED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3162300</xdr:colOff>
      <xdr:row>27</xdr:row>
      <xdr:rowOff>76200</xdr:rowOff>
    </xdr:from>
    <xdr:to>
      <xdr:col>18</xdr:col>
      <xdr:colOff>76200</xdr:colOff>
      <xdr:row>30</xdr:row>
      <xdr:rowOff>144482</xdr:rowOff>
    </xdr:to>
    <xdr:sp macro="[1]!REQ_MP" textlink="">
      <xdr:nvSpPr>
        <xdr:cNvPr id="83" name="Retângulo: Cantos Arredondados 82">
          <a:extLst>
            <a:ext uri="{FF2B5EF4-FFF2-40B4-BE49-F238E27FC236}">
              <a16:creationId xmlns:a16="http://schemas.microsoft.com/office/drawing/2014/main" xmlns="" id="{999DF641-8D97-4230-BC86-75E9C4708878}"/>
            </a:ext>
          </a:extLst>
        </xdr:cNvPr>
        <xdr:cNvSpPr/>
      </xdr:nvSpPr>
      <xdr:spPr>
        <a:xfrm>
          <a:off x="16287750" y="963930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PEDIR PRODUTOS</a:t>
          </a:r>
        </a:p>
      </xdr:txBody>
    </xdr:sp>
    <xdr:clientData/>
  </xdr:twoCellAnchor>
  <xdr:twoCellAnchor>
    <xdr:from>
      <xdr:col>25</xdr:col>
      <xdr:colOff>32384</xdr:colOff>
      <xdr:row>21</xdr:row>
      <xdr:rowOff>304799</xdr:rowOff>
    </xdr:from>
    <xdr:to>
      <xdr:col>25</xdr:col>
      <xdr:colOff>1943099</xdr:colOff>
      <xdr:row>25</xdr:row>
      <xdr:rowOff>40354</xdr:rowOff>
    </xdr:to>
    <xdr:sp macro="" textlink="">
      <xdr:nvSpPr>
        <xdr:cNvPr id="84" name="Retângulo Arredondado 11">
          <a:extLst>
            <a:ext uri="{FF2B5EF4-FFF2-40B4-BE49-F238E27FC236}">
              <a16:creationId xmlns:a16="http://schemas.microsoft.com/office/drawing/2014/main" xmlns="" id="{AAC97D67-9C0B-444B-8AC9-5ADC02F81388}"/>
            </a:ext>
            <a:ext uri="{147F2762-F138-4A5C-976F-8EAC2B608ADB}">
              <a16:predDERef xmlns:a16="http://schemas.microsoft.com/office/drawing/2014/main" xmlns="" pred="{FEE27294-4771-4BDE-8047-454433BFA703}"/>
            </a:ext>
          </a:extLst>
        </xdr:cNvPr>
        <xdr:cNvSpPr/>
      </xdr:nvSpPr>
      <xdr:spPr>
        <a:xfrm>
          <a:off x="25673684" y="7696199"/>
          <a:ext cx="1910715" cy="1183355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LANÇAR PRODUTOS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575A507C-717C-42D0-80D6-C79ADC9A0C92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D6FB489-444B-450B-8D91-8BD968073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7B868D2E-B3D2-4478-A67C-D7E1F069F569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xmlns="" id="{9BC8EB2A-A8D9-408D-A5A5-5E9AD95F548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xmlns="" id="{DED96927-86EB-45BF-9DBA-0313C3937FA0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xmlns="" id="{41D5657A-233D-4DC6-8445-AD410B6AED4A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81250" y="0"/>
          <a:ext cx="1464743" cy="114300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xmlns="" id="{2441A687-3714-43BD-9190-9E0B4739501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0D7E9FFC-1F0C-4AB1-A5CD-87F3FF7CD1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xmlns="" id="{CE6D24B6-29E4-45BC-9D65-B4C18F1B4D6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63BBA8A0-F37F-4747-9F16-40DE3BEC4DCF}"/>
            </a:ext>
          </a:extLst>
        </xdr:cNvPr>
        <xdr:cNvGrpSpPr/>
      </xdr:nvGrpSpPr>
      <xdr:grpSpPr>
        <a:xfrm>
          <a:off x="5832148" y="0"/>
          <a:ext cx="1491065" cy="114300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xmlns="" id="{EC3FE47A-3830-400C-B30A-CEB81EDB4CF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xmlns="" id="{819294D5-C951-4FC0-9480-0AD490725892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152EEDA5-EC74-44DC-A189-7CD9952A1D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xmlns="" id="{829B4851-4607-46A4-8817-B9426C43569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xmlns="" id="{BC9C9B06-7DE9-4A73-A605-18D96BE21C10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F5972EA-86D1-4807-8162-3737E4EAE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xmlns="" id="{BADB8EFE-B12B-41F6-BEC7-E6FC797CB696}"/>
            </a:ext>
          </a:extLst>
        </xdr:cNvPr>
        <xdr:cNvGrpSpPr/>
      </xdr:nvGrpSpPr>
      <xdr:grpSpPr>
        <a:xfrm>
          <a:off x="12865117" y="0"/>
          <a:ext cx="1591094" cy="1143000"/>
          <a:chOff x="13203254" y="0"/>
          <a:chExt cx="1591094" cy="1162050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xmlns="" id="{C78E47A3-2849-4735-ACD8-D07D15C5160D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xmlns="" id="{3B7912BD-6027-4BFB-AF4E-72E72F6C5E4D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AB03B573-6F78-40FD-BBCD-D16696303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DA71F4D7-BC66-464E-9708-67D4758ACD44}"/>
            </a:ext>
          </a:extLst>
        </xdr:cNvPr>
        <xdr:cNvGrpSpPr/>
      </xdr:nvGrpSpPr>
      <xdr:grpSpPr>
        <a:xfrm>
          <a:off x="16409029" y="0"/>
          <a:ext cx="1559498" cy="1143000"/>
          <a:chOff x="7112293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CFC3847C-F917-42FB-BA39-53DA1FE0F90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E8EC37A0-9F4A-402E-8FAA-D4438A94FD0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7E123441-8526-4927-AA32-6083964A71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19</xdr:col>
      <xdr:colOff>137920</xdr:colOff>
      <xdr:row>0</xdr:row>
      <xdr:rowOff>0</xdr:rowOff>
    </xdr:from>
    <xdr:to>
      <xdr:col>21</xdr:col>
      <xdr:colOff>511230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C980CEB3-DAFB-4EB3-A05A-860D81AD0029}"/>
            </a:ext>
          </a:extLst>
        </xdr:cNvPr>
        <xdr:cNvGrpSpPr/>
      </xdr:nvGrpSpPr>
      <xdr:grpSpPr>
        <a:xfrm>
          <a:off x="19949920" y="0"/>
          <a:ext cx="1563935" cy="114300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14F40652-BF2E-4A67-BCE2-4ADEA206223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7185D568-9BB8-4550-9951-7DEAFB1080D2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B84E6EEB-8315-473D-BD9F-2AFB4FA00B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1330573</xdr:colOff>
      <xdr:row>0</xdr:row>
      <xdr:rowOff>0</xdr:rowOff>
    </xdr:from>
    <xdr:to>
      <xdr:col>25</xdr:col>
      <xdr:colOff>1129534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C048D900-ED2C-4405-A0E4-5DD68F871609}"/>
            </a:ext>
          </a:extLst>
        </xdr:cNvPr>
        <xdr:cNvGrpSpPr/>
      </xdr:nvGrpSpPr>
      <xdr:grpSpPr>
        <a:xfrm>
          <a:off x="23523823" y="0"/>
          <a:ext cx="1561086" cy="114300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EBC9CBEA-AD81-4C3C-B831-57EBD13AC4D3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B164FAFD-FF17-4AEB-A33B-49037B7E01E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B6DCD978-5747-4F93-BFD6-D112308823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3168078</xdr:colOff>
      <xdr:row>0</xdr:row>
      <xdr:rowOff>0</xdr:rowOff>
    </xdr:from>
    <xdr:to>
      <xdr:col>28</xdr:col>
      <xdr:colOff>41847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021CF932-7849-48D2-8113-B34AB4E29CC7}"/>
            </a:ext>
          </a:extLst>
        </xdr:cNvPr>
        <xdr:cNvGrpSpPr/>
      </xdr:nvGrpSpPr>
      <xdr:grpSpPr>
        <a:xfrm>
          <a:off x="27123453" y="0"/>
          <a:ext cx="1469582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D962D14B-1F81-4392-995C-1F40A4AB0284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A5608EFB-A92D-4BF8-BE68-53FB5FEBE0D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81EF6CAA-032F-4E0D-9FDE-D88144DF94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31</xdr:col>
      <xdr:colOff>251589</xdr:colOff>
      <xdr:row>0</xdr:row>
      <xdr:rowOff>0</xdr:rowOff>
    </xdr:from>
    <xdr:to>
      <xdr:col>34</xdr:col>
      <xdr:colOff>20958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xmlns="" id="{BD32D7F0-130A-4D6F-8E9B-BD65AAD462F7}"/>
            </a:ext>
          </a:extLst>
        </xdr:cNvPr>
        <xdr:cNvGrpSpPr/>
      </xdr:nvGrpSpPr>
      <xdr:grpSpPr>
        <a:xfrm>
          <a:off x="30588714" y="0"/>
          <a:ext cx="1555307" cy="114300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xmlns="" id="{E257A9CF-C685-4377-B001-9D5E86A9BD2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xmlns="" id="{B4CB55CB-EFCC-4071-B3E3-8EEFF76E68BB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xmlns="" id="{8B5EF7CE-D977-48BA-90DD-60D7BAC9B91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2705100</xdr:colOff>
      <xdr:row>27</xdr:row>
      <xdr:rowOff>76200</xdr:rowOff>
    </xdr:from>
    <xdr:to>
      <xdr:col>16</xdr:col>
      <xdr:colOff>1219200</xdr:colOff>
      <xdr:row>30</xdr:row>
      <xdr:rowOff>144482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xmlns="" id="{9E9508F3-1D81-4079-8085-DAAA7F103224}"/>
            </a:ext>
          </a:extLst>
        </xdr:cNvPr>
        <xdr:cNvSpPr/>
      </xdr:nvSpPr>
      <xdr:spPr>
        <a:xfrm>
          <a:off x="15830550" y="963930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 DE COMPRA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3C71F1F2-42FC-4323-B018-E85D7F763B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5512EF9-5A09-4D24-8B47-139CAFD44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C493E36D-8419-40F3-8865-478A6BA7DB09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EE2CD9B3-273E-4667-A8A1-7AD4D645FF4B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xmlns="" id="{81EDE200-6609-4923-A2C3-74C7F63EE37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9883762A-C1CC-4DD4-91E2-B3BD143731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xmlns="" id="{89CDBC5F-AB2B-4D38-942B-01EAD06BD8E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5C8C6F6C-A81F-4F26-90B9-D9668568AAF4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B598562F-4D86-489C-BC71-69188302207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xmlns="" id="{717E1134-3242-4D78-A029-67ED53E1D5B4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D98C16D7-8822-4400-A9C5-B464579203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8F0B7622-8580-4A13-AD8C-0F2275472BA9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A0283CFA-BB93-41F8-8BBC-457CCA2FF93A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9657889-DBFE-48D5-A794-764C3F2A1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127081</xdr:colOff>
      <xdr:row>0</xdr:row>
      <xdr:rowOff>0</xdr:rowOff>
    </xdr:from>
    <xdr:to>
      <xdr:col>14</xdr:col>
      <xdr:colOff>1582022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xmlns="" id="{D682A373-0058-45A4-9AA3-901C62B44731}"/>
            </a:ext>
          </a:extLst>
        </xdr:cNvPr>
        <xdr:cNvSpPr/>
      </xdr:nvSpPr>
      <xdr:spPr>
        <a:xfrm>
          <a:off x="1323348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77804</xdr:colOff>
      <xdr:row>2</xdr:row>
      <xdr:rowOff>384583</xdr:rowOff>
    </xdr:from>
    <xdr:to>
      <xdr:col>14</xdr:col>
      <xdr:colOff>1668898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xmlns="" id="{2041F00E-0BB8-4CB0-9EDB-65EB142B5798}"/>
            </a:ext>
          </a:extLst>
        </xdr:cNvPr>
        <xdr:cNvSpPr txBox="1"/>
      </xdr:nvSpPr>
      <xdr:spPr>
        <a:xfrm rot="10800000" flipH="1" flipV="1">
          <a:off x="1318420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14</xdr:col>
      <xdr:colOff>559501</xdr:colOff>
      <xdr:row>0</xdr:row>
      <xdr:rowOff>136274</xdr:rowOff>
    </xdr:from>
    <xdr:to>
      <xdr:col>14</xdr:col>
      <xdr:colOff>1149602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B1CD1ECB-1429-4E20-931F-1AA8DAAEE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90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3757362</xdr:colOff>
      <xdr:row>0</xdr:row>
      <xdr:rowOff>0</xdr:rowOff>
    </xdr:from>
    <xdr:to>
      <xdr:col>14</xdr:col>
      <xdr:colOff>5231316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5B591F60-349E-4DA3-887D-26B4E9166E66}"/>
            </a:ext>
          </a:extLst>
        </xdr:cNvPr>
        <xdr:cNvSpPr/>
      </xdr:nvSpPr>
      <xdr:spPr>
        <a:xfrm>
          <a:off x="1686376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3707441</xdr:colOff>
      <xdr:row>2</xdr:row>
      <xdr:rowOff>384583</xdr:rowOff>
    </xdr:from>
    <xdr:to>
      <xdr:col>14</xdr:col>
      <xdr:colOff>5319327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2CF10132-7344-4563-93D4-946754F57B52}"/>
            </a:ext>
          </a:extLst>
        </xdr:cNvPr>
        <xdr:cNvSpPr txBox="1"/>
      </xdr:nvSpPr>
      <xdr:spPr>
        <a:xfrm rot="10800000" flipH="1" flipV="1">
          <a:off x="1681384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14</xdr:col>
      <xdr:colOff>4196626</xdr:colOff>
      <xdr:row>0</xdr:row>
      <xdr:rowOff>136274</xdr:rowOff>
    </xdr:from>
    <xdr:to>
      <xdr:col>14</xdr:col>
      <xdr:colOff>4792050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94610A66-F315-45D0-86CF-DA83BF2F2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0302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537970</xdr:colOff>
      <xdr:row>0</xdr:row>
      <xdr:rowOff>0</xdr:rowOff>
    </xdr:from>
    <xdr:to>
      <xdr:col>16</xdr:col>
      <xdr:colOff>1368480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4DF502EB-C6C4-48A1-90D9-BB53DA865B28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A4F9304F-63CE-4519-9804-816AE2C63E1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13341ABB-9FAB-47BC-BA3F-1310B3237C05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499EFD71-3963-4B82-9890-1C5C824006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3407023</xdr:colOff>
      <xdr:row>0</xdr:row>
      <xdr:rowOff>0</xdr:rowOff>
    </xdr:from>
    <xdr:to>
      <xdr:col>18</xdr:col>
      <xdr:colOff>538984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BA0FE77F-D33F-47D9-A1CB-A6B6C6A6B4C3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599FBD9C-F87E-4EA9-97C5-EAE0DDE525B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ED9A18E7-8166-4D98-A40D-F71E0D30B12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FD9FDC37-AC96-4932-9847-DAEBBFBF69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748728</xdr:colOff>
      <xdr:row>0</xdr:row>
      <xdr:rowOff>0</xdr:rowOff>
    </xdr:from>
    <xdr:to>
      <xdr:col>23</xdr:col>
      <xdr:colOff>556197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B201F466-65DE-4DFE-9D81-478A5C789467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108477B7-ABF8-4FE6-A279-59D6171A3E53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81B0E8B6-D8A1-4163-98F1-EB967F3F70DE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3D8C0502-12D0-4CB8-A740-FE0E1CF254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2594739</xdr:colOff>
      <xdr:row>0</xdr:row>
      <xdr:rowOff>0</xdr:rowOff>
    </xdr:from>
    <xdr:to>
      <xdr:col>25</xdr:col>
      <xdr:colOff>78108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4BE39405-971B-4C24-9BFC-1491362B6831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6801DDF7-A12C-4EFA-A452-AA8BF7353553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18402D20-7A4B-47DB-96F6-5B4CB90FFCC8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xmlns="" id="{6FD48C7C-1F29-4BF5-803A-71FC368B56F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B2ACAED2-8130-406B-902E-DFB23543B31F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1314450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09A948C2-5B94-419C-BD06-19ADE06F527E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0070" y="13251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CAF04686-1401-4432-A0E1-370885B99370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14</xdr:col>
      <xdr:colOff>2990850</xdr:colOff>
      <xdr:row>3</xdr:row>
      <xdr:rowOff>152400</xdr:rowOff>
    </xdr:from>
    <xdr:to>
      <xdr:col>14</xdr:col>
      <xdr:colOff>6389250</xdr:colOff>
      <xdr:row>5</xdr:row>
      <xdr:rowOff>141750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xmlns="" id="{880BCDDD-2F28-4077-9064-45FEA71810F0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09725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 editAs="absolute">
    <xdr:from>
      <xdr:col>11</xdr:col>
      <xdr:colOff>1371600</xdr:colOff>
      <xdr:row>12</xdr:row>
      <xdr:rowOff>19050</xdr:rowOff>
    </xdr:from>
    <xdr:to>
      <xdr:col>19</xdr:col>
      <xdr:colOff>438150</xdr:colOff>
      <xdr:row>50</xdr:row>
      <xdr:rowOff>217972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25DC03B8-3CF3-48D2-89FA-EFE2A74107AF}"/>
            </a:ext>
            <a:ext uri="{147F2762-F138-4A5C-976F-8EAC2B608ADB}">
              <a16:predDERef xmlns:a16="http://schemas.microsoft.com/office/drawing/2014/main" xmlns="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763250" y="4152900"/>
          <a:ext cx="15449550" cy="13953022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0197FF08-7DBE-4CBB-99B2-ECC74FD42D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801CC87B-172D-40B9-A3CE-D2738B63D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xmlns="" id="{0D4E85BB-203F-4337-82B1-4BD693F48E34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xmlns="" id="{5757FF52-3B75-4219-98FF-294F5476A70A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xmlns="" id="{2AA4DA3D-3502-4480-8C4B-E05492D1B03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1FB54DBA-D29D-41AE-A54B-F9AD202668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xmlns="" id="{7993E2F0-C277-44A9-979C-C3D6E45465A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5861FDE9-1928-4C2D-A02B-E531484DE39C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xmlns="" id="{B0FBCDA7-5A87-4E44-A248-71EAE6B19846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xmlns="" id="{B790ABBF-6D63-4A90-A509-DCF54495A25D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EB82FC7E-111C-448F-B88E-125B7B0788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xmlns="" id="{DD25B308-83DE-4CFF-881C-46C473EC4583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xmlns="" id="{E91E3519-00DB-4F92-903A-12233154B6F5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4251995D-8CE5-4E29-8E41-F934B9B26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127081</xdr:colOff>
      <xdr:row>0</xdr:row>
      <xdr:rowOff>0</xdr:rowOff>
    </xdr:from>
    <xdr:to>
      <xdr:col>14</xdr:col>
      <xdr:colOff>1582022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0608747A-43AA-4379-9776-3AE352E4B549}"/>
            </a:ext>
          </a:extLst>
        </xdr:cNvPr>
        <xdr:cNvSpPr/>
      </xdr:nvSpPr>
      <xdr:spPr>
        <a:xfrm>
          <a:off x="13252531" y="0"/>
          <a:ext cx="1454941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77804</xdr:colOff>
      <xdr:row>2</xdr:row>
      <xdr:rowOff>384583</xdr:rowOff>
    </xdr:from>
    <xdr:to>
      <xdr:col>14</xdr:col>
      <xdr:colOff>1668898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8590B1BE-8666-4CC2-8ED3-A6539C467B42}"/>
            </a:ext>
          </a:extLst>
        </xdr:cNvPr>
        <xdr:cNvSpPr txBox="1"/>
      </xdr:nvSpPr>
      <xdr:spPr>
        <a:xfrm rot="10800000" flipH="1" flipV="1">
          <a:off x="13203254" y="76558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14</xdr:col>
      <xdr:colOff>559501</xdr:colOff>
      <xdr:row>0</xdr:row>
      <xdr:rowOff>136274</xdr:rowOff>
    </xdr:from>
    <xdr:to>
      <xdr:col>14</xdr:col>
      <xdr:colOff>1149602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C60848CE-4085-4712-AC9C-8418C0C01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0101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3757362</xdr:colOff>
      <xdr:row>0</xdr:row>
      <xdr:rowOff>0</xdr:rowOff>
    </xdr:from>
    <xdr:to>
      <xdr:col>14</xdr:col>
      <xdr:colOff>5231316</xdr:colOff>
      <xdr:row>3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xmlns="" id="{C07F0C5D-690E-4F11-B3D3-B66F0D5336F9}"/>
            </a:ext>
          </a:extLst>
        </xdr:cNvPr>
        <xdr:cNvSpPr/>
      </xdr:nvSpPr>
      <xdr:spPr>
        <a:xfrm>
          <a:off x="16882812" y="0"/>
          <a:ext cx="1473954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3707441</xdr:colOff>
      <xdr:row>2</xdr:row>
      <xdr:rowOff>384583</xdr:rowOff>
    </xdr:from>
    <xdr:to>
      <xdr:col>14</xdr:col>
      <xdr:colOff>5319327</xdr:colOff>
      <xdr:row>2</xdr:row>
      <xdr:rowOff>762890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xmlns="" id="{DA3B39FC-964E-4195-BF1B-BEDD4B0B9673}"/>
            </a:ext>
          </a:extLst>
        </xdr:cNvPr>
        <xdr:cNvSpPr txBox="1"/>
      </xdr:nvSpPr>
      <xdr:spPr>
        <a:xfrm rot="10800000" flipH="1" flipV="1">
          <a:off x="16832891" y="76558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14</xdr:col>
      <xdr:colOff>4196626</xdr:colOff>
      <xdr:row>0</xdr:row>
      <xdr:rowOff>136274</xdr:rowOff>
    </xdr:from>
    <xdr:to>
      <xdr:col>14</xdr:col>
      <xdr:colOff>4792050</xdr:colOff>
      <xdr:row>2</xdr:row>
      <xdr:rowOff>354262</xdr:rowOff>
    </xdr:to>
    <xdr:pic>
      <xdr:nvPicPr>
        <xdr:cNvPr id="2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94D4CED-EE87-41C5-8D68-189BE673F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2076" y="136274"/>
          <a:ext cx="595424" cy="59898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537970</xdr:colOff>
      <xdr:row>0</xdr:row>
      <xdr:rowOff>0</xdr:rowOff>
    </xdr:from>
    <xdr:to>
      <xdr:col>16</xdr:col>
      <xdr:colOff>1368480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BDC9312A-A584-4995-B0D2-162B9163CF4F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B499945A-2380-466E-8334-A47464A5ECB5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DD6D6201-7664-4722-8BCA-6D4CDA84FA7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25AB89-FDCC-4737-939F-96798ED279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3407023</xdr:colOff>
      <xdr:row>0</xdr:row>
      <xdr:rowOff>0</xdr:rowOff>
    </xdr:from>
    <xdr:to>
      <xdr:col>18</xdr:col>
      <xdr:colOff>538984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07850A42-372B-4048-AB6E-E630F3A11BAE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21CA50E8-FC54-47FC-A8F7-C002ACB84915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DF9894F9-8685-4961-9B8F-1EAEE5A8F921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702C2B5-2799-403C-84CB-A739C8D9C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748728</xdr:colOff>
      <xdr:row>0</xdr:row>
      <xdr:rowOff>0</xdr:rowOff>
    </xdr:from>
    <xdr:to>
      <xdr:col>23</xdr:col>
      <xdr:colOff>556197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D3EB33B1-6D51-44FF-80A0-5724EE6CF573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76D16455-DB83-48EE-96A0-D9158C5D5A3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87DDF663-9193-48BC-B289-28D0C4ECD15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953A90D1-FA59-4530-8CB7-2DEFB9AE0D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2594739</xdr:colOff>
      <xdr:row>0</xdr:row>
      <xdr:rowOff>0</xdr:rowOff>
    </xdr:from>
    <xdr:to>
      <xdr:col>25</xdr:col>
      <xdr:colOff>78108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xmlns="" id="{E27AD3C6-1B40-4741-BA9F-A51A263294EA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xmlns="" id="{B728BFFD-D4DD-4826-A341-B57F94DDED8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xmlns="" id="{50A3F587-30A6-462F-90CD-41B118AC8DE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xmlns="" id="{9847A16C-B673-4B97-9C39-24B5DEF350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5105400</xdr:colOff>
      <xdr:row>21</xdr:row>
      <xdr:rowOff>323850</xdr:rowOff>
    </xdr:from>
    <xdr:to>
      <xdr:col>15</xdr:col>
      <xdr:colOff>266700</xdr:colOff>
      <xdr:row>25</xdr:row>
      <xdr:rowOff>30182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xmlns="" id="{5FFA322F-3D67-4C27-8CDB-C5F0F2263CA7}"/>
            </a:ext>
          </a:extLst>
        </xdr:cNvPr>
        <xdr:cNvSpPr/>
      </xdr:nvSpPr>
      <xdr:spPr>
        <a:xfrm>
          <a:off x="18230850" y="77152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</a:p>
      </xdr:txBody>
    </xdr: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xmlns="" id="{8B074F1A-66A7-4F1C-8C49-CA74BA53AA09}"/>
            </a:ext>
          </a:extLst>
        </xdr:cNvPr>
        <xdr:cNvSpPr/>
      </xdr:nvSpPr>
      <xdr:spPr>
        <a:xfrm>
          <a:off x="266700" y="132568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1314450</xdr:colOff>
      <xdr:row>5</xdr:row>
      <xdr:rowOff>171450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xmlns="" id="{11EB1B90-80FA-4E2D-82A5-5D0BFBA8C6A9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415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xmlns="" id="{127DC4B7-C85B-427B-A26E-75E11C8BAF48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14</xdr:col>
      <xdr:colOff>2990850</xdr:colOff>
      <xdr:row>3</xdr:row>
      <xdr:rowOff>152400</xdr:rowOff>
    </xdr:from>
    <xdr:to>
      <xdr:col>14</xdr:col>
      <xdr:colOff>6389250</xdr:colOff>
      <xdr:row>5</xdr:row>
      <xdr:rowOff>141750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xmlns="" id="{C3F39354-B16B-4C45-84F7-746106A3C8E5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16300" y="13144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5238750</xdr:colOff>
      <xdr:row>36</xdr:row>
      <xdr:rowOff>238125</xdr:rowOff>
    </xdr:from>
    <xdr:to>
      <xdr:col>15</xdr:col>
      <xdr:colOff>357187</xdr:colOff>
      <xdr:row>39</xdr:row>
      <xdr:rowOff>279626</xdr:rowOff>
    </xdr:to>
    <xdr:sp macro="" textlink="">
      <xdr:nvSpPr>
        <xdr:cNvPr id="48" name="Retângulo Arredondado 11">
          <a:extLst>
            <a:ext uri="{FF2B5EF4-FFF2-40B4-BE49-F238E27FC236}">
              <a16:creationId xmlns:a16="http://schemas.microsoft.com/office/drawing/2014/main" xmlns="" id="{74388647-0594-438F-952D-450E34D10CFB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8352770" y="12757785"/>
          <a:ext cx="1930717" cy="1138781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SOLICITAR</a:t>
          </a:r>
          <a:endParaRPr lang="en-US" sz="1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45C8541E-6C05-4516-8368-A6E2147575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72EBABE5-3FAB-405B-BC0D-575DAA695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B7782554-39C6-4106-A724-E608CCAC513A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35CF85BF-C7EB-4DE5-8FE5-87898D0975E8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xmlns="" id="{B810FAA7-A784-4E8D-9C4D-D4E3E358CE7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9B892709-3557-4A7B-96BD-89BB600510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xmlns="" id="{E24FBE7D-EB33-47F9-A6E5-38871493891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F5ADD9BD-6FF1-436C-9B9D-A0F2A213E41F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2A93A61E-F554-4236-9ECF-FB14FCA4D142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xmlns="" id="{A2CD40CF-3AFA-4617-A320-A46F8AAED83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FD066335-419B-45E4-8FEF-76C28053B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5A436CE2-8405-4EA3-B0FE-ACEA736CA072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B7E166D7-5F91-4D89-98F3-A4C27B232BAC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CF0A7EB1-C198-49AC-9C48-9F7611872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1498681</xdr:colOff>
      <xdr:row>0</xdr:row>
      <xdr:rowOff>0</xdr:rowOff>
    </xdr:from>
    <xdr:to>
      <xdr:col>14</xdr:col>
      <xdr:colOff>858122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xmlns="" id="{0A9A283D-DC4F-4801-9FD5-184429695C34}"/>
            </a:ext>
          </a:extLst>
        </xdr:cNvPr>
        <xdr:cNvSpPr/>
      </xdr:nvSpPr>
      <xdr:spPr>
        <a:xfrm>
          <a:off x="1323348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1449404</xdr:colOff>
      <xdr:row>2</xdr:row>
      <xdr:rowOff>384583</xdr:rowOff>
    </xdr:from>
    <xdr:to>
      <xdr:col>14</xdr:col>
      <xdr:colOff>944998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xmlns="" id="{916A70B6-81FD-4D55-B831-26A9772E5D2F}"/>
            </a:ext>
          </a:extLst>
        </xdr:cNvPr>
        <xdr:cNvSpPr txBox="1"/>
      </xdr:nvSpPr>
      <xdr:spPr>
        <a:xfrm rot="10800000" flipH="1" flipV="1">
          <a:off x="1318420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13</xdr:col>
      <xdr:colOff>1931101</xdr:colOff>
      <xdr:row>0</xdr:row>
      <xdr:rowOff>136274</xdr:rowOff>
    </xdr:from>
    <xdr:to>
      <xdr:col>14</xdr:col>
      <xdr:colOff>425702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B4B6AD15-03F6-49BD-9D7E-4D2E0BF0E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90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15</xdr:col>
      <xdr:colOff>1014162</xdr:colOff>
      <xdr:row>0</xdr:row>
      <xdr:rowOff>0</xdr:rowOff>
    </xdr:from>
    <xdr:to>
      <xdr:col>15</xdr:col>
      <xdr:colOff>2488116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C9708D59-C75C-4085-AD14-585D8BA4E575}"/>
            </a:ext>
          </a:extLst>
        </xdr:cNvPr>
        <xdr:cNvSpPr/>
      </xdr:nvSpPr>
      <xdr:spPr>
        <a:xfrm>
          <a:off x="1686376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964241</xdr:colOff>
      <xdr:row>2</xdr:row>
      <xdr:rowOff>384583</xdr:rowOff>
    </xdr:from>
    <xdr:to>
      <xdr:col>15</xdr:col>
      <xdr:colOff>2576127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D314684A-B931-4DBD-ACA8-EBB2FCE174B5}"/>
            </a:ext>
          </a:extLst>
        </xdr:cNvPr>
        <xdr:cNvSpPr txBox="1"/>
      </xdr:nvSpPr>
      <xdr:spPr>
        <a:xfrm rot="10800000" flipH="1" flipV="1">
          <a:off x="1681384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15</xdr:col>
      <xdr:colOff>1453426</xdr:colOff>
      <xdr:row>0</xdr:row>
      <xdr:rowOff>136274</xdr:rowOff>
    </xdr:from>
    <xdr:to>
      <xdr:col>15</xdr:col>
      <xdr:colOff>2048850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46F057C-B2C5-4B11-B1A8-049817D7D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0302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4614670</xdr:colOff>
      <xdr:row>0</xdr:row>
      <xdr:rowOff>0</xdr:rowOff>
    </xdr:from>
    <xdr:to>
      <xdr:col>17</xdr:col>
      <xdr:colOff>111180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92B4A6E6-BFED-45F6-A39A-7687BAA780D6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DDA0DFA9-1D4A-4738-8C85-7488E365913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7F86B9B5-9ECD-4EA9-9215-4862AD1819C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C14BF5F0-91FC-4439-A574-EE711676B9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320923</xdr:colOff>
      <xdr:row>0</xdr:row>
      <xdr:rowOff>0</xdr:rowOff>
    </xdr:from>
    <xdr:to>
      <xdr:col>21</xdr:col>
      <xdr:colOff>1300984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C9428A26-59BF-4ABD-BD8D-D6F7F7887A9F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7CB77C83-05AB-4F38-BE04-55731EEC623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FF2F9074-71F7-4056-9D02-263C41C0530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C91B3270-C91F-4DBF-B3C0-D54C7578B1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1548828</xdr:colOff>
      <xdr:row>0</xdr:row>
      <xdr:rowOff>0</xdr:rowOff>
    </xdr:from>
    <xdr:to>
      <xdr:col>23</xdr:col>
      <xdr:colOff>3146997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E5160F03-ED0C-46D3-927D-C273CCB8A585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A3762977-B10C-4BF2-8E4B-569643DFC14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265A7E54-CDA8-4BA7-9398-A9C954D401AD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E0EAE943-3B03-45E5-AD67-F62AB8325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26</xdr:col>
      <xdr:colOff>461139</xdr:colOff>
      <xdr:row>0</xdr:row>
      <xdr:rowOff>0</xdr:rowOff>
    </xdr:from>
    <xdr:to>
      <xdr:col>29</xdr:col>
      <xdr:colOff>230508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6DC8FFC0-99F5-4CD7-BCD2-E526F582629F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910A98FB-642A-4854-9AF5-15806E5D6F45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6F9EF9A9-A730-4D00-8F8B-8C43D53605A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xmlns="" id="{9D13A87E-CC0A-41C1-BB63-00FF672E1A0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3A14BEF6-FB07-4238-83D1-4985C31099B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590550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8197470C-1DEF-4A68-88EF-EC336AB8FA54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0070" y="13251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5DEFB26F-FFA9-4ADE-86AF-34CF63E3620B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15</xdr:col>
      <xdr:colOff>247650</xdr:colOff>
      <xdr:row>3</xdr:row>
      <xdr:rowOff>152400</xdr:rowOff>
    </xdr:from>
    <xdr:to>
      <xdr:col>15</xdr:col>
      <xdr:colOff>3646050</xdr:colOff>
      <xdr:row>5</xdr:row>
      <xdr:rowOff>141750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xmlns="" id="{7C75B8A1-3107-4434-8A6F-0AA8D2B4AF4A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09725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1265464</xdr:colOff>
      <xdr:row>41</xdr:row>
      <xdr:rowOff>89808</xdr:rowOff>
    </xdr:from>
    <xdr:to>
      <xdr:col>15</xdr:col>
      <xdr:colOff>2326820</xdr:colOff>
      <xdr:row>45</xdr:row>
      <xdr:rowOff>58987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xmlns="" id="{E9D0DFA0-A85E-4E3A-B462-C34BD01B0BA0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5114814" y="14720208"/>
          <a:ext cx="3080656" cy="141697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93ED85F0-BD04-45BE-A589-04A4AC4EFC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277722B8-CB29-4AA2-8640-8B5E9BE79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A0B4ABE6-E4BA-48CF-AB55-103DF3B14414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D14B7D30-9DED-4A0B-8B0A-5444D0197337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xmlns="" id="{6350B1F5-8D0F-43BE-A770-07938817B73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405FF1BC-66E1-4F83-810E-A9E3BCF9AD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xmlns="" id="{0670B415-D971-4F0A-B946-DFB0330C2EA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9FCDAE7E-49EF-48D0-9C10-F9201F899824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3D6A82C0-C694-402C-8A98-E5347732AC5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xmlns="" id="{808A6118-C8E4-4053-AA9F-E692482AD7BE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91BF0C4E-13E1-456D-A47C-448373250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1462639</xdr:colOff>
      <xdr:row>0</xdr:row>
      <xdr:rowOff>0</xdr:rowOff>
    </xdr:from>
    <xdr:to>
      <xdr:col>7</xdr:col>
      <xdr:colOff>1133348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D70F3724-498A-41E2-9CC2-BED2633C2F5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1413143</xdr:colOff>
      <xdr:row>2</xdr:row>
      <xdr:rowOff>384583</xdr:rowOff>
    </xdr:from>
    <xdr:to>
      <xdr:col>7</xdr:col>
      <xdr:colOff>1220610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F9113E8F-D46C-452B-9369-0139FF57C5BA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7</xdr:col>
      <xdr:colOff>103806</xdr:colOff>
      <xdr:row>0</xdr:row>
      <xdr:rowOff>136274</xdr:rowOff>
    </xdr:from>
    <xdr:to>
      <xdr:col>7</xdr:col>
      <xdr:colOff>701482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BC21EA39-302E-4293-AF22-073C1435C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1974931</xdr:colOff>
      <xdr:row>0</xdr:row>
      <xdr:rowOff>0</xdr:rowOff>
    </xdr:from>
    <xdr:to>
      <xdr:col>8</xdr:col>
      <xdr:colOff>3429872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xmlns="" id="{F0A9CC48-0A00-4A17-9C73-C71AF77BD9EE}"/>
            </a:ext>
          </a:extLst>
        </xdr:cNvPr>
        <xdr:cNvSpPr/>
      </xdr:nvSpPr>
      <xdr:spPr>
        <a:xfrm>
          <a:off x="1324110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1925654</xdr:colOff>
      <xdr:row>2</xdr:row>
      <xdr:rowOff>384583</xdr:rowOff>
    </xdr:from>
    <xdr:to>
      <xdr:col>8</xdr:col>
      <xdr:colOff>3516748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xmlns="" id="{EF3EF580-ACAC-4552-A01C-5867AF3643B9}"/>
            </a:ext>
          </a:extLst>
        </xdr:cNvPr>
        <xdr:cNvSpPr txBox="1"/>
      </xdr:nvSpPr>
      <xdr:spPr>
        <a:xfrm rot="10800000" flipH="1" flipV="1">
          <a:off x="1319182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2407351</xdr:colOff>
      <xdr:row>0</xdr:row>
      <xdr:rowOff>136274</xdr:rowOff>
    </xdr:from>
    <xdr:to>
      <xdr:col>8</xdr:col>
      <xdr:colOff>2997452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E9FD2D-3BA8-4514-8D18-721A5295A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7352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5605212</xdr:colOff>
      <xdr:row>0</xdr:row>
      <xdr:rowOff>0</xdr:rowOff>
    </xdr:from>
    <xdr:to>
      <xdr:col>8</xdr:col>
      <xdr:colOff>7079166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EEA4A38C-6B4D-468A-8C2A-E542DFA0F9BF}"/>
            </a:ext>
          </a:extLst>
        </xdr:cNvPr>
        <xdr:cNvSpPr/>
      </xdr:nvSpPr>
      <xdr:spPr>
        <a:xfrm>
          <a:off x="1687138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5555291</xdr:colOff>
      <xdr:row>2</xdr:row>
      <xdr:rowOff>384583</xdr:rowOff>
    </xdr:from>
    <xdr:to>
      <xdr:col>9</xdr:col>
      <xdr:colOff>4377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2753D608-FE3F-46D4-A086-D62DE3193288}"/>
            </a:ext>
          </a:extLst>
        </xdr:cNvPr>
        <xdr:cNvSpPr txBox="1"/>
      </xdr:nvSpPr>
      <xdr:spPr>
        <a:xfrm rot="10800000" flipH="1" flipV="1">
          <a:off x="1682146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8</xdr:col>
      <xdr:colOff>6044476</xdr:colOff>
      <xdr:row>0</xdr:row>
      <xdr:rowOff>136274</xdr:rowOff>
    </xdr:from>
    <xdr:to>
      <xdr:col>8</xdr:col>
      <xdr:colOff>6639900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746C5496-1341-430B-9A6A-86CFA7E90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1064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861820</xdr:colOff>
      <xdr:row>0</xdr:row>
      <xdr:rowOff>0</xdr:rowOff>
    </xdr:from>
    <xdr:to>
      <xdr:col>12</xdr:col>
      <xdr:colOff>701730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44090020-FF03-4E40-AFC2-EC0F5E4D7D4E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9AD5B5F0-753F-4094-AAF7-A4EC5476B6B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044FBAB5-202C-43ED-86DB-4893CAA5B81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BCD7EE1A-83E1-4A1C-84FA-FE698775B8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759073</xdr:colOff>
      <xdr:row>0</xdr:row>
      <xdr:rowOff>0</xdr:rowOff>
    </xdr:from>
    <xdr:to>
      <xdr:col>13</xdr:col>
      <xdr:colOff>2348734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45755DF7-EEA5-4D41-B887-33E58CC010DC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23AA3D20-5CC5-42E1-B852-F5A21B41E56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1B4AAC7E-4D0F-4BCD-8BFC-A708E0A1590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535AAA52-AF81-483A-A8DA-069C5A560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1110678</xdr:colOff>
      <xdr:row>0</xdr:row>
      <xdr:rowOff>0</xdr:rowOff>
    </xdr:from>
    <xdr:to>
      <xdr:col>15</xdr:col>
      <xdr:colOff>689547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DA012808-C9D7-440A-B8CE-0269F10B5DB0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8436F0D3-217B-446D-A7C9-0D9BC5BA299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AF48C6EC-2FA0-4DA9-90EC-A8256566D45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1F8EE4F4-ABE8-427F-8701-9F8AAC3952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2728089</xdr:colOff>
      <xdr:row>0</xdr:row>
      <xdr:rowOff>0</xdr:rowOff>
    </xdr:from>
    <xdr:to>
      <xdr:col>15</xdr:col>
      <xdr:colOff>4326258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1A301D0D-CA68-42B5-9B81-1B1BE87EF755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9C836EF7-1716-4807-A70E-C9A4754062E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54517361-3E32-4434-8145-C63E7DEFCDA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xmlns="" id="{588CA214-0C55-4B7A-84F9-B1D9B375461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xmlns="" id="{ED85A38F-97B2-41CA-A53E-0A28E436336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1097400</xdr:colOff>
      <xdr:row>3</xdr:row>
      <xdr:rowOff>182100</xdr:rowOff>
    </xdr:from>
    <xdr:to>
      <xdr:col>8</xdr:col>
      <xdr:colOff>3162300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E722DB31-F0B4-4DA8-81FB-49618AF9368E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007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1074300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A24B4A65-1D03-4E85-8D27-9C7BF74D9F93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8</xdr:col>
      <xdr:colOff>4838700</xdr:colOff>
      <xdr:row>3</xdr:row>
      <xdr:rowOff>152400</xdr:rowOff>
    </xdr:from>
    <xdr:to>
      <xdr:col>10</xdr:col>
      <xdr:colOff>198000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6AD459D3-BF8E-4252-90EB-316577D58509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0487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4</xdr:col>
      <xdr:colOff>1861458</xdr:colOff>
      <xdr:row>29</xdr:row>
      <xdr:rowOff>43543</xdr:rowOff>
    </xdr:from>
    <xdr:to>
      <xdr:col>4</xdr:col>
      <xdr:colOff>3537857</xdr:colOff>
      <xdr:row>33</xdr:row>
      <xdr:rowOff>23609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xmlns="" id="{8D49897E-7824-4634-A7A6-8F6B64A4C109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4909458" y="6139543"/>
          <a:ext cx="1676399" cy="742066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15</xdr:col>
      <xdr:colOff>742950</xdr:colOff>
      <xdr:row>42</xdr:row>
      <xdr:rowOff>247650</xdr:rowOff>
    </xdr:from>
    <xdr:to>
      <xdr:col>15</xdr:col>
      <xdr:colOff>3600450</xdr:colOff>
      <xdr:row>46</xdr:row>
      <xdr:rowOff>171450</xdr:rowOff>
    </xdr:to>
    <xdr:sp macro="" textlink="">
      <xdr:nvSpPr>
        <xdr:cNvPr id="45" name="Retângulo Arredondado 11">
          <a:extLst>
            <a:ext uri="{FF2B5EF4-FFF2-40B4-BE49-F238E27FC236}">
              <a16:creationId xmlns:a16="http://schemas.microsoft.com/office/drawing/2014/main" xmlns="" id="{67FFF683-4937-4198-888C-93419B40E7EA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9394150" y="15240000"/>
          <a:ext cx="2857500" cy="137160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AGENDAR PAGAMENTO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7CB1DA02-672E-49CE-AAE2-D12C8E0383EB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DDD6C545-B0C6-45C4-A3D7-F7B589F4C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D99386C1-1B58-4444-9F5A-62B8139CA9AF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378CF45A-CED6-4FEF-B9C7-B5884D300F01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xmlns="" id="{6444CBA6-7E2F-49C4-A6A0-B35E2A1AC67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51B69011-5857-4831-9CC3-C7376AAE44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xmlns="" id="{A04EFCC8-CA5F-4638-B4DA-EDC4ED9EC12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C53CE4BE-6C1B-4516-A7FE-A8D4526D126A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6EE61985-465C-4439-AD6F-BFC327CDCF0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xmlns="" id="{E1FC145A-5C09-4194-B302-EE7AED3D28F0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18AA5AB3-1C39-4695-B6E0-58092BB07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6E822BBE-92C7-4BEA-86FC-13A8926EAA97}"/>
            </a:ext>
          </a:extLst>
        </xdr:cNvPr>
        <xdr:cNvSpPr/>
      </xdr:nvSpPr>
      <xdr:spPr>
        <a:xfrm>
          <a:off x="963127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F0A93E42-467A-4ADC-91E8-EB48B9B887EF}"/>
            </a:ext>
          </a:extLst>
        </xdr:cNvPr>
        <xdr:cNvSpPr txBox="1"/>
      </xdr:nvSpPr>
      <xdr:spPr>
        <a:xfrm rot="10800000" flipH="1" flipV="1">
          <a:off x="958178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B41E711D-CBC0-44B5-8D3E-5A937D7AD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xmlns="" id="{5860986A-C6E8-475F-97E4-2F3F2C136A5E}"/>
            </a:ext>
          </a:extLst>
        </xdr:cNvPr>
        <xdr:cNvSpPr/>
      </xdr:nvSpPr>
      <xdr:spPr>
        <a:xfrm>
          <a:off x="1326015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xmlns="" id="{B7181FA4-9364-43E8-84FB-4931D409FE32}"/>
            </a:ext>
          </a:extLst>
        </xdr:cNvPr>
        <xdr:cNvSpPr txBox="1"/>
      </xdr:nvSpPr>
      <xdr:spPr>
        <a:xfrm rot="10800000" flipH="1" flipV="1">
          <a:off x="1321087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456BC947-10E7-4C33-90BF-0781E84CF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C609E389-6431-4BB1-9AAA-8D9F932F8BA0}"/>
            </a:ext>
          </a:extLst>
        </xdr:cNvPr>
        <xdr:cNvSpPr/>
      </xdr:nvSpPr>
      <xdr:spPr>
        <a:xfrm>
          <a:off x="1689043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DAF3FCA3-10F1-47E5-825D-CC508BBB3E98}"/>
            </a:ext>
          </a:extLst>
        </xdr:cNvPr>
        <xdr:cNvSpPr txBox="1"/>
      </xdr:nvSpPr>
      <xdr:spPr>
        <a:xfrm rot="10800000" flipH="1" flipV="1">
          <a:off x="16840511" y="750343"/>
          <a:ext cx="160426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D4F678D3-A941-467F-8D1B-6DAB2FB1B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969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0DD6EF55-777B-4EE1-B873-4A8BA8386555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27F37CFF-3243-4D6F-8A1E-4663D1294C8B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BAF1D273-6BE9-41F4-8B74-C7D01458B074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DA03A94A-D1F1-49F5-B466-9539A37F0A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020C324A-DD0A-4650-9171-EC72B10BAFB7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72E871C4-2754-40F9-9950-D66721129EF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3B280B72-084D-4250-8314-68AF4B689BA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F472B317-3106-45AA-95EA-FBD9FDA301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196278</xdr:colOff>
      <xdr:row>0</xdr:row>
      <xdr:rowOff>0</xdr:rowOff>
    </xdr:from>
    <xdr:to>
      <xdr:col>15</xdr:col>
      <xdr:colOff>1794447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16AF4077-8FB5-40AF-AD4F-BE2CC5618E49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73BC4571-A299-4C32-9B21-33153CED9B4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465C5C58-B922-4713-94C7-CD918550766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F6FA71C7-2B13-4EAB-B4B5-5882888679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BF28844F-14CF-42A2-B6D7-279E620C8F3A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3C19F0CB-816C-4528-A7EB-B76A6339195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74F14F2F-768C-4DC4-9838-AD93D1B5279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xmlns="" id="{02612C3C-E952-4CBF-9F56-DBCE6E97F3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xmlns="" id="{035B830B-978F-4814-B1F3-6833895FE037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020D734E-8061-4266-9313-DC9F2388A632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4912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156369B9-A214-4793-8688-DC6F56F3B8F8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5B40B346-2CBB-4F16-A347-297DE7DB9811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23920" y="1295400"/>
          <a:ext cx="338316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8853C2B9-A005-47C4-95A7-2973E6BD38B2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B89359E-25BC-4745-8E2E-616DF91E6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C4528AAB-0662-4300-8FE5-C188315D935F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CB7FAB36-F7FC-42D8-A40D-BDDE7FCA02C0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xmlns="" id="{6FA0A32B-E4A3-4454-938F-9D0640F27A4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6357D252-C1E3-4A10-94BD-225761466A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xmlns="" id="{7B1F5D71-897D-4465-9868-74DD10F7C97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0E3B20B4-162C-4DC1-A215-3DC5D5CDC8C6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699D0537-2360-49D7-B7B9-15556180B42F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xmlns="" id="{BB4B22F8-8233-45A4-9320-70150EAD2127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E7CF286-FC83-4B54-9708-36EEA571E4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2BC8FCCC-235C-4781-98A1-045CF690DD31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DF4B3964-DC30-4560-B4D9-1E26010A7810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4AA34A52-BEC7-430F-B626-BB3AED80A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xmlns="" id="{29F19953-24B1-4DC5-A968-DBA02B513D94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xmlns="" id="{539493A5-D564-4DB8-BB7B-31525028A809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265EFDE3-97F4-4C76-AAAA-663FC67AC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E65190E2-39D0-435E-A165-367C1FDFC5F0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0987B95D-1E16-4828-9022-63A289F8FFFC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25BF4659-3CD6-49F5-BF5B-F29DB5814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BC6C495F-2803-407A-BFF8-32B438FD0FEF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D96175DB-EEDB-423A-A78A-BFECB01735B4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F2B58EC1-806E-4DAB-B1DA-907538D3FD0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179E22F8-6855-4C25-B9AE-0BFED69AB3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5D911652-DD39-46DE-BA4E-13F74C44F35B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C26FA004-4446-4F49-8E41-A89BC089C6F5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B95BD5B2-3600-4848-B7D5-116B160AC07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BF0D2437-1BE8-4768-8827-BD7EB5575D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xmlns="" id="{5C63D4B9-7F7A-4CC6-8856-DA1E88D02C7E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xmlns="" id="{FD6D5BA0-100C-447B-8454-8187F30D19DE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4694876-AC9D-4993-AC4D-89C088B5C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xmlns="" id="{ED60FCCA-4F1B-480D-A390-5FF39E76D117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xmlns="" id="{C5E18D26-292C-47B9-9007-D388AC755DF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xmlns="" id="{1EB4955C-82D8-41A2-8B53-FB35D9057B1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xmlns="" id="{7BC915DA-434D-4599-B33A-203A43A8E02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xmlns="" id="{F1179D41-1685-47FD-9454-A0F2E0282C3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xmlns="" id="{F585051E-FF9C-47BF-B7BF-506CCF7E7D0F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067E99C8-4A5B-428B-9AA0-03AF38D4F989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731E4E62-937E-4A7C-8450-CEBBE7707F9C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C0E61361-B4FB-45F6-B826-E50DDD5F89D8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1600200</xdr:colOff>
      <xdr:row>10</xdr:row>
      <xdr:rowOff>228600</xdr:rowOff>
    </xdr:from>
    <xdr:to>
      <xdr:col>14</xdr:col>
      <xdr:colOff>514350</xdr:colOff>
      <xdr:row>49</xdr:row>
      <xdr:rowOff>65572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BA13621A-61E6-48E6-AF7B-D50777ED5B42}"/>
            </a:ext>
            <a:ext uri="{147F2762-F138-4A5C-976F-8EAC2B608ADB}">
              <a16:predDERef xmlns:a16="http://schemas.microsoft.com/office/drawing/2014/main" xmlns="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591800" y="3638550"/>
          <a:ext cx="15449550" cy="1395302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B1B43528-F9AD-49F0-9508-D2A0A26D917D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BE567A84-FA24-4BE8-9978-637DF59FF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3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A321360F-203F-47CE-9135-501C2E2D7549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1977C954-05CD-4B26-BE12-224CB46903DC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D874E3E9-EDBE-4B44-94CB-8F3E71636AEF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xmlns="" id="{8E797995-C7BE-4565-9F79-4CC86B219C09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306DDDCA-A09F-43A8-8FF6-4A468CE107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xmlns="" id="{D8296C6B-2002-4CD5-805C-0738D7A2F9F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15C3DBCB-88EF-4357-B7E9-21686792248B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12DAE44A-94B6-40C5-A443-C44D06344A4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xmlns="" id="{097C85D8-63E5-45CC-8C90-AF191B5294A1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904A3DE6-2DB1-4A49-B6DB-EEB3301619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C8B13264-AC93-4DAB-9215-1D9A0449F2C5}"/>
            </a:ext>
          </a:extLst>
        </xdr:cNvPr>
        <xdr:cNvSpPr/>
      </xdr:nvSpPr>
      <xdr:spPr>
        <a:xfrm>
          <a:off x="962365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7E416A98-C78D-4C74-80E2-493933B4B605}"/>
            </a:ext>
          </a:extLst>
        </xdr:cNvPr>
        <xdr:cNvSpPr txBox="1"/>
      </xdr:nvSpPr>
      <xdr:spPr>
        <a:xfrm rot="10800000" flipH="1" flipV="1">
          <a:off x="9574163" y="750343"/>
          <a:ext cx="159054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B4DEC335-9993-4297-A573-52C488993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xmlns="" id="{338A5E59-AA35-40EB-A736-674EE3FFCB8A}"/>
            </a:ext>
          </a:extLst>
        </xdr:cNvPr>
        <xdr:cNvSpPr/>
      </xdr:nvSpPr>
      <xdr:spPr>
        <a:xfrm>
          <a:off x="1326015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xmlns="" id="{0DAD36D9-1CCA-46BF-808C-5BF8E9AED294}"/>
            </a:ext>
          </a:extLst>
        </xdr:cNvPr>
        <xdr:cNvSpPr txBox="1"/>
      </xdr:nvSpPr>
      <xdr:spPr>
        <a:xfrm rot="10800000" flipH="1" flipV="1">
          <a:off x="13210874" y="750343"/>
          <a:ext cx="159871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85BE156-ABDC-45D6-B2D9-B48AA5440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B2D9501D-C1C3-458C-A2A8-4BAAE49F33A2}"/>
            </a:ext>
          </a:extLst>
        </xdr:cNvPr>
        <xdr:cNvSpPr/>
      </xdr:nvSpPr>
      <xdr:spPr>
        <a:xfrm>
          <a:off x="1690567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02139DBF-6654-4E05-B42E-88EA1B8976FC}"/>
            </a:ext>
          </a:extLst>
        </xdr:cNvPr>
        <xdr:cNvSpPr txBox="1"/>
      </xdr:nvSpPr>
      <xdr:spPr>
        <a:xfrm rot="10800000" flipH="1" flipV="1">
          <a:off x="16855751" y="750343"/>
          <a:ext cx="161188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C7E8AC6-8CC7-4810-9219-EAD9F18A5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4493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3507A104-25E4-4F3A-83DA-7EBD00CDCF73}"/>
            </a:ext>
          </a:extLst>
        </xdr:cNvPr>
        <xdr:cNvGrpSpPr/>
      </xdr:nvGrpSpPr>
      <xdr:grpSpPr>
        <a:xfrm>
          <a:off x="19930870" y="0"/>
          <a:ext cx="1592510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52A2DC10-D3D6-41ED-AB77-8C6BBBFB3FD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9D33434A-3976-4F76-BB49-41A6F419B1D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2067A9E1-5E3E-42C5-838D-2B89A122A9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33BAD891-5B2C-4C2B-A677-F27DC62CC986}"/>
            </a:ext>
          </a:extLst>
        </xdr:cNvPr>
        <xdr:cNvGrpSpPr/>
      </xdr:nvGrpSpPr>
      <xdr:grpSpPr>
        <a:xfrm>
          <a:off x="23509536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2E6F1C34-2349-4A24-9D50-FBF46F44838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DAB5B0A1-1F90-4560-A60A-6FBAFB44E89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82CC4D8D-3777-4DA5-BD06-B91D0884A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xmlns="" id="{D6AB1FAC-E734-4393-B1D2-73889FAFB55C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xmlns="" id="{302E4E0A-F2BB-47D1-97CA-4B449EE8817E}"/>
            </a:ext>
          </a:extLst>
        </xdr:cNvPr>
        <xdr:cNvSpPr txBox="1"/>
      </xdr:nvSpPr>
      <xdr:spPr>
        <a:xfrm rot="10800000" flipH="1" flipV="1">
          <a:off x="27765438" y="750343"/>
          <a:ext cx="1598169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C2644327-9514-4EF7-B23B-617407BEF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xmlns="" id="{8F9295F4-DB45-4D78-9517-D6AB6BE563CB}"/>
            </a:ext>
          </a:extLst>
        </xdr:cNvPr>
        <xdr:cNvGrpSpPr/>
      </xdr:nvGrpSpPr>
      <xdr:grpSpPr>
        <a:xfrm>
          <a:off x="30622052" y="0"/>
          <a:ext cx="1474344" cy="114300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xmlns="" id="{11A7B01C-5BF1-4FA2-88D7-C1DDE7AF1C73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xmlns="" id="{746C6BFE-4F96-4435-AE05-7EF9F262E55F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xmlns="" id="{47AF535F-0EB2-46F1-ABBA-431F0EED98D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xmlns="" id="{68B9A075-68E8-4879-A49B-7A5EA7ED9F3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xmlns="" id="{6C00C0E6-68D2-4BFE-9D09-707C66FAC4EF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1B146BF0-C4BF-4916-BA3E-AC17B6336206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4DE48FCA-52C1-4031-8822-568BCC35FCF4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3916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641ECE56-B29F-46D2-9930-F37B709102CF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xmlns="" id="{08688EFA-8ABA-4C87-A893-4FF8B983B6A0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29</xdr:row>
      <xdr:rowOff>57150</xdr:rowOff>
    </xdr:from>
    <xdr:to>
      <xdr:col>10</xdr:col>
      <xdr:colOff>1148986</xdr:colOff>
      <xdr:row>33</xdr:row>
      <xdr:rowOff>41569</xdr:rowOff>
    </xdr:to>
    <xdr:sp macro="[3]!cadastro_clientes" textlink="">
      <xdr:nvSpPr>
        <xdr:cNvPr id="44" name="Retângulo Arredondado 11">
          <a:extLst>
            <a:ext uri="{FF2B5EF4-FFF2-40B4-BE49-F238E27FC236}">
              <a16:creationId xmlns:a16="http://schemas.microsoft.com/office/drawing/2014/main" xmlns="" id="{9A0A41C8-9FDA-4773-802F-415316DCB152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4085570" y="1038225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E1A2F05A-3B61-4FEF-A478-77A2737D13DD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8F80844-F3B1-4769-AC9C-CFB6E85E8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1762125</xdr:colOff>
      <xdr:row>3</xdr:row>
      <xdr:rowOff>247650</xdr:rowOff>
    </xdr:from>
    <xdr:to>
      <xdr:col>13</xdr:col>
      <xdr:colOff>2133600</xdr:colOff>
      <xdr:row>4</xdr:row>
      <xdr:rowOff>125186</xdr:rowOff>
    </xdr:to>
    <xdr:sp macro="[3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D70A59E5-DFB7-47BE-A234-C19D7277B85F}"/>
            </a:ext>
          </a:extLst>
        </xdr:cNvPr>
        <xdr:cNvSpPr/>
      </xdr:nvSpPr>
      <xdr:spPr>
        <a:xfrm>
          <a:off x="25269825" y="1390650"/>
          <a:ext cx="371475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69E70D87-A1B8-445C-8A70-0384E2A9E535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3B96BE99-8B51-478F-B976-5092CDA78542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xmlns="" id="{97D669C0-9E76-4C15-B350-EB5D0367303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C2E75B2A-F5FD-4CDD-A770-DB0CF79C1E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xmlns="" id="{4B718BDF-1F33-4D3E-97AA-FEFE917303E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B2D796C3-0154-4725-A4E8-76472637CEE8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232E38E0-035D-4FC7-BE6F-49D9C5AA7A8A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xmlns="" id="{2E8AAA5A-6C21-42E1-9FCC-A5BC9C89B3EA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174E826A-1EBC-4B53-A4C4-DB135A96B8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171F1F73-167C-43AC-82B2-FE4BC1902FD4}"/>
            </a:ext>
          </a:extLst>
        </xdr:cNvPr>
        <xdr:cNvSpPr/>
      </xdr:nvSpPr>
      <xdr:spPr>
        <a:xfrm>
          <a:off x="962365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6144FCA0-C92C-4517-B721-A1A52255D41F}"/>
            </a:ext>
          </a:extLst>
        </xdr:cNvPr>
        <xdr:cNvSpPr txBox="1"/>
      </xdr:nvSpPr>
      <xdr:spPr>
        <a:xfrm rot="10800000" flipH="1" flipV="1">
          <a:off x="957416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5FE9092-692C-4C45-8C67-80DC2566D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xmlns="" id="{0B70191A-CB86-45D8-8970-CD5C98BD3FD3}"/>
            </a:ext>
          </a:extLst>
        </xdr:cNvPr>
        <xdr:cNvSpPr/>
      </xdr:nvSpPr>
      <xdr:spPr>
        <a:xfrm>
          <a:off x="1326015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xmlns="" id="{E44EB5A8-9F33-4ECF-9C67-39B1F4E22AB5}"/>
            </a:ext>
          </a:extLst>
        </xdr:cNvPr>
        <xdr:cNvSpPr txBox="1"/>
      </xdr:nvSpPr>
      <xdr:spPr>
        <a:xfrm rot="10800000" flipH="1" flipV="1">
          <a:off x="1321087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A207FDA-E5B0-4194-B13B-C9E274B02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395829E5-01A1-48A0-8725-8F70DCCA3072}"/>
            </a:ext>
          </a:extLst>
        </xdr:cNvPr>
        <xdr:cNvSpPr/>
      </xdr:nvSpPr>
      <xdr:spPr>
        <a:xfrm>
          <a:off x="1690567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3ED2FEF4-F1EE-4743-8617-3BEFA82CFDCE}"/>
            </a:ext>
          </a:extLst>
        </xdr:cNvPr>
        <xdr:cNvSpPr txBox="1"/>
      </xdr:nvSpPr>
      <xdr:spPr>
        <a:xfrm rot="10800000" flipH="1" flipV="1">
          <a:off x="1685575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69F52E5-2523-42FE-8DFF-CA714485C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4493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11</xdr:col>
      <xdr:colOff>714182</xdr:colOff>
      <xdr:row>0</xdr:row>
      <xdr:rowOff>0</xdr:rowOff>
    </xdr:from>
    <xdr:to>
      <xdr:col>12</xdr:col>
      <xdr:colOff>616005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4F6E7A58-B91A-4908-8490-A491D599BC14}"/>
            </a:ext>
          </a:extLst>
        </xdr:cNvPr>
        <xdr:cNvGrpSpPr/>
      </xdr:nvGrpSpPr>
      <xdr:grpSpPr>
        <a:xfrm>
          <a:off x="19930870" y="0"/>
          <a:ext cx="1592510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FD6FBCEC-E95A-414C-8333-ADB4FA2C165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26854ED1-6A00-4631-849F-C94630FADA87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809B1847-11A6-4057-B023-375EC7D08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673348</xdr:colOff>
      <xdr:row>0</xdr:row>
      <xdr:rowOff>0</xdr:rowOff>
    </xdr:from>
    <xdr:to>
      <xdr:col>13</xdr:col>
      <xdr:colOff>2177284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12C14D27-B3B7-4465-8AFD-9C33D6C8DA5B}"/>
            </a:ext>
          </a:extLst>
        </xdr:cNvPr>
        <xdr:cNvGrpSpPr/>
      </xdr:nvGrpSpPr>
      <xdr:grpSpPr>
        <a:xfrm>
          <a:off x="23509536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4A3BA37C-1F07-47BF-8309-C1E2D397007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CF070F36-D7D8-478E-A9F9-24B114A1753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12BD5260-642A-4CD9-B0A0-977A2C9D00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1007774</xdr:colOff>
      <xdr:row>0</xdr:row>
      <xdr:rowOff>0</xdr:rowOff>
    </xdr:from>
    <xdr:to>
      <xdr:col>15</xdr:col>
      <xdr:colOff>516560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xmlns="" id="{1BF1BF85-6A09-40DE-941B-942EC91C6F51}"/>
            </a:ext>
          </a:extLst>
        </xdr:cNvPr>
        <xdr:cNvSpPr/>
      </xdr:nvSpPr>
      <xdr:spPr>
        <a:xfrm>
          <a:off x="27799694" y="0"/>
          <a:ext cx="152046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958278</xdr:colOff>
      <xdr:row>2</xdr:row>
      <xdr:rowOff>384583</xdr:rowOff>
    </xdr:from>
    <xdr:to>
      <xdr:col>15</xdr:col>
      <xdr:colOff>603822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xmlns="" id="{3E2180C9-D61C-41B9-A46E-2E8E0B40D9C0}"/>
            </a:ext>
          </a:extLst>
        </xdr:cNvPr>
        <xdr:cNvSpPr txBox="1"/>
      </xdr:nvSpPr>
      <xdr:spPr>
        <a:xfrm rot="10800000" flipH="1" flipV="1">
          <a:off x="27750198" y="750343"/>
          <a:ext cx="165722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14</xdr:col>
      <xdr:colOff>1450618</xdr:colOff>
      <xdr:row>0</xdr:row>
      <xdr:rowOff>136274</xdr:rowOff>
    </xdr:from>
    <xdr:to>
      <xdr:col>15</xdr:col>
      <xdr:colOff>73712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76B2274-F897-4F7D-A626-B391BC513E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42538" y="136274"/>
          <a:ext cx="634774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2642364</xdr:colOff>
      <xdr:row>0</xdr:row>
      <xdr:rowOff>0</xdr:rowOff>
    </xdr:from>
    <xdr:to>
      <xdr:col>15</xdr:col>
      <xdr:colOff>4104802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xmlns="" id="{844B78B2-CE0D-431A-A505-8167FFF1B28A}"/>
            </a:ext>
          </a:extLst>
        </xdr:cNvPr>
        <xdr:cNvGrpSpPr/>
      </xdr:nvGrpSpPr>
      <xdr:grpSpPr>
        <a:xfrm>
          <a:off x="30622052" y="0"/>
          <a:ext cx="1462438" cy="114300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xmlns="" id="{951C03F3-AEF8-470B-A2E2-E624F907BB5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xmlns="" id="{DD652C70-CBAD-4DF1-9535-3AA4BAD0FAC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xmlns="" id="{26D72047-74BE-48DB-A9BE-22E1588EAAD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xmlns="" id="{84E4E27E-1A0F-4163-8194-09D1934777BB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xmlns="" id="{DCDC1D25-4069-4057-A0BB-C474E973C9E9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EA24D736-D377-4403-A442-B465F290E871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10</xdr:col>
      <xdr:colOff>3450788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40F3DC27-A6A5-4374-AFAD-2B58D6EB0D37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39160" y="1295400"/>
          <a:ext cx="333648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11</xdr:col>
      <xdr:colOff>1174774</xdr:colOff>
      <xdr:row>3</xdr:row>
      <xdr:rowOff>133350</xdr:rowOff>
    </xdr:from>
    <xdr:to>
      <xdr:col>13</xdr:col>
      <xdr:colOff>901287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83F6FD8C-382E-4699-AE8C-61364687D837}"/>
            </a:ext>
          </a:extLst>
        </xdr:cNvPr>
        <xdr:cNvSpPr/>
      </xdr:nvSpPr>
      <xdr:spPr>
        <a:xfrm>
          <a:off x="20948674" y="1276350"/>
          <a:ext cx="3460313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xmlns="" id="{DE331176-9587-4A3F-97E9-69F286C872D2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350770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1428750</xdr:colOff>
      <xdr:row>33</xdr:row>
      <xdr:rowOff>57150</xdr:rowOff>
    </xdr:from>
    <xdr:to>
      <xdr:col>10</xdr:col>
      <xdr:colOff>1034686</xdr:colOff>
      <xdr:row>37</xdr:row>
      <xdr:rowOff>41569</xdr:rowOff>
    </xdr:to>
    <xdr:sp macro="[3]!Controle_Vendas" textlink="">
      <xdr:nvSpPr>
        <xdr:cNvPr id="44" name="Retângulo Arredondado 11">
          <a:extLst>
            <a:ext uri="{FF2B5EF4-FFF2-40B4-BE49-F238E27FC236}">
              <a16:creationId xmlns:a16="http://schemas.microsoft.com/office/drawing/2014/main" xmlns="" id="{5D9695B1-7EB5-4CEB-9A73-D973E82B5289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3971270" y="1184529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A51D2CA7-80E5-496F-8F21-2B46BFE32F9D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D34153A3-6D37-48F5-8492-15F6CB2B4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2571750</xdr:colOff>
      <xdr:row>3</xdr:row>
      <xdr:rowOff>247650</xdr:rowOff>
    </xdr:from>
    <xdr:to>
      <xdr:col>13</xdr:col>
      <xdr:colOff>2943225</xdr:colOff>
      <xdr:row>4</xdr:row>
      <xdr:rowOff>125186</xdr:rowOff>
    </xdr:to>
    <xdr:sp macro="[3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5BDC9EDD-D4D5-49F6-8F29-87B810FE26A6}"/>
            </a:ext>
          </a:extLst>
        </xdr:cNvPr>
        <xdr:cNvSpPr/>
      </xdr:nvSpPr>
      <xdr:spPr>
        <a:xfrm>
          <a:off x="25241250" y="1390650"/>
          <a:ext cx="371475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A128125C-0428-4625-B986-FE83D5D710C8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A3B01CAF-E9BB-4B8E-8FAE-9C0CBBA3251B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55273" y="0"/>
          <a:ext cx="1459980" cy="1160318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xmlns="" id="{78E2C35C-73CB-4480-B6E5-DBB27AAE8DA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F2321A99-10B9-4674-B313-18E2A87F74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xmlns="" id="{2604C29A-5CCA-4FA4-B432-EC729DB48D3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7A60F8F3-9538-41D2-8B8E-431B4D45DE3A}"/>
            </a:ext>
          </a:extLst>
        </xdr:cNvPr>
        <xdr:cNvGrpSpPr/>
      </xdr:nvGrpSpPr>
      <xdr:grpSpPr>
        <a:xfrm>
          <a:off x="5853796" y="0"/>
          <a:ext cx="1452531" cy="1160318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05298AE1-21A2-4FB5-B942-8D65A5D2A909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xmlns="" id="{5CAB9FCF-81F5-4F0C-8689-07B18ADAF555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2A15EB39-5D19-4EE5-AFD5-25C5685B25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B04D370E-DA97-4E11-91C5-8AAD522C9253}"/>
            </a:ext>
          </a:extLst>
        </xdr:cNvPr>
        <xdr:cNvSpPr/>
      </xdr:nvSpPr>
      <xdr:spPr>
        <a:xfrm>
          <a:off x="962365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8DBFBC2E-5E4D-4899-8172-A0619D80B70A}"/>
            </a:ext>
          </a:extLst>
        </xdr:cNvPr>
        <xdr:cNvSpPr txBox="1"/>
      </xdr:nvSpPr>
      <xdr:spPr>
        <a:xfrm rot="10800000" flipH="1" flipV="1">
          <a:off x="9574163" y="750343"/>
          <a:ext cx="159054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2D71CF4-2A1A-4021-971D-2D038177DC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xmlns="" id="{EB7A7D5C-6F25-46F7-84C9-A22603F6CB9C}"/>
            </a:ext>
          </a:extLst>
        </xdr:cNvPr>
        <xdr:cNvSpPr/>
      </xdr:nvSpPr>
      <xdr:spPr>
        <a:xfrm>
          <a:off x="1326015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xmlns="" id="{2D93ED7F-971D-457A-8EFD-CD72B5DD71B1}"/>
            </a:ext>
          </a:extLst>
        </xdr:cNvPr>
        <xdr:cNvSpPr txBox="1"/>
      </xdr:nvSpPr>
      <xdr:spPr>
        <a:xfrm rot="10800000" flipH="1" flipV="1">
          <a:off x="13210874" y="750343"/>
          <a:ext cx="159871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53BBA4F-977C-4545-8377-CC2D731AF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C21BDA7D-266C-46BE-8D49-3C65C0769C34}"/>
            </a:ext>
          </a:extLst>
        </xdr:cNvPr>
        <xdr:cNvSpPr/>
      </xdr:nvSpPr>
      <xdr:spPr>
        <a:xfrm>
          <a:off x="1690567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B65800B2-B3A7-413C-9003-0248DB5E30B2}"/>
            </a:ext>
          </a:extLst>
        </xdr:cNvPr>
        <xdr:cNvSpPr txBox="1"/>
      </xdr:nvSpPr>
      <xdr:spPr>
        <a:xfrm rot="10800000" flipH="1" flipV="1">
          <a:off x="16855751" y="750343"/>
          <a:ext cx="161188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6139B93-76A8-4DE8-8231-2241B7404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4493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11</xdr:col>
      <xdr:colOff>1526453</xdr:colOff>
      <xdr:row>0</xdr:row>
      <xdr:rowOff>0</xdr:rowOff>
    </xdr:from>
    <xdr:to>
      <xdr:col>12</xdr:col>
      <xdr:colOff>1425630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886CAE5B-BE59-42B2-B0E9-9CE6C7050939}"/>
            </a:ext>
          </a:extLst>
        </xdr:cNvPr>
        <xdr:cNvGrpSpPr/>
      </xdr:nvGrpSpPr>
      <xdr:grpSpPr>
        <a:xfrm>
          <a:off x="19901044" y="0"/>
          <a:ext cx="1596359" cy="1160318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CBE36325-FAF1-4077-B089-4C7CD9252428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0D26BE41-148F-4EF1-9EE7-FAD7947E9E51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9009BEF4-22BD-41D3-AF77-7542492A3D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1482973</xdr:colOff>
      <xdr:row>0</xdr:row>
      <xdr:rowOff>0</xdr:rowOff>
    </xdr:from>
    <xdr:to>
      <xdr:col>13</xdr:col>
      <xdr:colOff>2986909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32CC3917-2026-43A2-91F9-F567CF4E7BE5}"/>
            </a:ext>
          </a:extLst>
        </xdr:cNvPr>
        <xdr:cNvGrpSpPr/>
      </xdr:nvGrpSpPr>
      <xdr:grpSpPr>
        <a:xfrm>
          <a:off x="23494382" y="0"/>
          <a:ext cx="1503936" cy="1160318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D049960C-C247-495D-A922-68096AC83E0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EE388CBF-4FF7-416C-8621-7B1EC5D8CDED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D4338DE-DC15-4CD5-AD5D-0497638374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1603087</xdr:colOff>
      <xdr:row>0</xdr:row>
      <xdr:rowOff>0</xdr:rowOff>
    </xdr:from>
    <xdr:to>
      <xdr:col>15</xdr:col>
      <xdr:colOff>230810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xmlns="" id="{18DCA761-837D-4BA1-90AD-AC9EEA5E5FA5}"/>
            </a:ext>
          </a:extLst>
        </xdr:cNvPr>
        <xdr:cNvSpPr/>
      </xdr:nvSpPr>
      <xdr:spPr>
        <a:xfrm>
          <a:off x="27777787" y="0"/>
          <a:ext cx="1546183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1553591</xdr:colOff>
      <xdr:row>2</xdr:row>
      <xdr:rowOff>384583</xdr:rowOff>
    </xdr:from>
    <xdr:to>
      <xdr:col>15</xdr:col>
      <xdr:colOff>318072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xmlns="" id="{8C619A31-E136-4FDF-9677-450822751B8B}"/>
            </a:ext>
          </a:extLst>
        </xdr:cNvPr>
        <xdr:cNvSpPr txBox="1"/>
      </xdr:nvSpPr>
      <xdr:spPr>
        <a:xfrm rot="10800000" flipH="1" flipV="1">
          <a:off x="27728291" y="750343"/>
          <a:ext cx="1682941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14</xdr:col>
      <xdr:colOff>2045931</xdr:colOff>
      <xdr:row>0</xdr:row>
      <xdr:rowOff>136274</xdr:rowOff>
    </xdr:from>
    <xdr:to>
      <xdr:col>14</xdr:col>
      <xdr:colOff>2624296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E5D74AE-A28B-424A-A906-E431F38E3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20631" y="136274"/>
          <a:ext cx="578365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2356614</xdr:colOff>
      <xdr:row>0</xdr:row>
      <xdr:rowOff>0</xdr:rowOff>
    </xdr:from>
    <xdr:to>
      <xdr:col>15</xdr:col>
      <xdr:colOff>3830958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xmlns="" id="{08A579C7-7443-4740-98E2-E0D145EC9E79}"/>
            </a:ext>
          </a:extLst>
        </xdr:cNvPr>
        <xdr:cNvGrpSpPr/>
      </xdr:nvGrpSpPr>
      <xdr:grpSpPr>
        <a:xfrm>
          <a:off x="30619887" y="0"/>
          <a:ext cx="1474344" cy="1160318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xmlns="" id="{C29F216F-0F6D-43E9-A7E3-5664FAD89BAD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xmlns="" id="{55E5E6D1-569A-4452-9262-9E350F8A9E16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xmlns="" id="{77DD303B-F289-49EC-9D72-EF22E8FC5C7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xmlns="" id="{483423B6-B624-4F7E-BC5E-53ADF5836B2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xmlns="" id="{B57E4C0D-2DC7-4A0B-BDAE-F26EF97A3B66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D13E0CCE-93AE-4E98-997D-D9F6F81F246E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617100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224F0652-D404-4421-83F2-2141E29D5685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39160" y="12954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293712</xdr:colOff>
      <xdr:row>3</xdr:row>
      <xdr:rowOff>133350</xdr:rowOff>
    </xdr:from>
    <xdr:to>
      <xdr:col>13</xdr:col>
      <xdr:colOff>1710912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DDB9485A-81E6-446A-ACFB-24080583AC6A}"/>
            </a:ext>
          </a:extLst>
        </xdr:cNvPr>
        <xdr:cNvSpPr/>
      </xdr:nvSpPr>
      <xdr:spPr>
        <a:xfrm>
          <a:off x="2097439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29</xdr:row>
      <xdr:rowOff>65315</xdr:rowOff>
    </xdr:from>
    <xdr:to>
      <xdr:col>13</xdr:col>
      <xdr:colOff>0</xdr:colOff>
      <xdr:row>32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xmlns="" id="{8DDE76E1-0D85-483B-A39F-C393DDB16F98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2669500" y="1039041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20</xdr:row>
      <xdr:rowOff>95250</xdr:rowOff>
    </xdr:from>
    <xdr:to>
      <xdr:col>10</xdr:col>
      <xdr:colOff>1148986</xdr:colOff>
      <xdr:row>24</xdr:row>
      <xdr:rowOff>79669</xdr:rowOff>
    </xdr:to>
    <xdr:sp macro="[3]!meta" textlink="">
      <xdr:nvSpPr>
        <xdr:cNvPr id="44" name="Retângulo Arredondado 11">
          <a:extLst>
            <a:ext uri="{FF2B5EF4-FFF2-40B4-BE49-F238E27FC236}">
              <a16:creationId xmlns:a16="http://schemas.microsoft.com/office/drawing/2014/main" xmlns="" id="{71BF4E26-109E-404C-8D19-EC4CB80D8A70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4085570" y="712851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1615770</xdr:colOff>
      <xdr:row>2</xdr:row>
      <xdr:rowOff>133894</xdr:rowOff>
    </xdr:from>
    <xdr:to>
      <xdr:col>3</xdr:col>
      <xdr:colOff>207980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39074656-E109-40C5-BC18-EB2BF08B782D}"/>
            </a:ext>
          </a:extLst>
        </xdr:cNvPr>
        <xdr:cNvSpPr txBox="1"/>
      </xdr:nvSpPr>
      <xdr:spPr>
        <a:xfrm rot="10800000" flipH="1" flipV="1">
          <a:off x="4450410" y="499654"/>
          <a:ext cx="1190630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2</xdr:col>
      <xdr:colOff>1952595</xdr:colOff>
      <xdr:row>0</xdr:row>
      <xdr:rowOff>91651</xdr:rowOff>
    </xdr:from>
    <xdr:to>
      <xdr:col>2</xdr:col>
      <xdr:colOff>2369831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FAB7064-EB0E-4B4B-9E70-F93492044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723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9</xdr:col>
      <xdr:colOff>476250</xdr:colOff>
      <xdr:row>3</xdr:row>
      <xdr:rowOff>247650</xdr:rowOff>
    </xdr:from>
    <xdr:to>
      <xdr:col>9</xdr:col>
      <xdr:colOff>847725</xdr:colOff>
      <xdr:row>4</xdr:row>
      <xdr:rowOff>125186</xdr:rowOff>
    </xdr:to>
    <xdr:sp macro="[3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613F1E82-CB11-4BB6-956B-574004B2EACD}"/>
            </a:ext>
          </a:extLst>
        </xdr:cNvPr>
        <xdr:cNvSpPr/>
      </xdr:nvSpPr>
      <xdr:spPr>
        <a:xfrm>
          <a:off x="25286970" y="1390650"/>
          <a:ext cx="371475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1</xdr:col>
      <xdr:colOff>1628775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0B42E7FF-E11B-4D78-B5DC-42A8FB686BE2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38375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1785937</xdr:colOff>
      <xdr:row>0</xdr:row>
      <xdr:rowOff>0</xdr:rowOff>
    </xdr:from>
    <xdr:to>
      <xdr:col>2</xdr:col>
      <xdr:colOff>1078980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ABEDB255-BA89-4086-BF57-C80FE398D864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74755" y="0"/>
          <a:ext cx="1457816" cy="1160318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xmlns="" id="{3C367525-EF0D-4CFB-B335-952EA4CBAAD3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19714028-AAFE-4516-B7AC-48FAF97AA0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xmlns="" id="{9A40E6E3-CF33-414B-BE86-1E11DB19939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593398</xdr:colOff>
      <xdr:row>0</xdr:row>
      <xdr:rowOff>0</xdr:rowOff>
    </xdr:from>
    <xdr:to>
      <xdr:col>3</xdr:col>
      <xdr:colOff>2041600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5F6E0785-95DB-4F44-BA31-07FF06139551}"/>
            </a:ext>
          </a:extLst>
        </xdr:cNvPr>
        <xdr:cNvGrpSpPr/>
      </xdr:nvGrpSpPr>
      <xdr:grpSpPr>
        <a:xfrm>
          <a:off x="5875443" y="0"/>
          <a:ext cx="1448202" cy="1160318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D91D3B0E-8CBF-4A00-B64C-6FB56F5E80A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xmlns="" id="{93CE3B24-33E5-424F-BD7F-0178C6714D0E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A6B138EB-98F2-48D0-B8FB-998CAB5BA7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4</xdr:col>
      <xdr:colOff>1124502</xdr:colOff>
      <xdr:row>0</xdr:row>
      <xdr:rowOff>0</xdr:rowOff>
    </xdr:from>
    <xdr:to>
      <xdr:col>4</xdr:col>
      <xdr:colOff>2533523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85E8286F-A857-4F98-BAD7-B320BC685BA5}"/>
            </a:ext>
          </a:extLst>
        </xdr:cNvPr>
        <xdr:cNvSpPr/>
      </xdr:nvSpPr>
      <xdr:spPr>
        <a:xfrm>
          <a:off x="9597942" y="0"/>
          <a:ext cx="140902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1075006</xdr:colOff>
      <xdr:row>2</xdr:row>
      <xdr:rowOff>384583</xdr:rowOff>
    </xdr:from>
    <xdr:to>
      <xdr:col>4</xdr:col>
      <xdr:colOff>2620785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9BE216D0-F6C5-4BAB-8009-0E1677DC2620}"/>
            </a:ext>
          </a:extLst>
        </xdr:cNvPr>
        <xdr:cNvSpPr txBox="1"/>
      </xdr:nvSpPr>
      <xdr:spPr>
        <a:xfrm rot="10800000" flipH="1" flipV="1">
          <a:off x="9548446" y="750343"/>
          <a:ext cx="1545779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1556369</xdr:colOff>
      <xdr:row>0</xdr:row>
      <xdr:rowOff>136274</xdr:rowOff>
    </xdr:from>
    <xdr:to>
      <xdr:col>4</xdr:col>
      <xdr:colOff>2154045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22A964E-9656-4745-BCBB-2A655E8FA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29809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5</xdr:col>
      <xdr:colOff>1360568</xdr:colOff>
      <xdr:row>0</xdr:row>
      <xdr:rowOff>0</xdr:rowOff>
    </xdr:from>
    <xdr:to>
      <xdr:col>5</xdr:col>
      <xdr:colOff>2777409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xmlns="" id="{B9C46248-5E1C-416F-805E-8E9E5F1C9D5D}"/>
            </a:ext>
          </a:extLst>
        </xdr:cNvPr>
        <xdr:cNvSpPr/>
      </xdr:nvSpPr>
      <xdr:spPr>
        <a:xfrm>
          <a:off x="13232528" y="0"/>
          <a:ext cx="14168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1311291</xdr:colOff>
      <xdr:row>2</xdr:row>
      <xdr:rowOff>384583</xdr:rowOff>
    </xdr:from>
    <xdr:to>
      <xdr:col>5</xdr:col>
      <xdr:colOff>2864285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xmlns="" id="{8D4C1010-1257-4DF1-965E-79AA5D8FB69E}"/>
            </a:ext>
          </a:extLst>
        </xdr:cNvPr>
        <xdr:cNvSpPr txBox="1"/>
      </xdr:nvSpPr>
      <xdr:spPr>
        <a:xfrm rot="10800000" flipH="1" flipV="1">
          <a:off x="13183251" y="750343"/>
          <a:ext cx="155299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1792988</xdr:colOff>
      <xdr:row>0</xdr:row>
      <xdr:rowOff>136274</xdr:rowOff>
    </xdr:from>
    <xdr:to>
      <xdr:col>5</xdr:col>
      <xdr:colOff>2344989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2C85D726-19B5-4AEA-9C05-39916397C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4948" y="136274"/>
          <a:ext cx="552001" cy="583748"/>
        </a:xfrm>
        <a:prstGeom prst="rect">
          <a:avLst/>
        </a:prstGeom>
      </xdr:spPr>
    </xdr:pic>
    <xdr:clientData/>
  </xdr:twoCellAnchor>
  <xdr:twoCellAnchor editAs="absolute">
    <xdr:from>
      <xdr:col>6</xdr:col>
      <xdr:colOff>1071312</xdr:colOff>
      <xdr:row>0</xdr:row>
      <xdr:rowOff>0</xdr:rowOff>
    </xdr:from>
    <xdr:to>
      <xdr:col>6</xdr:col>
      <xdr:colOff>2545266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96656C2B-1C17-4C1D-A21D-361CE90091D9}"/>
            </a:ext>
          </a:extLst>
        </xdr:cNvPr>
        <xdr:cNvSpPr/>
      </xdr:nvSpPr>
      <xdr:spPr>
        <a:xfrm>
          <a:off x="1689043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1021391</xdr:colOff>
      <xdr:row>2</xdr:row>
      <xdr:rowOff>384583</xdr:rowOff>
    </xdr:from>
    <xdr:to>
      <xdr:col>6</xdr:col>
      <xdr:colOff>2633277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1F20486C-423B-4C35-A6F2-6AC872FD6838}"/>
            </a:ext>
          </a:extLst>
        </xdr:cNvPr>
        <xdr:cNvSpPr txBox="1"/>
      </xdr:nvSpPr>
      <xdr:spPr>
        <a:xfrm rot="10800000" flipH="1" flipV="1">
          <a:off x="16840511" y="750343"/>
          <a:ext cx="161188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6</xdr:col>
      <xdr:colOff>1510576</xdr:colOff>
      <xdr:row>0</xdr:row>
      <xdr:rowOff>136274</xdr:rowOff>
    </xdr:from>
    <xdr:to>
      <xdr:col>6</xdr:col>
      <xdr:colOff>2106000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7D0F0E3-CF96-4038-BE81-A840EA1C0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969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7</xdr:col>
      <xdr:colOff>1880995</xdr:colOff>
      <xdr:row>0</xdr:row>
      <xdr:rowOff>0</xdr:rowOff>
    </xdr:from>
    <xdr:to>
      <xdr:col>8</xdr:col>
      <xdr:colOff>282630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E512C577-2A56-4BEC-97E3-F9DFC53FB2E0}"/>
            </a:ext>
          </a:extLst>
        </xdr:cNvPr>
        <xdr:cNvGrpSpPr/>
      </xdr:nvGrpSpPr>
      <xdr:grpSpPr>
        <a:xfrm>
          <a:off x="19926540" y="0"/>
          <a:ext cx="1588181" cy="1160318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5E8710F5-9A47-4301-BF98-D050C4AC86E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981EC089-FFA8-495B-9268-FE6B67898B05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B65AF28A-0960-4211-9E8C-8634932373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2268786</xdr:colOff>
      <xdr:row>0</xdr:row>
      <xdr:rowOff>0</xdr:rowOff>
    </xdr:from>
    <xdr:to>
      <xdr:col>9</xdr:col>
      <xdr:colOff>891409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D798EC85-6967-4098-841E-14CD2407A57C}"/>
            </a:ext>
          </a:extLst>
        </xdr:cNvPr>
        <xdr:cNvGrpSpPr/>
      </xdr:nvGrpSpPr>
      <xdr:grpSpPr>
        <a:xfrm>
          <a:off x="23500877" y="0"/>
          <a:ext cx="1514759" cy="1160318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F9E0CFF0-5F31-48E9-8C1A-CAFC842ACED2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CF9C4D46-9F56-461D-8CC3-AB2C120F8D68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52A84EDB-BCFA-4998-A3BA-6BA03B5EB9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2912774</xdr:colOff>
      <xdr:row>0</xdr:row>
      <xdr:rowOff>0</xdr:rowOff>
    </xdr:from>
    <xdr:to>
      <xdr:col>10</xdr:col>
      <xdr:colOff>1183310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xmlns="" id="{A0DDAAB0-77EC-43FC-B570-4DA231B4A6DF}"/>
            </a:ext>
          </a:extLst>
        </xdr:cNvPr>
        <xdr:cNvSpPr/>
      </xdr:nvSpPr>
      <xdr:spPr>
        <a:xfrm>
          <a:off x="27723494" y="0"/>
          <a:ext cx="155475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2863278</xdr:colOff>
      <xdr:row>2</xdr:row>
      <xdr:rowOff>384583</xdr:rowOff>
    </xdr:from>
    <xdr:to>
      <xdr:col>10</xdr:col>
      <xdr:colOff>1270572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xmlns="" id="{6753BDEC-CC0F-4178-A88B-5D38683D5411}"/>
            </a:ext>
          </a:extLst>
        </xdr:cNvPr>
        <xdr:cNvSpPr txBox="1"/>
      </xdr:nvSpPr>
      <xdr:spPr>
        <a:xfrm rot="10800000" flipH="1" flipV="1">
          <a:off x="27673998" y="750343"/>
          <a:ext cx="169151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10</xdr:col>
      <xdr:colOff>164743</xdr:colOff>
      <xdr:row>0</xdr:row>
      <xdr:rowOff>136274</xdr:rowOff>
    </xdr:from>
    <xdr:to>
      <xdr:col>10</xdr:col>
      <xdr:colOff>740462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95090E1-C21B-45D4-8814-B791C4CD4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9683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1356489</xdr:colOff>
      <xdr:row>0</xdr:row>
      <xdr:rowOff>0</xdr:rowOff>
    </xdr:from>
    <xdr:to>
      <xdr:col>11</xdr:col>
      <xdr:colOff>2821308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xmlns="" id="{11535D89-B3FF-4640-92A1-E8E99C2FE73B}"/>
            </a:ext>
          </a:extLst>
        </xdr:cNvPr>
        <xdr:cNvGrpSpPr/>
      </xdr:nvGrpSpPr>
      <xdr:grpSpPr>
        <a:xfrm>
          <a:off x="30624216" y="0"/>
          <a:ext cx="1464819" cy="1160318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xmlns="" id="{56C5881E-4C25-458B-A2DA-FC5D3F4EAF78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xmlns="" id="{422858C9-F350-4F90-A5B5-04C81E6EC7A1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xmlns="" id="{E4FBEE6F-84C8-456D-9A66-44743235799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844992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xmlns="" id="{007B0165-AEBD-461A-8BFB-1372A1D3B521}"/>
            </a:ext>
          </a:extLst>
        </xdr:cNvPr>
        <xdr:cNvSpPr/>
      </xdr:nvSpPr>
      <xdr:spPr>
        <a:xfrm>
          <a:off x="266700" y="1306632"/>
          <a:ext cx="341293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4</xdr:col>
      <xdr:colOff>2497575</xdr:colOff>
      <xdr:row>3</xdr:row>
      <xdr:rowOff>182100</xdr:rowOff>
    </xdr:from>
    <xdr:to>
      <xdr:col>5</xdr:col>
      <xdr:colOff>2509837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xmlns="" id="{915AC9C3-8BC3-4B92-BA67-13AFF60437ED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0971015" y="1325100"/>
          <a:ext cx="3410782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3</xdr:col>
      <xdr:colOff>485775</xdr:colOff>
      <xdr:row>3</xdr:row>
      <xdr:rowOff>182100</xdr:rowOff>
    </xdr:from>
    <xdr:to>
      <xdr:col>4</xdr:col>
      <xdr:colOff>736163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8B139AE0-09BE-4E97-A8C0-420B147CEF53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918835" y="1325100"/>
          <a:ext cx="329076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6</xdr:col>
      <xdr:colOff>304800</xdr:colOff>
      <xdr:row>3</xdr:row>
      <xdr:rowOff>152400</xdr:rowOff>
    </xdr:from>
    <xdr:to>
      <xdr:col>7</xdr:col>
      <xdr:colOff>974288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F2640E36-C810-4589-A4FD-80C910EDDFD5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23920" y="1295400"/>
          <a:ext cx="3405068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en-US" sz="2000" b="1" i="0" u="none" strike="noStrike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CONTROLE DE VENDAS</a:t>
          </a:r>
          <a:endParaRPr lang="en-US" sz="2000" b="1" i="0" u="none" strike="noStrike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2341587</xdr:colOff>
      <xdr:row>3</xdr:row>
      <xdr:rowOff>133350</xdr:rowOff>
    </xdr:from>
    <xdr:to>
      <xdr:col>8</xdr:col>
      <xdr:colOff>2496725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B994F9BA-AFAB-4B0D-9380-5ADE69856731}"/>
            </a:ext>
          </a:extLst>
        </xdr:cNvPr>
        <xdr:cNvSpPr/>
      </xdr:nvSpPr>
      <xdr:spPr>
        <a:xfrm>
          <a:off x="20896287" y="1276350"/>
          <a:ext cx="3439358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48</xdr:row>
      <xdr:rowOff>65315</xdr:rowOff>
    </xdr:from>
    <xdr:to>
      <xdr:col>9</xdr:col>
      <xdr:colOff>0</xdr:colOff>
      <xdr:row>51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xmlns="" id="{DDFE2EDE-B11B-4AAF-98CE-2B39B1B319E8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4810720" y="173398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1251778</xdr:colOff>
      <xdr:row>2</xdr:row>
      <xdr:rowOff>133894</xdr:rowOff>
    </xdr:from>
    <xdr:to>
      <xdr:col>2</xdr:col>
      <xdr:colOff>2368113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846A18DE-D145-4419-A094-E6DBE4170650}"/>
            </a:ext>
          </a:extLst>
        </xdr:cNvPr>
        <xdr:cNvSpPr txBox="1"/>
      </xdr:nvSpPr>
      <xdr:spPr>
        <a:xfrm rot="10800000" flipH="1" flipV="1">
          <a:off x="4459798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2</xdr:col>
      <xdr:colOff>1588603</xdr:colOff>
      <xdr:row>0</xdr:row>
      <xdr:rowOff>91651</xdr:rowOff>
    </xdr:from>
    <xdr:to>
      <xdr:col>2</xdr:col>
      <xdr:colOff>2005839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54127B2-9F85-4EA2-9800-27ACD53EE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96623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20</xdr:col>
      <xdr:colOff>37420</xdr:colOff>
      <xdr:row>3</xdr:row>
      <xdr:rowOff>247650</xdr:rowOff>
    </xdr:from>
    <xdr:to>
      <xdr:col>20</xdr:col>
      <xdr:colOff>415699</xdr:colOff>
      <xdr:row>4</xdr:row>
      <xdr:rowOff>125186</xdr:rowOff>
    </xdr:to>
    <xdr:sp macro="[3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934F6A51-DEFB-4179-BC2E-89D034200EDE}"/>
            </a:ext>
          </a:extLst>
        </xdr:cNvPr>
        <xdr:cNvSpPr/>
      </xdr:nvSpPr>
      <xdr:spPr>
        <a:xfrm>
          <a:off x="25404400" y="1390650"/>
          <a:ext cx="378279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1</xdr:col>
      <xdr:colOff>1628775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EBD6FAC7-7FB8-4BE1-8CAE-58518C8103D5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38375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1785937</xdr:colOff>
      <xdr:row>0</xdr:row>
      <xdr:rowOff>0</xdr:rowOff>
    </xdr:from>
    <xdr:to>
      <xdr:col>2</xdr:col>
      <xdr:colOff>714988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46C29DAD-58A2-400F-A8B7-5F32C0345C7F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74755" y="0"/>
          <a:ext cx="1457506" cy="1160318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xmlns="" id="{03EC4ABA-E93B-435E-8232-5F1C35B2CBC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98676D29-B3BD-47A3-9DEE-4C943843EA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xmlns="" id="{92C9B80B-24CC-4ECD-8FB1-3B5A623008F1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59317</xdr:colOff>
      <xdr:row>0</xdr:row>
      <xdr:rowOff>0</xdr:rowOff>
    </xdr:from>
    <xdr:to>
      <xdr:col>3</xdr:col>
      <xdr:colOff>1514323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B922E203-711F-4616-B300-83865ED6769B}"/>
            </a:ext>
          </a:extLst>
        </xdr:cNvPr>
        <xdr:cNvGrpSpPr/>
      </xdr:nvGrpSpPr>
      <xdr:grpSpPr>
        <a:xfrm>
          <a:off x="5878226" y="0"/>
          <a:ext cx="1455006" cy="1160318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B87F3001-91BF-4193-81A8-99BD52307D55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xmlns="" id="{C556A270-3B1B-4648-9ED8-B59D9BC36FFE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852ED034-F412-4417-BD7B-3E4EE1B296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4</xdr:col>
      <xdr:colOff>1536118</xdr:colOff>
      <xdr:row>0</xdr:row>
      <xdr:rowOff>0</xdr:rowOff>
    </xdr:from>
    <xdr:to>
      <xdr:col>5</xdr:col>
      <xdr:colOff>1217032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B6AF8E72-9FD7-44DE-8B91-AE7C18B27171}"/>
            </a:ext>
          </a:extLst>
        </xdr:cNvPr>
        <xdr:cNvSpPr/>
      </xdr:nvSpPr>
      <xdr:spPr>
        <a:xfrm>
          <a:off x="9582838" y="0"/>
          <a:ext cx="146399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1486622</xdr:colOff>
      <xdr:row>2</xdr:row>
      <xdr:rowOff>384583</xdr:rowOff>
    </xdr:from>
    <xdr:to>
      <xdr:col>5</xdr:col>
      <xdr:colOff>1304294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957908C7-21DB-4609-8ACD-23130BAAF07E}"/>
            </a:ext>
          </a:extLst>
        </xdr:cNvPr>
        <xdr:cNvSpPr txBox="1"/>
      </xdr:nvSpPr>
      <xdr:spPr>
        <a:xfrm rot="10800000" flipH="1" flipV="1">
          <a:off x="9533342" y="750343"/>
          <a:ext cx="1600752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239878</xdr:colOff>
      <xdr:row>0</xdr:row>
      <xdr:rowOff>136274</xdr:rowOff>
    </xdr:from>
    <xdr:to>
      <xdr:col>5</xdr:col>
      <xdr:colOff>837554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9DC0291-7566-417E-8BFF-F0B77F442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69678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6</xdr:col>
      <xdr:colOff>367246</xdr:colOff>
      <xdr:row>0</xdr:row>
      <xdr:rowOff>0</xdr:rowOff>
    </xdr:from>
    <xdr:to>
      <xdr:col>8</xdr:col>
      <xdr:colOff>164837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xmlns="" id="{5EB65EA5-AD7E-4F35-9AE9-CAB2153C7CFF}"/>
            </a:ext>
          </a:extLst>
        </xdr:cNvPr>
        <xdr:cNvSpPr/>
      </xdr:nvSpPr>
      <xdr:spPr>
        <a:xfrm>
          <a:off x="13275526" y="0"/>
          <a:ext cx="147399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317969</xdr:colOff>
      <xdr:row>2</xdr:row>
      <xdr:rowOff>384583</xdr:rowOff>
    </xdr:from>
    <xdr:to>
      <xdr:col>8</xdr:col>
      <xdr:colOff>251713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xmlns="" id="{A33163B9-4118-4486-94B9-7EB9FA680724}"/>
            </a:ext>
          </a:extLst>
        </xdr:cNvPr>
        <xdr:cNvSpPr txBox="1"/>
      </xdr:nvSpPr>
      <xdr:spPr>
        <a:xfrm rot="10800000" flipH="1" flipV="1">
          <a:off x="13226249" y="750343"/>
          <a:ext cx="161014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799666</xdr:colOff>
      <xdr:row>0</xdr:row>
      <xdr:rowOff>136274</xdr:rowOff>
    </xdr:from>
    <xdr:to>
      <xdr:col>7</xdr:col>
      <xdr:colOff>317524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ADC3758C-B4F6-44CE-BA12-BBCD9107A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707946" y="136274"/>
          <a:ext cx="584658" cy="583748"/>
        </a:xfrm>
        <a:prstGeom prst="rect">
          <a:avLst/>
        </a:prstGeom>
      </xdr:spPr>
    </xdr:pic>
    <xdr:clientData/>
  </xdr:twoCellAnchor>
  <xdr:twoCellAnchor editAs="absolute">
    <xdr:from>
      <xdr:col>11</xdr:col>
      <xdr:colOff>537231</xdr:colOff>
      <xdr:row>0</xdr:row>
      <xdr:rowOff>0</xdr:rowOff>
    </xdr:from>
    <xdr:to>
      <xdr:col>13</xdr:col>
      <xdr:colOff>279677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265B16AD-132D-4C38-97E9-CB407E0B4483}"/>
            </a:ext>
          </a:extLst>
        </xdr:cNvPr>
        <xdr:cNvSpPr/>
      </xdr:nvSpPr>
      <xdr:spPr>
        <a:xfrm>
          <a:off x="16950711" y="0"/>
          <a:ext cx="15331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487310</xdr:colOff>
      <xdr:row>2</xdr:row>
      <xdr:rowOff>384583</xdr:rowOff>
    </xdr:from>
    <xdr:to>
      <xdr:col>13</xdr:col>
      <xdr:colOff>367688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8CADDC46-DAC2-4227-93D1-CFF0709D3F89}"/>
            </a:ext>
          </a:extLst>
        </xdr:cNvPr>
        <xdr:cNvSpPr txBox="1"/>
      </xdr:nvSpPr>
      <xdr:spPr>
        <a:xfrm rot="10800000" flipH="1" flipV="1">
          <a:off x="16900790" y="750343"/>
          <a:ext cx="1671078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11</xdr:col>
      <xdr:colOff>986701</xdr:colOff>
      <xdr:row>0</xdr:row>
      <xdr:rowOff>136274</xdr:rowOff>
    </xdr:from>
    <xdr:to>
      <xdr:col>12</xdr:col>
      <xdr:colOff>17303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2EF0B578-6A19-4088-B684-F60CEB333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400181" y="136274"/>
          <a:ext cx="638422" cy="583748"/>
        </a:xfrm>
        <a:prstGeom prst="rect">
          <a:avLst/>
        </a:prstGeom>
        <a:noFill/>
      </xdr:spPr>
    </xdr:pic>
    <xdr:clientData/>
  </xdr:twoCellAnchor>
  <xdr:twoCellAnchor editAs="absolute">
    <xdr:from>
      <xdr:col>13</xdr:col>
      <xdr:colOff>2282406</xdr:colOff>
      <xdr:row>0</xdr:row>
      <xdr:rowOff>0</xdr:rowOff>
    </xdr:from>
    <xdr:to>
      <xdr:col>14</xdr:col>
      <xdr:colOff>459523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574DE91A-4455-4A17-8783-8D9F8569D190}"/>
            </a:ext>
          </a:extLst>
        </xdr:cNvPr>
        <xdr:cNvGrpSpPr/>
      </xdr:nvGrpSpPr>
      <xdr:grpSpPr>
        <a:xfrm>
          <a:off x="19964270" y="0"/>
          <a:ext cx="1588798" cy="1160318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50A5D0FA-858B-42E5-93E7-195508FBEFF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D0E42609-B647-4C15-9071-4210C5CB578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F5B5ABBC-2ED4-4826-AF83-DE9185B972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118857</xdr:colOff>
      <xdr:row>0</xdr:row>
      <xdr:rowOff>0</xdr:rowOff>
    </xdr:from>
    <xdr:to>
      <xdr:col>20</xdr:col>
      <xdr:colOff>459383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93EC552D-A1BA-4D3C-B25A-77F86BC7A531}"/>
            </a:ext>
          </a:extLst>
        </xdr:cNvPr>
        <xdr:cNvGrpSpPr/>
      </xdr:nvGrpSpPr>
      <xdr:grpSpPr>
        <a:xfrm>
          <a:off x="23567675" y="0"/>
          <a:ext cx="1518163" cy="1160318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04A4178F-2388-4F8A-BC43-B3B36752184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7ABD1DE3-FC89-4F7F-AC67-F1C922004552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D45868C7-7C64-45E0-A2BC-0A6CCA4D5E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24</xdr:col>
      <xdr:colOff>140319</xdr:colOff>
      <xdr:row>0</xdr:row>
      <xdr:rowOff>0</xdr:rowOff>
    </xdr:from>
    <xdr:to>
      <xdr:col>26</xdr:col>
      <xdr:colOff>434917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xmlns="" id="{165937A7-358D-4373-A351-10A0B11EBAA2}"/>
            </a:ext>
          </a:extLst>
        </xdr:cNvPr>
        <xdr:cNvSpPr/>
      </xdr:nvSpPr>
      <xdr:spPr>
        <a:xfrm>
          <a:off x="27945699" y="0"/>
          <a:ext cx="1513798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24</xdr:col>
      <xdr:colOff>90823</xdr:colOff>
      <xdr:row>2</xdr:row>
      <xdr:rowOff>384583</xdr:rowOff>
    </xdr:from>
    <xdr:to>
      <xdr:col>26</xdr:col>
      <xdr:colOff>522179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xmlns="" id="{4944D15D-DB49-451E-995C-727FB8F2ED2E}"/>
            </a:ext>
          </a:extLst>
        </xdr:cNvPr>
        <xdr:cNvSpPr txBox="1"/>
      </xdr:nvSpPr>
      <xdr:spPr>
        <a:xfrm rot="10800000" flipH="1" flipV="1">
          <a:off x="27896203" y="750343"/>
          <a:ext cx="165055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25</xdr:col>
      <xdr:colOff>1457</xdr:colOff>
      <xdr:row>0</xdr:row>
      <xdr:rowOff>136274</xdr:rowOff>
    </xdr:from>
    <xdr:to>
      <xdr:col>25</xdr:col>
      <xdr:colOff>577176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EB72EAC-1C80-4556-BD36-588FA83D1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416437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30</xdr:col>
      <xdr:colOff>233899</xdr:colOff>
      <xdr:row>0</xdr:row>
      <xdr:rowOff>0</xdr:rowOff>
    </xdr:from>
    <xdr:to>
      <xdr:col>32</xdr:col>
      <xdr:colOff>527824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xmlns="" id="{4D20B97E-64CF-4BFB-AA29-D546239DCFAD}"/>
            </a:ext>
          </a:extLst>
        </xdr:cNvPr>
        <xdr:cNvGrpSpPr/>
      </xdr:nvGrpSpPr>
      <xdr:grpSpPr>
        <a:xfrm>
          <a:off x="30748535" y="0"/>
          <a:ext cx="1471562" cy="1160318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xmlns="" id="{0DAE8672-BD38-486E-BB9D-2E5BD858120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xmlns="" id="{5525F558-4F94-4CB9-92FA-4A53AFF9D0D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xmlns="" id="{9B4D7458-C446-44C0-A120-234B9A9EEA2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481000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xmlns="" id="{3CA06473-5145-464E-99EE-3897761A937F}"/>
            </a:ext>
          </a:extLst>
        </xdr:cNvPr>
        <xdr:cNvSpPr/>
      </xdr:nvSpPr>
      <xdr:spPr>
        <a:xfrm>
          <a:off x="266700" y="1306632"/>
          <a:ext cx="3422320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5</xdr:col>
      <xdr:colOff>1181084</xdr:colOff>
      <xdr:row>3</xdr:row>
      <xdr:rowOff>182100</xdr:rowOff>
    </xdr:from>
    <xdr:to>
      <xdr:col>7</xdr:col>
      <xdr:colOff>482372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xmlns="" id="{299F8039-F6E2-4C8B-A314-14668DAE2D2B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10884" y="1325100"/>
          <a:ext cx="344656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2</xdr:col>
      <xdr:colOff>2645908</xdr:colOff>
      <xdr:row>3</xdr:row>
      <xdr:rowOff>182100</xdr:rowOff>
    </xdr:from>
    <xdr:to>
      <xdr:col>4</xdr:col>
      <xdr:colOff>1147779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2DDDF37B-DFB8-44E8-A818-283542BB6AEA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53928" y="1325100"/>
          <a:ext cx="3340571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355826</xdr:colOff>
      <xdr:row>3</xdr:row>
      <xdr:rowOff>152400</xdr:rowOff>
    </xdr:from>
    <xdr:to>
      <xdr:col>13</xdr:col>
      <xdr:colOff>1375699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D0DB4D05-4465-41BE-B43A-8920A3753358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59706" y="1295400"/>
          <a:ext cx="3420173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13</xdr:col>
      <xdr:colOff>2742998</xdr:colOff>
      <xdr:row>3</xdr:row>
      <xdr:rowOff>133350</xdr:rowOff>
    </xdr:from>
    <xdr:to>
      <xdr:col>18</xdr:col>
      <xdr:colOff>346796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66B048BD-F207-4AB4-9B18-A78337D79038}"/>
            </a:ext>
          </a:extLst>
        </xdr:cNvPr>
        <xdr:cNvSpPr/>
      </xdr:nvSpPr>
      <xdr:spPr>
        <a:xfrm>
          <a:off x="20947178" y="1276350"/>
          <a:ext cx="3547398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7ABBBEF2-1B58-443F-8576-61F39CC15992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4BFC158-3EED-4A67-BE64-37D42A839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D2B15F83-15A7-4C48-97B7-59195C5664E5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957A05CF-7B40-4821-874B-67F3048DFF7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8E8E5DF8-5990-41F5-96BE-59F38554DC90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DD19E2C7-2FAB-40FF-A34E-CF4230366A33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544DB1CB-8B7A-48DC-BD39-2C37DF31748B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2773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xmlns="" id="{F4A65915-D753-4195-AA58-1FAA8EE4B117}"/>
            </a:ext>
          </a:extLst>
        </xdr:cNvPr>
        <xdr:cNvSpPr/>
      </xdr:nvSpPr>
      <xdr:spPr>
        <a:xfrm>
          <a:off x="20955342" y="1276350"/>
          <a:ext cx="34022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C77BEC7F-B84D-4616-ABBF-2FE2E09CCD85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xmlns="" id="{5130CB73-7CB1-4A92-89B5-D246F61322C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65E8CF82-3EC3-4A1C-AC10-D522F6E889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xmlns="" id="{EE5BB574-E329-435D-A4F0-74B7CB93DF2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xmlns="" id="{F56ACFB5-D050-4A21-B0CB-6387474C63E2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xmlns="" id="{FB36C216-2FE5-437C-A2B3-2E635286611A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D5D3D41-68FC-4005-BB08-484B08E2C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xmlns="" id="{F033FD16-E930-4BF9-BE46-B1E6302C4F46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xmlns="" id="{5C952D8B-7C8A-4232-B8AC-B50E6E81571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xmlns="" id="{5FF35378-75FD-4174-8970-0712F2D97573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96815A45-0C62-4789-9074-FA96D7EEFB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7F2F2125-DFF3-4380-A4CF-D760848D4B40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43F63B15-BA65-4083-B9AB-E266074B815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FA1DAF88-D56F-441E-843C-1CAE5A0B097C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BA7D733-EAF8-4CC5-B59E-64294D68C6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940F052C-E3EC-4ECD-B71F-ECF75474CF06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AA078A7D-97DD-4B1A-B779-3222E0A6BE9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DBAE5E03-E6CD-40D0-BF7A-510106656763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82FAC914-2630-4BE3-8898-708569F3B9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2F63A7BF-D9BE-4BF0-8DEB-12BEFA65CB2D}"/>
            </a:ext>
          </a:extLst>
        </xdr:cNvPr>
        <xdr:cNvGrpSpPr/>
      </xdr:nvGrpSpPr>
      <xdr:grpSpPr>
        <a:xfrm>
          <a:off x="19883245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6490CA0B-AD87-453F-910C-B6CA027076A4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34775F37-6327-493A-8FDC-4C6E081364F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530AB5AB-191F-426D-96AE-8173996B2D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xmlns="" id="{37DFE93D-2A47-4B7E-B6FD-37445D6BE0A4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xmlns="" id="{17B8FA49-1E15-4B71-A6CE-B6E951261D02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B6F42E6-0D6A-4B7C-9C0B-CC18D9A0F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xmlns="" id="{B6FBA535-F8C0-4CFA-844B-96C95D2E75C3}"/>
            </a:ext>
          </a:extLst>
        </xdr:cNvPr>
        <xdr:cNvGrpSpPr/>
      </xdr:nvGrpSpPr>
      <xdr:grpSpPr>
        <a:xfrm>
          <a:off x="26961528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xmlns="" id="{4BA07CAC-DE4C-46A9-AD0F-CB0C106EA83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xmlns="" id="{00257622-B45E-4F16-9076-EF2ACDE2DD21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BE45C1A5-2539-4D67-A45E-9A863880AA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xmlns="" id="{4FC01CAC-88CC-46E1-9CAB-0E19162D3075}"/>
            </a:ext>
          </a:extLst>
        </xdr:cNvPr>
        <xdr:cNvGrpSpPr/>
      </xdr:nvGrpSpPr>
      <xdr:grpSpPr>
        <a:xfrm>
          <a:off x="30598239" y="0"/>
          <a:ext cx="147434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xmlns="" id="{2B98FCD2-21D2-401F-B712-EC35ECBCEE4F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xmlns="" id="{AC07692E-C12A-4355-A95F-9E0AE0209B16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xmlns="" id="{DC7A300B-7C6D-4512-AEC5-28C9FA2BEA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6</xdr:col>
      <xdr:colOff>1257300</xdr:colOff>
      <xdr:row>10</xdr:row>
      <xdr:rowOff>152400</xdr:rowOff>
    </xdr:from>
    <xdr:to>
      <xdr:col>14</xdr:col>
      <xdr:colOff>781050</xdr:colOff>
      <xdr:row>48</xdr:row>
      <xdr:rowOff>351322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D955D960-7290-4092-A296-1C5779A71F12}"/>
            </a:ext>
            <a:ext uri="{147F2762-F138-4A5C-976F-8EAC2B608ADB}">
              <a16:predDERef xmlns:a16="http://schemas.microsoft.com/office/drawing/2014/main" xmlns="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248900" y="3562350"/>
          <a:ext cx="15449550" cy="13953022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D1D9B888-E40D-4E39-A3C6-AF383DC3152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83C908F9-0C82-426F-B27E-C64DCB8F0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1FE36323-3B0A-4619-8BFC-BF157A2E5BE2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EDEB5DB2-1DF9-41B6-B4EB-F14EDF925036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2A50D3C5-2056-4615-9C90-E354DE61732D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A49CAAFB-08C5-41F5-A38F-D3A257DCC833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3AE4387B-25FB-42E4-86A5-CFA9FF55C7A7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xmlns="" id="{0D6C2407-8032-4783-9759-B614C8FAB780}"/>
            </a:ext>
          </a:extLst>
        </xdr:cNvPr>
        <xdr:cNvSpPr/>
      </xdr:nvSpPr>
      <xdr:spPr>
        <a:xfrm>
          <a:off x="2095534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xmlns="" id="{BAEEB1AC-F54C-4E2A-AC35-0491B58A5C0C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16636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2C00CF96-F69C-4CFB-B68E-EA5C28166061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xmlns="" id="{EC46E750-0121-4F6C-B6E3-0CD157561CC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3D6C59BC-409D-4D0D-8456-64F6DD50FB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xmlns="" id="{3E5F68BE-52E3-4DFF-B7FE-366F633E777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xmlns="" id="{35FC8DB3-61D5-418B-828B-66B48CE2C913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xmlns="" id="{D7E87DCD-AB9E-4E09-9CDB-5E74E4A3F5FC}"/>
            </a:ext>
          </a:extLst>
        </xdr:cNvPr>
        <xdr:cNvSpPr txBox="1"/>
      </xdr:nvSpPr>
      <xdr:spPr>
        <a:xfrm rot="10800000" flipH="1" flipV="1">
          <a:off x="5898823" y="750343"/>
          <a:ext cx="159869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AAE67D2F-1030-4819-80A3-29F106A92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xmlns="" id="{F122864C-47D4-41AC-9877-2176DD006F3E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xmlns="" id="{B3CFF071-75BB-4108-A785-81C262B592A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xmlns="" id="{315F9FF9-8944-4CAC-BFF7-9C34D97B78DB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D3683C47-CCCB-4581-8C87-5299DDCB4A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C67FCEE7-B83E-40CC-8033-635F44FFA62D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CD472E35-0322-434A-BAD6-583B18EF6B8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3946920D-AF54-46C9-A3F8-D0C21A8C5786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9C63EE59-0A6E-453D-8146-A94BC32136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8549E514-1394-44D8-AC4B-C1C5BBDF5ABD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90A17C05-0E68-4E21-AF3C-A11EE30AEA5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EAADB612-533C-4BA7-AB3A-A56E89AB794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3A415D2C-AA7D-451B-BEB1-35BD7E1967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890B27A4-80BB-43FD-AD3C-0EA880EE5843}"/>
            </a:ext>
          </a:extLst>
        </xdr:cNvPr>
        <xdr:cNvGrpSpPr/>
      </xdr:nvGrpSpPr>
      <xdr:grpSpPr>
        <a:xfrm>
          <a:off x="19883245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84EAF4DB-62A1-47F6-BD2E-AE60A6FF2F6E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13EFFC2E-6C63-4E37-919F-2CB3659D3A2A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BAA45D8A-8F4A-43D6-85CF-7AEF3E0605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xmlns="" id="{D3F35492-FFD0-442B-B25E-568B58B7E561}"/>
            </a:ext>
          </a:extLst>
        </xdr:cNvPr>
        <xdr:cNvSpPr/>
      </xdr:nvSpPr>
      <xdr:spPr>
        <a:xfrm>
          <a:off x="2414836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xmlns="" id="{303DC4A5-E058-4001-8CA0-348D1BC38924}"/>
            </a:ext>
          </a:extLst>
        </xdr:cNvPr>
        <xdr:cNvSpPr txBox="1"/>
      </xdr:nvSpPr>
      <xdr:spPr>
        <a:xfrm rot="10800000" flipH="1" flipV="1">
          <a:off x="24099133" y="750343"/>
          <a:ext cx="1597281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C734B59D-6DDA-4345-B3AB-2F615AE6A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8642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xmlns="" id="{C01D6369-7863-48D4-B67F-41F559FC91E2}"/>
            </a:ext>
          </a:extLst>
        </xdr:cNvPr>
        <xdr:cNvGrpSpPr/>
      </xdr:nvGrpSpPr>
      <xdr:grpSpPr>
        <a:xfrm>
          <a:off x="26961528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xmlns="" id="{E876C235-4650-466E-9854-5F964DA07D5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xmlns="" id="{26C33E76-4026-483B-A93F-C10931BB4C6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60C154DC-9A6E-4C62-86C5-1851A7C4B3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xmlns="" id="{D4C716EF-93B1-42D8-AD52-DCC61558EE59}"/>
            </a:ext>
          </a:extLst>
        </xdr:cNvPr>
        <xdr:cNvGrpSpPr/>
      </xdr:nvGrpSpPr>
      <xdr:grpSpPr>
        <a:xfrm>
          <a:off x="30598239" y="0"/>
          <a:ext cx="147434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xmlns="" id="{A8BFBECF-B09A-476A-8BA8-95ACD8938FAA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xmlns="" id="{D67F9333-A85A-477C-86B4-679E01E5152D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xmlns="" id="{E79DC6F1-6E8C-4F1B-871C-4331170F628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849336</xdr:colOff>
      <xdr:row>32</xdr:row>
      <xdr:rowOff>85969</xdr:rowOff>
    </xdr:from>
    <xdr:to>
      <xdr:col>11</xdr:col>
      <xdr:colOff>957381</xdr:colOff>
      <xdr:row>35</xdr:row>
      <xdr:rowOff>97017</xdr:rowOff>
    </xdr:to>
    <xdr:sp macro="[4]!CadastroFornCerto" textlink="">
      <xdr:nvSpPr>
        <xdr:cNvPr id="46" name="Retângulo Arredondado 11">
          <a:extLst>
            <a:ext uri="{FF2B5EF4-FFF2-40B4-BE49-F238E27FC236}">
              <a16:creationId xmlns:a16="http://schemas.microsoft.com/office/drawing/2014/main" xmlns="" id="{797BF772-CB63-4FE8-8F97-878C564D72AD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4252916" y="11508349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03297487-55EF-4E65-90DD-98D7E6542957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AA8B43FC-1998-4DE0-B19E-2C56B17D5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251CF235-EA3D-47A7-8CEE-FA22D69514DE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108776F5-157C-48E6-8B22-94F3F19DD5D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8</xdr:col>
      <xdr:colOff>214313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B047BE89-8946-40CD-B9A5-BDB89181CCF1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41500" y="1325100"/>
          <a:ext cx="3422213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695270D0-A745-4A99-9420-7E8E8A1D12BB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8</xdr:col>
      <xdr:colOff>1843088</xdr:colOff>
      <xdr:row>3</xdr:row>
      <xdr:rowOff>152400</xdr:rowOff>
    </xdr:from>
    <xdr:to>
      <xdr:col>9</xdr:col>
      <xdr:colOff>2626875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CB2B67B3-2C62-49E1-8ACB-7875D3A2B2AF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092488" y="1295400"/>
          <a:ext cx="3435547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9</xdr:col>
      <xdr:colOff>3965600</xdr:colOff>
      <xdr:row>3</xdr:row>
      <xdr:rowOff>133350</xdr:rowOff>
    </xdr:from>
    <xdr:to>
      <xdr:col>11</xdr:col>
      <xdr:colOff>715550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xmlns="" id="{0FFA1CC6-7E60-49F3-8A63-8A7EC928E1B3}"/>
            </a:ext>
          </a:extLst>
        </xdr:cNvPr>
        <xdr:cNvSpPr/>
      </xdr:nvSpPr>
      <xdr:spPr>
        <a:xfrm>
          <a:off x="20866760" y="1276350"/>
          <a:ext cx="35546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33</xdr:row>
      <xdr:rowOff>65315</xdr:rowOff>
    </xdr:from>
    <xdr:to>
      <xdr:col>13</xdr:col>
      <xdr:colOff>0</xdr:colOff>
      <xdr:row>36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xmlns="" id="{027C1E24-C40A-4771-AF92-A00C1D5CE04B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30411420" y="118534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FC7F9D6E-D88A-4DD0-A90B-30A351519014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xmlns="" id="{74158421-89B1-49D5-AD89-4640DEE89E1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863AB3A4-6C42-4593-A628-F37A12CB57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xmlns="" id="{056D72CD-2501-4609-B151-BC8C0CF7EC9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xmlns="" id="{2250983C-13F0-4B6D-B1AF-CF3EC126D2EF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xmlns="" id="{99F822E1-A075-4B8A-BA79-5BD3B443D924}"/>
            </a:ext>
          </a:extLst>
        </xdr:cNvPr>
        <xdr:cNvSpPr txBox="1"/>
      </xdr:nvSpPr>
      <xdr:spPr>
        <a:xfrm rot="10800000" flipH="1" flipV="1">
          <a:off x="5898823" y="750343"/>
          <a:ext cx="159869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6AE05F1-B743-4149-908C-585A2B798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xmlns="" id="{7C27F721-CB52-4ABB-ACE6-BCD9CAA81B41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xmlns="" id="{3B9CBE5C-3109-4453-931B-5E1B82DB9A9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xmlns="" id="{894D1A03-556F-412B-AC87-94299DF93865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9641FE21-4D4F-4CC0-BEB1-BEBDD06E7E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2359042</xdr:colOff>
      <xdr:row>0</xdr:row>
      <xdr:rowOff>0</xdr:rowOff>
    </xdr:from>
    <xdr:to>
      <xdr:col>8</xdr:col>
      <xdr:colOff>530661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E85D8A21-4C93-4B48-BC87-2EF04100F007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365A4336-C9FD-4A5C-B3CF-ED9310AA772D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201DF942-BBFE-402E-B1B4-7B5263EFDFD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E96AAE0C-8DA8-43A6-93FD-D5D299C7BF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2521579</xdr:colOff>
      <xdr:row>0</xdr:row>
      <xdr:rowOff>0</xdr:rowOff>
    </xdr:from>
    <xdr:to>
      <xdr:col>9</xdr:col>
      <xdr:colOff>1518852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F6F02E98-CF04-462C-8759-E1B337D29526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194660DC-D82D-4BD5-B2FF-79A5A04707B7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9052F3B2-9A45-4923-93AE-D729BA6D6852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263EA1E-C395-4969-BDFF-9756DDE47C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3466908</xdr:colOff>
      <xdr:row>0</xdr:row>
      <xdr:rowOff>0</xdr:rowOff>
    </xdr:from>
    <xdr:to>
      <xdr:col>10</xdr:col>
      <xdr:colOff>315968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BE172ADA-05E2-408D-87C1-7442A6137332}"/>
            </a:ext>
          </a:extLst>
        </xdr:cNvPr>
        <xdr:cNvGrpSpPr/>
      </xdr:nvGrpSpPr>
      <xdr:grpSpPr>
        <a:xfrm>
          <a:off x="19897533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33A91DF2-BA41-402D-A7E8-1F12864E7CD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8AA8AF18-8E21-4E9C-8FBC-262B57515F9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8F8B0BDF-8C25-435B-9277-69124D1693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498744</xdr:colOff>
      <xdr:row>0</xdr:row>
      <xdr:rowOff>0</xdr:rowOff>
    </xdr:from>
    <xdr:to>
      <xdr:col>11</xdr:col>
      <xdr:colOff>1866650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xmlns="" id="{5046D25C-76A5-468F-A283-75C453C03D31}"/>
            </a:ext>
          </a:extLst>
        </xdr:cNvPr>
        <xdr:cNvSpPr/>
      </xdr:nvSpPr>
      <xdr:spPr>
        <a:xfrm>
          <a:off x="24204564" y="0"/>
          <a:ext cx="136790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449511</xdr:colOff>
      <xdr:row>2</xdr:row>
      <xdr:rowOff>384583</xdr:rowOff>
    </xdr:from>
    <xdr:to>
      <xdr:col>11</xdr:col>
      <xdr:colOff>1953447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xmlns="" id="{CE28964F-8CC5-4118-85D8-EF40DF2BD7D2}"/>
            </a:ext>
          </a:extLst>
        </xdr:cNvPr>
        <xdr:cNvSpPr txBox="1"/>
      </xdr:nvSpPr>
      <xdr:spPr>
        <a:xfrm rot="10800000" flipH="1" flipV="1">
          <a:off x="24155331" y="750343"/>
          <a:ext cx="150393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936804</xdr:colOff>
      <xdr:row>0</xdr:row>
      <xdr:rowOff>136274</xdr:rowOff>
    </xdr:from>
    <xdr:to>
      <xdr:col>11</xdr:col>
      <xdr:colOff>1428587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2BB4917A-5D1D-433D-B14E-50CF0EA12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642624" y="136274"/>
          <a:ext cx="491783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3925316</xdr:colOff>
      <xdr:row>0</xdr:row>
      <xdr:rowOff>0</xdr:rowOff>
    </xdr:from>
    <xdr:to>
      <xdr:col>12</xdr:col>
      <xdr:colOff>1284860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xmlns="" id="{9772C4FE-C4E9-4B72-8127-3C84886F8480}"/>
            </a:ext>
          </a:extLst>
        </xdr:cNvPr>
        <xdr:cNvGrpSpPr/>
      </xdr:nvGrpSpPr>
      <xdr:grpSpPr>
        <a:xfrm>
          <a:off x="26975816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xmlns="" id="{62FFABA3-D681-455A-9CAE-270BF69CB20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xmlns="" id="{A1C5EE8A-F020-4CCB-8BF8-DCDD5E10249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A6CA4AB2-2E36-4CBF-B836-020303CA67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1037402</xdr:colOff>
      <xdr:row>0</xdr:row>
      <xdr:rowOff>0</xdr:rowOff>
    </xdr:from>
    <xdr:to>
      <xdr:col>14</xdr:col>
      <xdr:colOff>587696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xmlns="" id="{8F01DAA6-D9F7-4D14-8B19-2F87835F9B4D}"/>
            </a:ext>
          </a:extLst>
        </xdr:cNvPr>
        <xdr:cNvGrpSpPr/>
      </xdr:nvGrpSpPr>
      <xdr:grpSpPr>
        <a:xfrm>
          <a:off x="30612527" y="0"/>
          <a:ext cx="145529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xmlns="" id="{19711E3E-E95E-4E87-9A62-32D39C4C94A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xmlns="" id="{DE218793-8030-463E-8E70-631029E01D0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xmlns="" id="{E590113F-92FF-4193-9A31-37830A3D42D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7</xdr:col>
      <xdr:colOff>2886075</xdr:colOff>
      <xdr:row>9</xdr:row>
      <xdr:rowOff>111919</xdr:rowOff>
    </xdr:from>
    <xdr:to>
      <xdr:col>8</xdr:col>
      <xdr:colOff>1243012</xdr:colOff>
      <xdr:row>10</xdr:row>
      <xdr:rowOff>230981</xdr:rowOff>
    </xdr:to>
    <xdr:sp macro="[4]!COALHO" textlink="">
      <xdr:nvSpPr>
        <xdr:cNvPr id="46" name="Retângulo Arredondado 11">
          <a:extLst>
            <a:ext uri="{FF2B5EF4-FFF2-40B4-BE49-F238E27FC236}">
              <a16:creationId xmlns:a16="http://schemas.microsoft.com/office/drawing/2014/main" xmlns="" id="{0A418E84-38B5-4E47-A3B3-A3F297AAD691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3668375" y="3121819"/>
          <a:ext cx="1824037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COALHO</a:t>
          </a:r>
        </a:p>
      </xdr:txBody>
    </xdr:sp>
    <xdr:clientData/>
  </xdr:twoCellAnchor>
  <xdr:twoCellAnchor editAs="absolute">
    <xdr:from>
      <xdr:col>6</xdr:col>
      <xdr:colOff>23813</xdr:colOff>
      <xdr:row>9</xdr:row>
      <xdr:rowOff>111919</xdr:rowOff>
    </xdr:from>
    <xdr:to>
      <xdr:col>7</xdr:col>
      <xdr:colOff>23813</xdr:colOff>
      <xdr:row>10</xdr:row>
      <xdr:rowOff>230981</xdr:rowOff>
    </xdr:to>
    <xdr:sp macro="[4]!SAL" textlink="">
      <xdr:nvSpPr>
        <xdr:cNvPr id="47" name="Retângulo Arredondado 11">
          <a:extLst>
            <a:ext uri="{FF2B5EF4-FFF2-40B4-BE49-F238E27FC236}">
              <a16:creationId xmlns:a16="http://schemas.microsoft.com/office/drawing/2014/main" xmlns="" id="{4DCCC58B-66BF-47DC-9CFE-6CC696E6B0E4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9023033" y="3121819"/>
          <a:ext cx="1783080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SAL</a:t>
          </a:r>
        </a:p>
      </xdr:txBody>
    </xdr:sp>
    <xdr:clientData/>
  </xdr:twoCellAnchor>
  <xdr:twoCellAnchor editAs="absolute">
    <xdr:from>
      <xdr:col>8</xdr:col>
      <xdr:colOff>1804987</xdr:colOff>
      <xdr:row>9</xdr:row>
      <xdr:rowOff>111919</xdr:rowOff>
    </xdr:from>
    <xdr:to>
      <xdr:col>9</xdr:col>
      <xdr:colOff>971549</xdr:colOff>
      <xdr:row>10</xdr:row>
      <xdr:rowOff>230981</xdr:rowOff>
    </xdr:to>
    <xdr:sp macro="[4]!VINAGRE" textlink="">
      <xdr:nvSpPr>
        <xdr:cNvPr id="48" name="Retângulo Arredondado 11">
          <a:extLst>
            <a:ext uri="{FF2B5EF4-FFF2-40B4-BE49-F238E27FC236}">
              <a16:creationId xmlns:a16="http://schemas.microsoft.com/office/drawing/2014/main" xmlns="" id="{4C2AF72C-BB24-4E10-A374-79B2D1DD161C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6054387" y="3121819"/>
          <a:ext cx="1818322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VINAGRE</a:t>
          </a:r>
        </a:p>
      </xdr:txBody>
    </xdr:sp>
    <xdr:clientData/>
  </xdr:twoCellAnchor>
  <xdr:twoCellAnchor editAs="absolute">
    <xdr:from>
      <xdr:col>7</xdr:col>
      <xdr:colOff>585788</xdr:colOff>
      <xdr:row>9</xdr:row>
      <xdr:rowOff>111919</xdr:rowOff>
    </xdr:from>
    <xdr:to>
      <xdr:col>7</xdr:col>
      <xdr:colOff>2324100</xdr:colOff>
      <xdr:row>10</xdr:row>
      <xdr:rowOff>230981</xdr:rowOff>
    </xdr:to>
    <xdr:sp macro="[4]!LEITE" textlink="">
      <xdr:nvSpPr>
        <xdr:cNvPr id="49" name="Retângulo Arredondado 11">
          <a:extLst>
            <a:ext uri="{FF2B5EF4-FFF2-40B4-BE49-F238E27FC236}">
              <a16:creationId xmlns:a16="http://schemas.microsoft.com/office/drawing/2014/main" xmlns="" id="{1230A1DF-8775-4218-BB88-81D692D95930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1368088" y="3121819"/>
          <a:ext cx="1738312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LEITE</a:t>
          </a:r>
        </a:p>
      </xdr:txBody>
    </xdr:sp>
    <xdr:clientData/>
  </xdr:twoCellAnchor>
  <xdr:twoCellAnchor editAs="absolute">
    <xdr:from>
      <xdr:col>9</xdr:col>
      <xdr:colOff>3833813</xdr:colOff>
      <xdr:row>9</xdr:row>
      <xdr:rowOff>111919</xdr:rowOff>
    </xdr:from>
    <xdr:to>
      <xdr:col>10</xdr:col>
      <xdr:colOff>857250</xdr:colOff>
      <xdr:row>10</xdr:row>
      <xdr:rowOff>230981</xdr:rowOff>
    </xdr:to>
    <xdr:sp macro="[4]!TODOSFORN" textlink="">
      <xdr:nvSpPr>
        <xdr:cNvPr id="50" name="Retângulo Arredondado 11">
          <a:extLst>
            <a:ext uri="{FF2B5EF4-FFF2-40B4-BE49-F238E27FC236}">
              <a16:creationId xmlns:a16="http://schemas.microsoft.com/office/drawing/2014/main" xmlns="" id="{FA7327A6-ECE0-4DF5-BB84-DE41DEF1927F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0734973" y="3121819"/>
          <a:ext cx="1862137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TODOS</a:t>
          </a:r>
        </a:p>
      </xdr:txBody>
    </xdr:sp>
    <xdr:clientData/>
  </xdr:twoCellAnchor>
  <xdr:twoCellAnchor editAs="absolute">
    <xdr:from>
      <xdr:col>9</xdr:col>
      <xdr:colOff>1319212</xdr:colOff>
      <xdr:row>9</xdr:row>
      <xdr:rowOff>119062</xdr:rowOff>
    </xdr:from>
    <xdr:to>
      <xdr:col>9</xdr:col>
      <xdr:colOff>3357561</xdr:colOff>
      <xdr:row>10</xdr:row>
      <xdr:rowOff>240506</xdr:rowOff>
    </xdr:to>
    <xdr:sp macro="[4]!FERMENTO" textlink="">
      <xdr:nvSpPr>
        <xdr:cNvPr id="51" name="Retângulo Arredondado 11">
          <a:extLst>
            <a:ext uri="{FF2B5EF4-FFF2-40B4-BE49-F238E27FC236}">
              <a16:creationId xmlns:a16="http://schemas.microsoft.com/office/drawing/2014/main" xmlns="" id="{6B241BEA-B152-441F-AF0D-FEF22B3BD1AE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8220372" y="3128962"/>
          <a:ext cx="2038349" cy="48720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FERMENTO</a:t>
          </a:r>
        </a:p>
      </xdr:txBody>
    </xdr:sp>
    <xdr:clientData/>
  </xdr:twoCellAnchor>
  <xdr:twoCellAnchor editAs="absolute">
    <xdr:from>
      <xdr:col>14</xdr:col>
      <xdr:colOff>142874</xdr:colOff>
      <xdr:row>9</xdr:row>
      <xdr:rowOff>47624</xdr:rowOff>
    </xdr:from>
    <xdr:to>
      <xdr:col>14</xdr:col>
      <xdr:colOff>904874</xdr:colOff>
      <xdr:row>10</xdr:row>
      <xdr:rowOff>285749</xdr:rowOff>
    </xdr:to>
    <xdr:sp macro="[4]!MenoPMaiorPreço" textlink="">
      <xdr:nvSpPr>
        <xdr:cNvPr id="52" name="Retângulo Arredondado 11">
          <a:extLst>
            <a:ext uri="{FF2B5EF4-FFF2-40B4-BE49-F238E27FC236}">
              <a16:creationId xmlns:a16="http://schemas.microsoft.com/office/drawing/2014/main" xmlns="" id="{D9C677DC-460B-4B1B-8D0A-A97E57CE7357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32512634" y="3057524"/>
          <a:ext cx="762000" cy="603885"/>
        </a:xfrm>
        <a:prstGeom prst="roundRect">
          <a:avLst>
            <a:gd name="adj" fmla="val 36022"/>
          </a:avLst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1047749</xdr:colOff>
      <xdr:row>9</xdr:row>
      <xdr:rowOff>47626</xdr:rowOff>
    </xdr:from>
    <xdr:to>
      <xdr:col>14</xdr:col>
      <xdr:colOff>1809749</xdr:colOff>
      <xdr:row>10</xdr:row>
      <xdr:rowOff>285751</xdr:rowOff>
    </xdr:to>
    <xdr:sp macro="[4]!MaiorPmenorPreço" textlink="">
      <xdr:nvSpPr>
        <xdr:cNvPr id="53" name="Retângulo Arredondado 11">
          <a:extLst>
            <a:ext uri="{FF2B5EF4-FFF2-40B4-BE49-F238E27FC236}">
              <a16:creationId xmlns:a16="http://schemas.microsoft.com/office/drawing/2014/main" xmlns="" id="{43EBAC8A-9565-4052-845F-B560AFF9D732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33417509" y="3057526"/>
          <a:ext cx="762000" cy="603885"/>
        </a:xfrm>
        <a:prstGeom prst="roundRect">
          <a:avLst>
            <a:gd name="adj" fmla="val 36022"/>
          </a:avLst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309563</xdr:colOff>
      <xdr:row>9</xdr:row>
      <xdr:rowOff>47625</xdr:rowOff>
    </xdr:from>
    <xdr:to>
      <xdr:col>14</xdr:col>
      <xdr:colOff>714375</xdr:colOff>
      <xdr:row>10</xdr:row>
      <xdr:rowOff>214312</xdr:rowOff>
    </xdr:to>
    <xdr:sp macro="[4]!MenoPMaiorPreço" textlink="">
      <xdr:nvSpPr>
        <xdr:cNvPr id="54" name="Arrow: Up 65">
          <a:extLst>
            <a:ext uri="{FF2B5EF4-FFF2-40B4-BE49-F238E27FC236}">
              <a16:creationId xmlns:a16="http://schemas.microsoft.com/office/drawing/2014/main" xmlns="" id="{F251BF18-3C6E-47A0-8D76-AF623E995AB6}"/>
            </a:ext>
          </a:extLst>
        </xdr:cNvPr>
        <xdr:cNvSpPr/>
      </xdr:nvSpPr>
      <xdr:spPr>
        <a:xfrm>
          <a:off x="32679323" y="3057525"/>
          <a:ext cx="404812" cy="532447"/>
        </a:xfrm>
        <a:prstGeom prst="upArrow">
          <a:avLst/>
        </a:prstGeom>
        <a:solidFill>
          <a:schemeClr val="bg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1238251</xdr:colOff>
      <xdr:row>9</xdr:row>
      <xdr:rowOff>95251</xdr:rowOff>
    </xdr:from>
    <xdr:to>
      <xdr:col>14</xdr:col>
      <xdr:colOff>1643063</xdr:colOff>
      <xdr:row>10</xdr:row>
      <xdr:rowOff>261938</xdr:rowOff>
    </xdr:to>
    <xdr:sp macro="[4]!MaiorPmenorPreço" textlink="">
      <xdr:nvSpPr>
        <xdr:cNvPr id="55" name="Arrow: Up 66">
          <a:extLst>
            <a:ext uri="{FF2B5EF4-FFF2-40B4-BE49-F238E27FC236}">
              <a16:creationId xmlns:a16="http://schemas.microsoft.com/office/drawing/2014/main" xmlns="" id="{DC03A8DD-5FC5-470B-A5D3-CC4FF365877F}"/>
            </a:ext>
          </a:extLst>
        </xdr:cNvPr>
        <xdr:cNvSpPr/>
      </xdr:nvSpPr>
      <xdr:spPr>
        <a:xfrm rot="10800000">
          <a:off x="33608011" y="3105151"/>
          <a:ext cx="404812" cy="532447"/>
        </a:xfrm>
        <a:prstGeom prst="upArrow">
          <a:avLst/>
        </a:prstGeom>
        <a:solidFill>
          <a:schemeClr val="bg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C16C2718-6C52-4606-A6EC-B0D42AD24BE4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20D49B4-5A85-4135-A11C-A63CF76CB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7F8F23E4-8617-471E-84F6-9DAD57A52C8D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1896CCC8-8CE4-4F4F-A942-E9DF67209C63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C9574D1D-D3E1-4B53-9F05-8326EC85FB9A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4BAE707C-B1B6-40B7-AB94-CA8D9B2A2012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B96BC9A9-506A-41AE-9BC6-6CA517CEA334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xmlns="" id="{3A413A0B-4064-4B96-A21B-89A6CD08271D}"/>
            </a:ext>
          </a:extLst>
        </xdr:cNvPr>
        <xdr:cNvSpPr/>
      </xdr:nvSpPr>
      <xdr:spPr>
        <a:xfrm>
          <a:off x="2096296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xmlns="" id="{98FDB453-CA63-4DED-89C8-A24C6D38FB6B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144268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12432605-FEC2-45C4-9E46-77B396FC3AB3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xmlns="" id="{A090A2D9-C15B-4A92-BA7A-118A0AFE7F7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EA60834A-8C8A-43A3-BC5E-B38A157B9C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xmlns="" id="{BF042E33-5964-4835-AB0A-BA27FD6301B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xmlns="" id="{DBCF4BF4-21AA-4923-BCFB-BF6925AB7135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xmlns="" id="{F5C84FB6-0121-4207-B70C-E5C1FE461A26}"/>
            </a:ext>
          </a:extLst>
        </xdr:cNvPr>
        <xdr:cNvSpPr txBox="1"/>
      </xdr:nvSpPr>
      <xdr:spPr>
        <a:xfrm rot="10800000" flipH="1" flipV="1">
          <a:off x="5898823" y="750343"/>
          <a:ext cx="159869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08228C3-6CE1-417D-8C82-19CC862AD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xmlns="" id="{D7258144-6157-4041-943B-E71D6FA0D8FA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xmlns="" id="{FFE881BD-7F43-4727-B987-E326467959B6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xmlns="" id="{1EB51DD2-72D5-4A0F-B83E-7E596DE45A00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2B1891C4-973D-4B77-8D3B-F5EBC072EE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55C363B2-852A-4076-83F6-34D9E026EC7E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81493698-80D6-4607-8E73-FD43C0A06902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FD73C8B2-4CD6-4CC2-90D7-233E90440122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2B1927E5-BE15-43E9-906B-DD4601805F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42189DD1-2884-42A5-BFBC-E44959BFE4FE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DF267656-CA31-402B-8FD7-23DC3D04F25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4D970A07-5740-41D1-9DEE-B922B5191069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6B1A1F7A-5C85-409C-995A-E8B6D6B075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347470</xdr:colOff>
      <xdr:row>0</xdr:row>
      <xdr:rowOff>0</xdr:rowOff>
    </xdr:from>
    <xdr:to>
      <xdr:col>13</xdr:col>
      <xdr:colOff>625530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728DC884-1401-42B2-8C29-570D7FAD7F5B}"/>
            </a:ext>
          </a:extLst>
        </xdr:cNvPr>
        <xdr:cNvGrpSpPr/>
      </xdr:nvGrpSpPr>
      <xdr:grpSpPr>
        <a:xfrm>
          <a:off x="19897533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27E2CE00-48F8-4A44-BDDD-518FA66E569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67D713CC-3B86-4182-B868-70216D3F752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46A64618-F28E-4D3A-823C-23A23C5252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2713306</xdr:colOff>
      <xdr:row>0</xdr:row>
      <xdr:rowOff>0</xdr:rowOff>
    </xdr:from>
    <xdr:to>
      <xdr:col>14</xdr:col>
      <xdr:colOff>890337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xmlns="" id="{DFCCAEE6-BB24-415A-B946-E1118E6DF0AC}"/>
            </a:ext>
          </a:extLst>
        </xdr:cNvPr>
        <xdr:cNvSpPr/>
      </xdr:nvSpPr>
      <xdr:spPr>
        <a:xfrm>
          <a:off x="2415598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2664073</xdr:colOff>
      <xdr:row>2</xdr:row>
      <xdr:rowOff>384583</xdr:rowOff>
    </xdr:from>
    <xdr:to>
      <xdr:col>14</xdr:col>
      <xdr:colOff>977134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xmlns="" id="{61B843F5-B759-4D04-8B82-134EB9EAE302}"/>
            </a:ext>
          </a:extLst>
        </xdr:cNvPr>
        <xdr:cNvSpPr txBox="1"/>
      </xdr:nvSpPr>
      <xdr:spPr>
        <a:xfrm rot="10800000" flipH="1" flipV="1">
          <a:off x="24106753" y="750343"/>
          <a:ext cx="1597281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3151366</xdr:colOff>
      <xdr:row>0</xdr:row>
      <xdr:rowOff>136274</xdr:rowOff>
    </xdr:from>
    <xdr:to>
      <xdr:col>14</xdr:col>
      <xdr:colOff>452274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95F712CE-859E-4DBE-96C4-217BE8D00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9404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996378</xdr:colOff>
      <xdr:row>0</xdr:row>
      <xdr:rowOff>0</xdr:rowOff>
    </xdr:from>
    <xdr:to>
      <xdr:col>15</xdr:col>
      <xdr:colOff>2594547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xmlns="" id="{B60C328F-FC53-4F62-B6FB-296C5A6BF928}"/>
            </a:ext>
          </a:extLst>
        </xdr:cNvPr>
        <xdr:cNvGrpSpPr/>
      </xdr:nvGrpSpPr>
      <xdr:grpSpPr>
        <a:xfrm>
          <a:off x="26975816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xmlns="" id="{7B5CA3BA-B909-4487-ACA5-16501DA0765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xmlns="" id="{3D59AEF7-D634-4E5D-97FD-91433DAD9F0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8B936E2-C8DB-4585-A09B-847F7BD28A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4633089</xdr:colOff>
      <xdr:row>0</xdr:row>
      <xdr:rowOff>0</xdr:rowOff>
    </xdr:from>
    <xdr:to>
      <xdr:col>17</xdr:col>
      <xdr:colOff>135258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xmlns="" id="{AC7BF5F9-0196-4E29-BE01-05244D35317C}"/>
            </a:ext>
          </a:extLst>
        </xdr:cNvPr>
        <xdr:cNvGrpSpPr/>
      </xdr:nvGrpSpPr>
      <xdr:grpSpPr>
        <a:xfrm>
          <a:off x="30612527" y="0"/>
          <a:ext cx="145529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xmlns="" id="{CE34DFE9-CB6E-48E5-80A7-F74090BF55A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xmlns="" id="{506176F0-59AA-41E7-AF25-4A8EC989028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xmlns="" id="{AC622704-8915-4A65-96B5-FA532D6FB72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704850</xdr:colOff>
      <xdr:row>23</xdr:row>
      <xdr:rowOff>57150</xdr:rowOff>
    </xdr:from>
    <xdr:to>
      <xdr:col>11</xdr:col>
      <xdr:colOff>812895</xdr:colOff>
      <xdr:row>26</xdr:row>
      <xdr:rowOff>68198</xdr:rowOff>
    </xdr:to>
    <xdr:sp macro="[4]!EnviarSolicitações" textlink="">
      <xdr:nvSpPr>
        <xdr:cNvPr id="46" name="Retângulo Arredondado 11">
          <a:extLst>
            <a:ext uri="{FF2B5EF4-FFF2-40B4-BE49-F238E27FC236}">
              <a16:creationId xmlns:a16="http://schemas.microsoft.com/office/drawing/2014/main" xmlns="" id="{9904BF21-F5DE-4A76-BB7F-79D9CC9116CE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4108430" y="8187690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13</xdr:col>
      <xdr:colOff>857250</xdr:colOff>
      <xdr:row>18</xdr:row>
      <xdr:rowOff>142875</xdr:rowOff>
    </xdr:from>
    <xdr:to>
      <xdr:col>14</xdr:col>
      <xdr:colOff>357187</xdr:colOff>
      <xdr:row>22</xdr:row>
      <xdr:rowOff>214313</xdr:rowOff>
    </xdr:to>
    <xdr:sp macro="" textlink="">
      <xdr:nvSpPr>
        <xdr:cNvPr id="47" name="Arrow: Right 4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xmlns="" id="{775AB679-FD5F-4B7A-9B3B-283EBFE17674}"/>
            </a:ext>
          </a:extLst>
        </xdr:cNvPr>
        <xdr:cNvSpPr/>
      </xdr:nvSpPr>
      <xdr:spPr>
        <a:xfrm>
          <a:off x="22299930" y="6444615"/>
          <a:ext cx="2784157" cy="1534478"/>
        </a:xfrm>
        <a:prstGeom prst="rightArrow">
          <a:avLst/>
        </a:prstGeom>
        <a:solidFill>
          <a:schemeClr val="tx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SOLICITAÇÔES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EEF4C97B-FC84-4F29-BF05-203EB516145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945A78D5-25BF-48DE-893E-2C1158765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48DD2120-B817-4E0F-8FCE-92A651C4AA1A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DD888486-5ADC-4A55-92A6-BA4B9527E990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A9C3084F-AFF6-4DCB-BE7F-BDFDD4CB539C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036C71F7-D8EC-4E14-9D36-1B082531DB57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9F49EC12-CAAB-46EE-9A16-833B00270E17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xmlns="" id="{1D3BE76D-3400-4E37-95CA-70BFEECD1519}"/>
            </a:ext>
          </a:extLst>
        </xdr:cNvPr>
        <xdr:cNvSpPr/>
      </xdr:nvSpPr>
      <xdr:spPr>
        <a:xfrm>
          <a:off x="2096296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xmlns="" id="{FBCDAA74-81BC-48CE-9C4D-B221CB1E74E8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144268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C9CC5649-9F17-4441-80ED-BBBA98D92633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xmlns="" id="{127103D3-6069-4E5E-88D3-C979064459B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2BFBE395-DB06-4BA3-A93C-B8AC28C099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xmlns="" id="{2835E5CA-15A6-442A-80A1-BA723492475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xmlns="" id="{5DAC72F8-1018-4124-80A5-46D035D9C96A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xmlns="" id="{0066F63D-A9F0-4D99-8A40-E24615D29604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B08EFC45-2248-460D-B75D-5251A5EFD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xmlns="" id="{E8E6E7E4-4C74-4770-B1A5-AAD2846CFB35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xmlns="" id="{DD097893-9154-4BD5-B2EB-E7A92248EF3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xmlns="" id="{55A12340-2DA5-42D0-96C3-DCF2AA022E8F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8170E6F-4F2C-432D-9131-98CE1B1FD8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0C2D7B5C-083F-4515-B473-3D5793DB688E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2F0A65FD-08A2-4667-9BDC-C9B94F1A93F5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3D0C7C1A-92DD-4FEE-A4CF-0D0BE0B6699D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198FAF6E-7DF1-4C9C-9C12-9C96249AD5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859C9566-077F-4763-BFDB-90A7D4423C46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A9DE8F79-59B2-4F85-B99B-5D33694F7D6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4CA1BD02-C5CD-4052-BB5F-0FA4D1CCBCAB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5421B5F5-813A-4629-AD8D-7749574B39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347470</xdr:colOff>
      <xdr:row>0</xdr:row>
      <xdr:rowOff>0</xdr:rowOff>
    </xdr:from>
    <xdr:to>
      <xdr:col>13</xdr:col>
      <xdr:colOff>625530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B99B53B8-5143-4745-A2D1-D0F463BAA9CE}"/>
            </a:ext>
          </a:extLst>
        </xdr:cNvPr>
        <xdr:cNvGrpSpPr/>
      </xdr:nvGrpSpPr>
      <xdr:grpSpPr>
        <a:xfrm>
          <a:off x="20445220" y="0"/>
          <a:ext cx="161156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CA74B16D-1510-4496-BC6B-922411C742EE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1B1BA3E4-011D-495D-A37B-06416F34C32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AE03A4C2-E195-4756-A0FE-31776D0BFE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2713306</xdr:colOff>
      <xdr:row>0</xdr:row>
      <xdr:rowOff>0</xdr:rowOff>
    </xdr:from>
    <xdr:to>
      <xdr:col>14</xdr:col>
      <xdr:colOff>890337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xmlns="" id="{AEF45D5D-5E1E-4D3D-91CB-9C29802C088E}"/>
            </a:ext>
          </a:extLst>
        </xdr:cNvPr>
        <xdr:cNvSpPr/>
      </xdr:nvSpPr>
      <xdr:spPr>
        <a:xfrm>
          <a:off x="2415598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2664073</xdr:colOff>
      <xdr:row>2</xdr:row>
      <xdr:rowOff>384583</xdr:rowOff>
    </xdr:from>
    <xdr:to>
      <xdr:col>14</xdr:col>
      <xdr:colOff>977134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xmlns="" id="{FC52D60C-F3C9-4B01-9CFB-3355FE3869C6}"/>
            </a:ext>
          </a:extLst>
        </xdr:cNvPr>
        <xdr:cNvSpPr txBox="1"/>
      </xdr:nvSpPr>
      <xdr:spPr>
        <a:xfrm rot="10800000" flipH="1" flipV="1">
          <a:off x="2410675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3151366</xdr:colOff>
      <xdr:row>0</xdr:row>
      <xdr:rowOff>136274</xdr:rowOff>
    </xdr:from>
    <xdr:to>
      <xdr:col>14</xdr:col>
      <xdr:colOff>452274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B86CD6DA-B488-4604-8F77-3B13EFE92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9404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996378</xdr:colOff>
      <xdr:row>0</xdr:row>
      <xdr:rowOff>0</xdr:rowOff>
    </xdr:from>
    <xdr:to>
      <xdr:col>15</xdr:col>
      <xdr:colOff>2594547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xmlns="" id="{650135CC-676F-4330-9C39-D637264942FF}"/>
            </a:ext>
          </a:extLst>
        </xdr:cNvPr>
        <xdr:cNvGrpSpPr/>
      </xdr:nvGrpSpPr>
      <xdr:grpSpPr>
        <a:xfrm>
          <a:off x="2772352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xmlns="" id="{33A55235-2ED3-4BDF-9D43-66C2E39E6517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xmlns="" id="{1DFCF0E0-DE53-48D0-B767-F50AFFF62F2C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A6521B1-81BE-4CFE-BE47-2726846575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4633089</xdr:colOff>
      <xdr:row>0</xdr:row>
      <xdr:rowOff>0</xdr:rowOff>
    </xdr:from>
    <xdr:to>
      <xdr:col>17</xdr:col>
      <xdr:colOff>135258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xmlns="" id="{31EDF51E-31A6-4BB6-A483-A7CBD7848DB9}"/>
            </a:ext>
          </a:extLst>
        </xdr:cNvPr>
        <xdr:cNvGrpSpPr/>
      </xdr:nvGrpSpPr>
      <xdr:grpSpPr>
        <a:xfrm>
          <a:off x="3136023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xmlns="" id="{092BFCA1-3F6A-4446-A89D-1ED56297AB0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xmlns="" id="{41CF2156-CD18-4160-885F-A9741726409B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xmlns="" id="{FC8F3214-FF60-4AD1-B85F-8333FA4B87B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5</xdr:col>
      <xdr:colOff>165118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4B74794D-4EE7-48F9-9FA1-6CE0DBA761F8}"/>
            </a:ext>
          </a:extLst>
        </xdr:cNvPr>
        <xdr:cNvSpPr txBox="1"/>
      </xdr:nvSpPr>
      <xdr:spPr>
        <a:xfrm rot="10800000" flipH="1" flipV="1">
          <a:off x="4435170" y="499654"/>
          <a:ext cx="1117288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2276445</xdr:colOff>
      <xdr:row>0</xdr:row>
      <xdr:rowOff>91651</xdr:rowOff>
    </xdr:from>
    <xdr:to>
      <xdr:col>4</xdr:col>
      <xdr:colOff>2693681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42255F8B-21E7-47F0-BB54-94FEC6E71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1484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3ACDEEEF-1DF5-41C6-96D6-906CD3A7B3A7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5B0E192E-91CA-4567-9208-E34087FC4C12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8</xdr:col>
      <xdr:colOff>1478400</xdr:colOff>
      <xdr:row>3</xdr:row>
      <xdr:rowOff>182100</xdr:rowOff>
    </xdr:from>
    <xdr:to>
      <xdr:col>10</xdr:col>
      <xdr:colOff>1595438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5265B9D8-9536-4A30-BCD3-65DEC25992BF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0125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5</xdr:col>
      <xdr:colOff>442913</xdr:colOff>
      <xdr:row>3</xdr:row>
      <xdr:rowOff>182100</xdr:rowOff>
    </xdr:from>
    <xdr:to>
      <xdr:col>7</xdr:col>
      <xdr:colOff>1560075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27423FDA-10F8-44D0-B75E-9065DB760ED3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30253" y="1325100"/>
          <a:ext cx="3365062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11</xdr:col>
      <xdr:colOff>323850</xdr:colOff>
      <xdr:row>3</xdr:row>
      <xdr:rowOff>152400</xdr:rowOff>
    </xdr:from>
    <xdr:to>
      <xdr:col>12</xdr:col>
      <xdr:colOff>1002862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F482CB4F-486A-4911-B85C-8F91AABC1D69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12490" y="1295400"/>
          <a:ext cx="3452692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13</xdr:col>
      <xdr:colOff>1060474</xdr:colOff>
      <xdr:row>3</xdr:row>
      <xdr:rowOff>133350</xdr:rowOff>
    </xdr:from>
    <xdr:to>
      <xdr:col>14</xdr:col>
      <xdr:colOff>1201324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xmlns="" id="{EB248216-9163-469C-BE62-53D7FA8D913A}"/>
            </a:ext>
          </a:extLst>
        </xdr:cNvPr>
        <xdr:cNvSpPr/>
      </xdr:nvSpPr>
      <xdr:spPr>
        <a:xfrm>
          <a:off x="20948674" y="1276350"/>
          <a:ext cx="342507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33</xdr:row>
      <xdr:rowOff>65315</xdr:rowOff>
    </xdr:from>
    <xdr:to>
      <xdr:col>13</xdr:col>
      <xdr:colOff>0</xdr:colOff>
      <xdr:row>36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xmlns="" id="{8A549FCF-0619-432C-A28F-26FB5E72A35B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9888200" y="118534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7960A4B1-5D5A-408C-93CA-0E6548BB0C95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xmlns="" id="{1C482E92-19D6-4077-9887-39F5FB0F0F4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7870A70F-F1A5-4A04-B8AF-7E083D962E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xmlns="" id="{31AC38AC-D8AB-45CC-8D1D-6AFEFC814FF9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579087</xdr:colOff>
      <xdr:row>0</xdr:row>
      <xdr:rowOff>0</xdr:rowOff>
    </xdr:from>
    <xdr:to>
      <xdr:col>6</xdr:col>
      <xdr:colOff>1091038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xmlns="" id="{9E72FDC7-F48F-44D6-8384-EE5807EFDCED}"/>
            </a:ext>
          </a:extLst>
        </xdr:cNvPr>
        <xdr:cNvSpPr/>
      </xdr:nvSpPr>
      <xdr:spPr>
        <a:xfrm>
          <a:off x="5966427" y="0"/>
          <a:ext cx="144921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512436</xdr:colOff>
      <xdr:row>2</xdr:row>
      <xdr:rowOff>384583</xdr:rowOff>
    </xdr:from>
    <xdr:to>
      <xdr:col>6</xdr:col>
      <xdr:colOff>1160538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xmlns="" id="{91D6F436-0848-40D7-9EDE-D38C4A98D6E3}"/>
            </a:ext>
          </a:extLst>
        </xdr:cNvPr>
        <xdr:cNvSpPr txBox="1"/>
      </xdr:nvSpPr>
      <xdr:spPr>
        <a:xfrm rot="10800000" flipH="1" flipV="1">
          <a:off x="5899776" y="750343"/>
          <a:ext cx="1585362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6</xdr:col>
      <xdr:colOff>75588</xdr:colOff>
      <xdr:row>0</xdr:row>
      <xdr:rowOff>126203</xdr:rowOff>
    </xdr:from>
    <xdr:to>
      <xdr:col>6</xdr:col>
      <xdr:colOff>661087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2B181F33-8F8B-4159-A39F-6B55F3610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188" y="126203"/>
          <a:ext cx="585499" cy="603889"/>
        </a:xfrm>
        <a:prstGeom prst="rect">
          <a:avLst/>
        </a:prstGeom>
        <a:noFill/>
      </xdr:spPr>
    </xdr:pic>
    <xdr:clientData/>
  </xdr:twoCellAnchor>
  <xdr:twoCellAnchor editAs="absolute">
    <xdr:from>
      <xdr:col>7</xdr:col>
      <xdr:colOff>1822718</xdr:colOff>
      <xdr:row>0</xdr:row>
      <xdr:rowOff>0</xdr:rowOff>
    </xdr:from>
    <xdr:to>
      <xdr:col>9</xdr:col>
      <xdr:colOff>39510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xmlns="" id="{8A176A13-9684-4D43-B3B6-A184F10D3130}"/>
            </a:ext>
          </a:extLst>
        </xdr:cNvPr>
        <xdr:cNvGrpSpPr/>
      </xdr:nvGrpSpPr>
      <xdr:grpSpPr>
        <a:xfrm>
          <a:off x="9461768" y="0"/>
          <a:ext cx="1702942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xmlns="" id="{599F2C1F-8595-4B27-880B-0C8F2F30BB7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xmlns="" id="{74E5373B-E7E4-4FB8-B2C1-FD37011952C6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A5C6A73-07AD-49A7-9F2C-C247A1FB0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363554</xdr:colOff>
      <xdr:row>0</xdr:row>
      <xdr:rowOff>0</xdr:rowOff>
    </xdr:from>
    <xdr:to>
      <xdr:col>10</xdr:col>
      <xdr:colOff>1911786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62F3DF24-2A5E-4E63-9AAE-79E9793510FE}"/>
            </a:ext>
          </a:extLst>
        </xdr:cNvPr>
        <xdr:cNvGrpSpPr/>
      </xdr:nvGrpSpPr>
      <xdr:grpSpPr>
        <a:xfrm>
          <a:off x="13203254" y="0"/>
          <a:ext cx="1548232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DE9A0F90-AE73-4EB0-8400-C14AEB0DE173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26C77833-D743-451F-8DDD-84D82BC6DE79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BA350253-89CF-4985-B88C-2E3B522E7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1002341</xdr:colOff>
      <xdr:row>0</xdr:row>
      <xdr:rowOff>0</xdr:rowOff>
    </xdr:from>
    <xdr:to>
      <xdr:col>11</xdr:col>
      <xdr:colOff>2585652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F4FE67A8-50DF-4681-8914-4200FBBA9117}"/>
            </a:ext>
          </a:extLst>
        </xdr:cNvPr>
        <xdr:cNvGrpSpPr/>
      </xdr:nvGrpSpPr>
      <xdr:grpSpPr>
        <a:xfrm>
          <a:off x="16794791" y="0"/>
          <a:ext cx="1583311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F0EF29BE-A50C-4D26-BBC4-8C4D8A6C49A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FC667568-1591-4307-9F05-DFFA781F6FC6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A5AC58B0-163E-4EB6-89BD-9BE19037A3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647507</xdr:colOff>
      <xdr:row>0</xdr:row>
      <xdr:rowOff>0</xdr:rowOff>
    </xdr:from>
    <xdr:to>
      <xdr:col>13</xdr:col>
      <xdr:colOff>2154292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55F48E13-33A3-4D76-BB98-6CDC07E84EA9}"/>
            </a:ext>
          </a:extLst>
        </xdr:cNvPr>
        <xdr:cNvGrpSpPr/>
      </xdr:nvGrpSpPr>
      <xdr:grpSpPr>
        <a:xfrm>
          <a:off x="20554757" y="0"/>
          <a:ext cx="1506785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85C40359-6D53-46FA-A3DD-C0CF1F70BB8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260F579E-0B27-4A0D-88E7-28F23E616A7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BB2B4CA-A332-46BE-B8AD-0E328B02C3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984518</xdr:colOff>
      <xdr:row>0</xdr:row>
      <xdr:rowOff>0</xdr:rowOff>
    </xdr:from>
    <xdr:to>
      <xdr:col>15</xdr:col>
      <xdr:colOff>485524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xmlns="" id="{8FD7E9AB-CF82-41CB-9220-106831E1566A}"/>
            </a:ext>
          </a:extLst>
        </xdr:cNvPr>
        <xdr:cNvSpPr/>
      </xdr:nvSpPr>
      <xdr:spPr>
        <a:xfrm>
          <a:off x="24156938" y="0"/>
          <a:ext cx="151268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935285</xdr:colOff>
      <xdr:row>2</xdr:row>
      <xdr:rowOff>384583</xdr:rowOff>
    </xdr:from>
    <xdr:to>
      <xdr:col>15</xdr:col>
      <xdr:colOff>572321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xmlns="" id="{D8BD3703-31E6-4B03-8C54-AA11A8D73FAF}"/>
            </a:ext>
          </a:extLst>
        </xdr:cNvPr>
        <xdr:cNvSpPr txBox="1"/>
      </xdr:nvSpPr>
      <xdr:spPr>
        <a:xfrm rot="10800000" flipH="1" flipV="1">
          <a:off x="24107705" y="750343"/>
          <a:ext cx="164871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14</xdr:col>
      <xdr:colOff>1422578</xdr:colOff>
      <xdr:row>0</xdr:row>
      <xdr:rowOff>136274</xdr:rowOff>
    </xdr:from>
    <xdr:to>
      <xdr:col>15</xdr:col>
      <xdr:colOff>47461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D6FB3D1C-77A1-4CC9-B1B1-AEECFB989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94998" y="136274"/>
          <a:ext cx="636563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2487040</xdr:colOff>
      <xdr:row>0</xdr:row>
      <xdr:rowOff>0</xdr:rowOff>
    </xdr:from>
    <xdr:to>
      <xdr:col>15</xdr:col>
      <xdr:colOff>4066159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xmlns="" id="{CBDD53BF-E92E-43B0-A150-D6CFE72B28A6}"/>
            </a:ext>
          </a:extLst>
        </xdr:cNvPr>
        <xdr:cNvGrpSpPr/>
      </xdr:nvGrpSpPr>
      <xdr:grpSpPr>
        <a:xfrm>
          <a:off x="27690190" y="0"/>
          <a:ext cx="157911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xmlns="" id="{C9489BCA-BF00-4019-97B3-D06CD274D02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xmlns="" id="{96460177-A0CF-42BD-9E76-6606761B07DC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FA6FD7A-BEB8-40A3-B342-01599264F6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94426</xdr:colOff>
      <xdr:row>0</xdr:row>
      <xdr:rowOff>0</xdr:rowOff>
    </xdr:from>
    <xdr:to>
      <xdr:col>19</xdr:col>
      <xdr:colOff>473395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xmlns="" id="{C99BB3BE-16D0-4627-AE1C-C74AC3358DCA}"/>
            </a:ext>
          </a:extLst>
        </xdr:cNvPr>
        <xdr:cNvGrpSpPr/>
      </xdr:nvGrpSpPr>
      <xdr:grpSpPr>
        <a:xfrm>
          <a:off x="31393576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xmlns="" id="{5B916B9A-1E96-4BD0-8745-F8D27EDCCA83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xmlns="" id="{DA6B8D12-61CD-4D23-8D23-EE89A6218164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xmlns="" id="{3F03B5EB-DB6B-41D7-B577-1AD5739E05D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571500</xdr:colOff>
      <xdr:row>20</xdr:row>
      <xdr:rowOff>0</xdr:rowOff>
    </xdr:from>
    <xdr:to>
      <xdr:col>8</xdr:col>
      <xdr:colOff>0</xdr:colOff>
      <xdr:row>24</xdr:row>
      <xdr:rowOff>71438</xdr:rowOff>
    </xdr:to>
    <xdr:sp macro="" textlink="">
      <xdr:nvSpPr>
        <xdr:cNvPr id="46" name="Arrow: Right 45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xmlns="" id="{B94444D6-C8A8-4DD9-A71F-E72031817E2D}"/>
            </a:ext>
          </a:extLst>
        </xdr:cNvPr>
        <xdr:cNvSpPr/>
      </xdr:nvSpPr>
      <xdr:spPr>
        <a:xfrm flipH="1">
          <a:off x="6896100" y="7033260"/>
          <a:ext cx="2659380" cy="1534478"/>
        </a:xfrm>
        <a:prstGeom prst="rightArrow">
          <a:avLst/>
        </a:prstGeom>
        <a:solidFill>
          <a:schemeClr val="tx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A4399145-B7D3-4312-9484-39D65257AFA5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CBAD287B-3257-4C18-B0DB-8B298A252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AFD38A48-7A78-49CA-A200-FB284019252E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3C7C628C-6C5B-43D1-A347-1973FDDCBC07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0BC33700-11F4-4B9D-9B99-C6CF4AC99A58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7093634E-F5A0-4E96-8FC8-359E1EB9BCDB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D027E10D-62AB-4FBD-ACEB-F267046BFBD8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xmlns="" id="{F0E7254D-34C5-476F-AF15-1EFE253AB152}"/>
            </a:ext>
          </a:extLst>
        </xdr:cNvPr>
        <xdr:cNvSpPr/>
      </xdr:nvSpPr>
      <xdr:spPr>
        <a:xfrm>
          <a:off x="20955342" y="1276350"/>
          <a:ext cx="3409830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xmlns="" id="{A992E602-4A64-4F82-9C44-51ACC4935D27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16636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73254A76-DF30-4BB2-A209-E106BD201B56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xmlns="" id="{82792303-CDE1-45D4-BC89-38D2345EA73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4FB98CF9-F677-4245-B05A-E41B43088F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xmlns="" id="{EA1418A0-3387-48FC-8765-2886D7E35AA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xmlns="" id="{07A3D9FD-CACC-4DDE-A40D-ECC363CDA580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xmlns="" id="{441C1384-5691-49B9-990A-2C1849C861F9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4EC9BFC-1ADF-4270-BFD0-96F245905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xmlns="" id="{88A6CF18-BD19-4CB8-BEFA-53C446E57752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xmlns="" id="{B34261F5-56D3-4AE1-BC5E-CBDA750DF4B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xmlns="" id="{3C9BA9E8-E830-49E2-9D3F-72854AC20F3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8359ADD7-5E84-4BEF-A609-66E2788936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A6E72EE5-564E-4431-A052-6EB14326FE3D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F793C9B8-4853-4CA5-8E79-46A296A1F3D9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66BCFCF7-A625-4752-A65C-669796F6399E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74B41479-3CEA-478F-A50D-0B4C8B8C52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0111B9C9-EE23-495E-BD5D-4E9C15CB8443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4C60129A-87CA-4A09-8A92-B1519C4C793A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DF40D98B-11E3-41F4-BC7F-524494094A02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C5610B77-B9DA-4528-AC1A-E8416411D8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5EB07E71-69AD-4E1D-BE70-12137F01F57F}"/>
            </a:ext>
          </a:extLst>
        </xdr:cNvPr>
        <xdr:cNvGrpSpPr/>
      </xdr:nvGrpSpPr>
      <xdr:grpSpPr>
        <a:xfrm>
          <a:off x="20426170" y="0"/>
          <a:ext cx="161156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5D9F1E59-6E7F-444E-8285-06C7FE25B0A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F48F9589-C6CA-44D9-B4FC-5F6333828FA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E84A3F71-3E23-474C-903E-E1DFB329EA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xmlns="" id="{1C51FCD1-78AC-488C-B2CA-D4B5386220B1}"/>
            </a:ext>
          </a:extLst>
        </xdr:cNvPr>
        <xdr:cNvSpPr/>
      </xdr:nvSpPr>
      <xdr:spPr>
        <a:xfrm>
          <a:off x="2414836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xmlns="" id="{DDCDDF5F-A4C3-4622-B400-1BB6BEC38BEA}"/>
            </a:ext>
          </a:extLst>
        </xdr:cNvPr>
        <xdr:cNvSpPr txBox="1"/>
      </xdr:nvSpPr>
      <xdr:spPr>
        <a:xfrm rot="10800000" flipH="1" flipV="1">
          <a:off x="2409913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8775064-DECD-49A8-B7F5-4995B43EF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8642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xmlns="" id="{2ABE12DC-BBC0-4A94-BE4F-56A46CAFCC48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xmlns="" id="{54D10E89-DB85-4B1E-9C92-90927FAD209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xmlns="" id="{C9B3A22D-8982-4D3E-AF0D-A050DC4F629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C2107A97-9EF0-4454-BC88-81C1AE723A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xmlns="" id="{7D34ED13-4F37-427E-921E-D5EDD4E1C316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xmlns="" id="{5E902FAB-4EB1-4742-8DCD-006C0E36DD4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xmlns="" id="{2545F155-DA10-42AB-8199-B6573D2F4248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xmlns="" id="{C753B3CE-6D40-48F2-ACA3-D631A3844A4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849336</xdr:colOff>
      <xdr:row>30</xdr:row>
      <xdr:rowOff>314569</xdr:rowOff>
    </xdr:from>
    <xdr:to>
      <xdr:col>11</xdr:col>
      <xdr:colOff>957381</xdr:colOff>
      <xdr:row>33</xdr:row>
      <xdr:rowOff>325617</xdr:rowOff>
    </xdr:to>
    <xdr:sp macro="[4]!RealizarPedido" textlink="">
      <xdr:nvSpPr>
        <xdr:cNvPr id="46" name="Retângulo Arredondado 11">
          <a:extLst>
            <a:ext uri="{FF2B5EF4-FFF2-40B4-BE49-F238E27FC236}">
              <a16:creationId xmlns:a16="http://schemas.microsoft.com/office/drawing/2014/main" xmlns="" id="{336EB450-8D88-4C72-B223-4ACE10028868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4252916" y="11005429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6E8A88E9-CAF9-48B2-BDB7-658DB7318067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BEBC365-A2EC-4FD9-8C6E-FE38D8FC7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653CC731-03EF-4F17-AD07-03D33768AB0E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0E358B9F-BCAF-45CC-A42D-47BACEFD6AFE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10</xdr:col>
      <xdr:colOff>361950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C1179918-4558-4657-B48B-C40BEE871F66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1745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1AA3732E-B8DD-4622-BBDC-16EE9C8C42BF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0</xdr:col>
      <xdr:colOff>0</xdr:colOff>
      <xdr:row>31</xdr:row>
      <xdr:rowOff>65315</xdr:rowOff>
    </xdr:from>
    <xdr:to>
      <xdr:col>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xmlns="" id="{90B9CF0F-ECFF-4DC6-A2CC-6640936385AA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81203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E834E01D-E2DB-4C99-95D5-2847CF1C311C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04F90988-21F3-4C1A-ADEA-CF6C66839ED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146E46A4-3C8B-4DDA-889F-C6FC396000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xmlns="" id="{B6CDB6BD-EAE9-465F-B98A-782D92ECEF8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B0C89B50-6B10-486E-AB00-3049237EBE66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8047240F-DDDB-454D-A864-8C8DF090ED38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7C3E61C-357A-4770-99C2-59A9AA2FC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xmlns="" id="{D3884C30-36E5-40B7-B602-F0475AAC0C8D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xmlns="" id="{E1EF63FC-FA2B-466E-8AB3-C62567AD5E84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xmlns="" id="{7940C582-0F63-4984-9E45-F174BC1AF68A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F5F9F955-93DA-4B7B-8CA6-9C9180CDF5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10</xdr:col>
      <xdr:colOff>678298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xmlns="" id="{1F7D76F7-DC03-4244-98C4-97666FF8AAB3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xmlns="" id="{382E69ED-CBE3-486D-8276-BF9C3E7114E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xmlns="" id="{23153655-0D48-4A1B-BDE7-D0BF79CDED8D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56287B19-97DC-40B9-8936-37CACEF9EB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126041</xdr:colOff>
      <xdr:row>0</xdr:row>
      <xdr:rowOff>0</xdr:rowOff>
    </xdr:from>
    <xdr:to>
      <xdr:col>13</xdr:col>
      <xdr:colOff>290127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xmlns="" id="{FC77F513-CB84-41A3-AC4C-BFEF6BA51663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xmlns="" id="{02DF2A64-5EE3-4137-AFA8-7E9FB83F53AD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xmlns="" id="{A66DC67B-E864-45E8-817A-7F69E7FB78E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398FB404-E988-4713-AFE8-A1A8957C4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244391</xdr:colOff>
      <xdr:row>0</xdr:row>
      <xdr:rowOff>0</xdr:rowOff>
    </xdr:from>
    <xdr:to>
      <xdr:col>15</xdr:col>
      <xdr:colOff>1700627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xmlns="" id="{0F4877AE-2545-4977-AC78-800C0A72BB96}"/>
            </a:ext>
          </a:extLst>
        </xdr:cNvPr>
        <xdr:cNvSpPr/>
      </xdr:nvSpPr>
      <xdr:spPr>
        <a:xfrm>
          <a:off x="20498351" y="0"/>
          <a:ext cx="145623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195070</xdr:colOff>
      <xdr:row>2</xdr:row>
      <xdr:rowOff>384583</xdr:rowOff>
    </xdr:from>
    <xdr:to>
      <xdr:col>16</xdr:col>
      <xdr:colOff>73080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xmlns="" id="{8219D730-482A-4E5D-9BA5-300589A1ABE6}"/>
            </a:ext>
          </a:extLst>
        </xdr:cNvPr>
        <xdr:cNvSpPr txBox="1"/>
      </xdr:nvSpPr>
      <xdr:spPr>
        <a:xfrm rot="10800000" flipH="1" flipV="1">
          <a:off x="2044903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15</xdr:col>
      <xdr:colOff>683236</xdr:colOff>
      <xdr:row>0</xdr:row>
      <xdr:rowOff>136274</xdr:rowOff>
    </xdr:from>
    <xdr:to>
      <xdr:col>15</xdr:col>
      <xdr:colOff>1261779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95222E42-D2BE-4684-9F70-946627D27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18</xdr:col>
      <xdr:colOff>484456</xdr:colOff>
      <xdr:row>0</xdr:row>
      <xdr:rowOff>0</xdr:rowOff>
    </xdr:from>
    <xdr:to>
      <xdr:col>21</xdr:col>
      <xdr:colOff>109287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xmlns="" id="{B3330805-1912-4F11-AFF6-7AA660872D28}"/>
            </a:ext>
          </a:extLst>
        </xdr:cNvPr>
        <xdr:cNvSpPr/>
      </xdr:nvSpPr>
      <xdr:spPr>
        <a:xfrm>
          <a:off x="2413693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18</xdr:col>
      <xdr:colOff>435223</xdr:colOff>
      <xdr:row>2</xdr:row>
      <xdr:rowOff>384583</xdr:rowOff>
    </xdr:from>
    <xdr:to>
      <xdr:col>21</xdr:col>
      <xdr:colOff>196084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xmlns="" id="{579AF2A1-C9B7-482E-9D89-5D7090DEF6F6}"/>
            </a:ext>
          </a:extLst>
        </xdr:cNvPr>
        <xdr:cNvSpPr txBox="1"/>
      </xdr:nvSpPr>
      <xdr:spPr>
        <a:xfrm rot="10800000" flipH="1" flipV="1">
          <a:off x="2408770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19</xdr:col>
      <xdr:colOff>312916</xdr:colOff>
      <xdr:row>0</xdr:row>
      <xdr:rowOff>136274</xdr:rowOff>
    </xdr:from>
    <xdr:to>
      <xdr:col>20</xdr:col>
      <xdr:colOff>280824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D1A55EB-A489-4C4D-BE10-34FE38961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499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23</xdr:col>
      <xdr:colOff>443928</xdr:colOff>
      <xdr:row>0</xdr:row>
      <xdr:rowOff>0</xdr:rowOff>
    </xdr:from>
    <xdr:to>
      <xdr:col>23</xdr:col>
      <xdr:colOff>2042097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0F76E259-59EE-449A-81B9-F5F8046465FE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07F0D300-280D-42DE-A966-17C966CB8CC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C178919A-5DA7-4676-9305-00F00244F0EA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A359BC28-A749-4258-9315-A60A31210D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24</xdr:col>
      <xdr:colOff>575439</xdr:colOff>
      <xdr:row>0</xdr:row>
      <xdr:rowOff>0</xdr:rowOff>
    </xdr:from>
    <xdr:to>
      <xdr:col>27</xdr:col>
      <xdr:colOff>344808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xmlns="" id="{9B780B22-7872-4DE1-8EEB-4558A49F4FF6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xmlns="" id="{B5119F51-85F9-4378-8005-3B1B64D6528E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xmlns="" id="{3D672DA5-8838-4872-A06B-D7A98AC82451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xmlns="" id="{B1F702EF-4D23-4255-8FFA-6A11B30BCFC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6</xdr:col>
      <xdr:colOff>1409700</xdr:colOff>
      <xdr:row>10</xdr:row>
      <xdr:rowOff>228600</xdr:rowOff>
    </xdr:from>
    <xdr:to>
      <xdr:col>21</xdr:col>
      <xdr:colOff>381000</xdr:colOff>
      <xdr:row>49</xdr:row>
      <xdr:rowOff>65572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A0AE90BF-58A8-42D8-BDEE-C5FF9F2EE047}"/>
            </a:ext>
            <a:ext uri="{147F2762-F138-4A5C-976F-8EAC2B608ADB}">
              <a16:predDERef xmlns:a16="http://schemas.microsoft.com/office/drawing/2014/main" xmlns="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401300" y="3638550"/>
          <a:ext cx="15449550" cy="13953022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D0E766C1-546B-49EB-9B23-2AC1CC5C25E8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CC46364-FC1C-45D6-A309-2FA8D6091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1D46D822-3678-44C6-96D2-0378B2BECE21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15D74C6A-FDF3-4A23-9C53-EA3B117642A8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10</xdr:col>
      <xdr:colOff>361950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0517E42C-7970-4155-84CF-C21BE9EF8478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89D2BF39-A6AA-479B-A77F-4797A76E9B39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xmlns="" id="{84045E74-C9DA-4AC4-B8A8-A8B52EE1FE0F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16560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8CDBAC92-CD02-476D-AF4A-707D3E0EFA10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xmlns="" id="{6308F832-CE85-495C-A885-EFE23FF7A05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78E19AD1-2000-42DB-AFED-BAEB5F1F68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xmlns="" id="{356FD34C-5B89-4338-9108-D837E8FB3DB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xmlns="" id="{3AEE41E9-9BD3-4BC5-906D-2F6EACDF3C63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xmlns="" id="{E57EB052-0F02-40EF-B61B-FFC0B7038404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8551CA8D-06C6-48BC-A868-453CBB6A3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xmlns="" id="{CA9DA564-2490-47CB-BFE1-676A8539F8BE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xmlns="" id="{84047F41-6F12-4328-B11B-939B7A603813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xmlns="" id="{DCC25F4A-7FCD-44B4-8EEE-241899FA06B2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A400D7B4-01CD-4E68-927A-49F7310F98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10</xdr:col>
      <xdr:colOff>678298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3E99E84F-3481-4E6D-B3EE-9D05F5B9F5BB}"/>
            </a:ext>
          </a:extLst>
        </xdr:cNvPr>
        <xdr:cNvGrpSpPr/>
      </xdr:nvGrpSpPr>
      <xdr:grpSpPr>
        <a:xfrm>
          <a:off x="12836542" y="0"/>
          <a:ext cx="153394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F844FDB0-EB86-4D2A-B743-A2F4249181D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D4FD03D5-F824-4D26-A224-6CC61D0AD75C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4F538F05-A436-4F07-98F7-F5156A1F23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640391</xdr:colOff>
      <xdr:row>0</xdr:row>
      <xdr:rowOff>0</xdr:rowOff>
    </xdr:from>
    <xdr:to>
      <xdr:col>14</xdr:col>
      <xdr:colOff>118677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9B18ABC3-E00E-4459-869F-A3048C8354B1}"/>
            </a:ext>
          </a:extLst>
        </xdr:cNvPr>
        <xdr:cNvGrpSpPr/>
      </xdr:nvGrpSpPr>
      <xdr:grpSpPr>
        <a:xfrm>
          <a:off x="16356641" y="0"/>
          <a:ext cx="1549974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93386D9F-FF8C-4E62-A9D4-C8A705C34F5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85164EDB-78E5-4DA6-9CE3-1B6B3C53F748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ECDB22C0-62DD-4FE7-8508-EF4EB92B7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758741</xdr:colOff>
      <xdr:row>0</xdr:row>
      <xdr:rowOff>0</xdr:rowOff>
    </xdr:from>
    <xdr:to>
      <xdr:col>16</xdr:col>
      <xdr:colOff>500477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xmlns="" id="{483AC975-9837-4576-BE12-F7662E279646}"/>
            </a:ext>
          </a:extLst>
        </xdr:cNvPr>
        <xdr:cNvSpPr/>
      </xdr:nvSpPr>
      <xdr:spPr>
        <a:xfrm>
          <a:off x="20494541" y="0"/>
          <a:ext cx="1456236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709420</xdr:colOff>
      <xdr:row>2</xdr:row>
      <xdr:rowOff>384583</xdr:rowOff>
    </xdr:from>
    <xdr:to>
      <xdr:col>16</xdr:col>
      <xdr:colOff>587430</xdr:colOff>
      <xdr:row>3</xdr:row>
      <xdr:rowOff>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xmlns="" id="{74B9A4CF-4083-4784-A064-6E8155DCB5E8}"/>
            </a:ext>
          </a:extLst>
        </xdr:cNvPr>
        <xdr:cNvSpPr txBox="1"/>
      </xdr:nvSpPr>
      <xdr:spPr>
        <a:xfrm rot="10800000" flipH="1" flipV="1">
          <a:off x="20445220" y="76558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15</xdr:col>
      <xdr:colOff>1197586</xdr:colOff>
      <xdr:row>0</xdr:row>
      <xdr:rowOff>136274</xdr:rowOff>
    </xdr:from>
    <xdr:to>
      <xdr:col>16</xdr:col>
      <xdr:colOff>61629</xdr:colOff>
      <xdr:row>2</xdr:row>
      <xdr:rowOff>354262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D94EEB5-644C-4877-911F-16B391A39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78543" cy="598988"/>
        </a:xfrm>
        <a:prstGeom prst="rect">
          <a:avLst/>
        </a:prstGeom>
      </xdr:spPr>
    </xdr:pic>
    <xdr:clientData/>
  </xdr:twoCellAnchor>
  <xdr:twoCellAnchor editAs="absolute">
    <xdr:from>
      <xdr:col>19</xdr:col>
      <xdr:colOff>389206</xdr:colOff>
      <xdr:row>0</xdr:row>
      <xdr:rowOff>0</xdr:rowOff>
    </xdr:from>
    <xdr:to>
      <xdr:col>21</xdr:col>
      <xdr:colOff>623637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xmlns="" id="{DB9BEABA-BA7B-45DF-89EA-B273C8D0B0C2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19</xdr:col>
      <xdr:colOff>339973</xdr:colOff>
      <xdr:row>2</xdr:row>
      <xdr:rowOff>384583</xdr:rowOff>
    </xdr:from>
    <xdr:to>
      <xdr:col>21</xdr:col>
      <xdr:colOff>710434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xmlns="" id="{10C6B9BE-C511-452E-BD11-D7E01CBB1DF8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20</xdr:col>
      <xdr:colOff>217666</xdr:colOff>
      <xdr:row>0</xdr:row>
      <xdr:rowOff>136274</xdr:rowOff>
    </xdr:from>
    <xdr:to>
      <xdr:col>21</xdr:col>
      <xdr:colOff>185574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94BD277-8379-4813-A8A0-A3633ED40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noFill/>
      </xdr:spPr>
    </xdr:pic>
    <xdr:clientData/>
  </xdr:twoCellAnchor>
  <xdr:twoCellAnchor editAs="absolute">
    <xdr:from>
      <xdr:col>23</xdr:col>
      <xdr:colOff>958278</xdr:colOff>
      <xdr:row>0</xdr:row>
      <xdr:rowOff>0</xdr:rowOff>
    </xdr:from>
    <xdr:to>
      <xdr:col>23</xdr:col>
      <xdr:colOff>2556447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xmlns="" id="{BB95BB79-4D76-48D2-9637-01E4F99EFF68}"/>
            </a:ext>
          </a:extLst>
        </xdr:cNvPr>
        <xdr:cNvGrpSpPr/>
      </xdr:nvGrpSpPr>
      <xdr:grpSpPr>
        <a:xfrm>
          <a:off x="27009153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xmlns="" id="{E3FE50BE-F8E8-4333-B6D4-142F9DD6B14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xmlns="" id="{F412F39D-470C-4646-831F-ACDBC12896A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E58D0578-C599-4C28-9C39-90D6BB9310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480189</xdr:colOff>
      <xdr:row>0</xdr:row>
      <xdr:rowOff>0</xdr:rowOff>
    </xdr:from>
    <xdr:to>
      <xdr:col>28</xdr:col>
      <xdr:colOff>249558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xmlns="" id="{674E7D38-3B66-4BE4-9A3B-4CDBAA03316B}"/>
            </a:ext>
          </a:extLst>
        </xdr:cNvPr>
        <xdr:cNvGrpSpPr/>
      </xdr:nvGrpSpPr>
      <xdr:grpSpPr>
        <a:xfrm>
          <a:off x="30531564" y="0"/>
          <a:ext cx="1555307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xmlns="" id="{E80F82B2-03C8-4C8B-8701-F630D8120E4C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xmlns="" id="{BFB5E0DF-691B-4811-9789-EBD8A0C1C08F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xmlns="" id="{BDAAF352-995D-4B07-953E-0FCDCF530F1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E384F89F-201F-4244-8842-E24BE63451C3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FFFE44D-CD4D-4417-8905-0FAA76A9C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0372B8EC-D030-462E-AEA2-C0CE9E590A86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86391551-B1BD-4451-8EA7-01743655375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0F608D35-DC21-418D-A104-4422523EE29E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1745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9CFFE4D5-75D3-418E-B32D-42C09A967026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xmlns="" id="{20208FD1-E0D4-4D59-93C2-0FDB8DF4DB95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81203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34CCCB25-E24B-48CB-8393-8F2A43D22141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B988CFF9-92DC-4955-973F-D8671A701EC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5914A323-390A-48EF-9F17-410AAE82FE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xmlns="" id="{64D31C25-A2D5-45EB-B384-15D1D34892D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548248C5-9BC4-4602-B93B-08668F8BC4F9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FF8AE54B-741B-4753-A4F9-37B69AB8C2CC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EF9464A-9946-419D-A819-4D1C0094E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xmlns="" id="{D0C680BA-D1B1-4979-A174-1050AFD8AA54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xmlns="" id="{EC36C19F-8733-439D-AD5E-CD7E4A4E39E8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xmlns="" id="{8584AD04-B494-4689-A3F2-1A1BAB0025D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A6CB33C8-D609-40C8-BD8F-1D7D15CF28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xmlns="" id="{541484A3-217F-4F0C-B195-A9A721C97217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xmlns="" id="{271C1012-BBE0-4A76-8E5E-B4083F0672B4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xmlns="" id="{CF486811-377E-46C4-9831-F4465444B675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668B106F-4C3D-4FB9-86D4-15D6DE7FD5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3402641</xdr:colOff>
      <xdr:row>0</xdr:row>
      <xdr:rowOff>0</xdr:rowOff>
    </xdr:from>
    <xdr:to>
      <xdr:col>9</xdr:col>
      <xdr:colOff>5014527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xmlns="" id="{E862A781-94B2-427A-B37E-3617F3485AC3}"/>
            </a:ext>
          </a:extLst>
        </xdr:cNvPr>
        <xdr:cNvGrpSpPr/>
      </xdr:nvGrpSpPr>
      <xdr:grpSpPr>
        <a:xfrm>
          <a:off x="16428079" y="0"/>
          <a:ext cx="1611886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xmlns="" id="{62B5F2E3-C4B0-4F88-A9D0-12B3B4D13A1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xmlns="" id="{C4BD4BC4-2A09-44FF-ACFD-D9127E35663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93E4C5C2-B49C-420B-BE03-57D3AD9F60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1492166</xdr:colOff>
      <xdr:row>0</xdr:row>
      <xdr:rowOff>0</xdr:rowOff>
    </xdr:from>
    <xdr:to>
      <xdr:col>12</xdr:col>
      <xdr:colOff>271877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xmlns="" id="{65D5EE58-80A5-4A04-AF74-5203E2273FEB}"/>
            </a:ext>
          </a:extLst>
        </xdr:cNvPr>
        <xdr:cNvSpPr/>
      </xdr:nvSpPr>
      <xdr:spPr>
        <a:xfrm>
          <a:off x="20498351" y="0"/>
          <a:ext cx="145623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1452370</xdr:colOff>
      <xdr:row>2</xdr:row>
      <xdr:rowOff>384583</xdr:rowOff>
    </xdr:from>
    <xdr:to>
      <xdr:col>12</xdr:col>
      <xdr:colOff>358830</xdr:colOff>
      <xdr:row>3</xdr:row>
      <xdr:rowOff>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xmlns="" id="{0A98E6AC-04FD-455A-B794-0716AA30CB8D}"/>
            </a:ext>
          </a:extLst>
        </xdr:cNvPr>
        <xdr:cNvSpPr txBox="1"/>
      </xdr:nvSpPr>
      <xdr:spPr>
        <a:xfrm rot="10800000" flipH="1" flipV="1">
          <a:off x="2044903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397486</xdr:colOff>
      <xdr:row>0</xdr:row>
      <xdr:rowOff>136274</xdr:rowOff>
    </xdr:from>
    <xdr:to>
      <xdr:col>11</xdr:col>
      <xdr:colOff>976029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8779E6A-34A1-4C9B-8346-FC2562188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313006</xdr:colOff>
      <xdr:row>0</xdr:row>
      <xdr:rowOff>0</xdr:rowOff>
    </xdr:from>
    <xdr:to>
      <xdr:col>15</xdr:col>
      <xdr:colOff>318837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xmlns="" id="{E9374132-33FB-4F43-9103-B6A626F802EE}"/>
            </a:ext>
          </a:extLst>
        </xdr:cNvPr>
        <xdr:cNvSpPr/>
      </xdr:nvSpPr>
      <xdr:spPr>
        <a:xfrm>
          <a:off x="2413693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263773</xdr:colOff>
      <xdr:row>2</xdr:row>
      <xdr:rowOff>384583</xdr:rowOff>
    </xdr:from>
    <xdr:to>
      <xdr:col>15</xdr:col>
      <xdr:colOff>405634</xdr:colOff>
      <xdr:row>3</xdr:row>
      <xdr:rowOff>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xmlns="" id="{DA07DC8A-5607-4C49-ADCB-DFF9FEA12017}"/>
            </a:ext>
          </a:extLst>
        </xdr:cNvPr>
        <xdr:cNvSpPr txBox="1"/>
      </xdr:nvSpPr>
      <xdr:spPr>
        <a:xfrm rot="10800000" flipH="1" flipV="1">
          <a:off x="2408770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14</xdr:col>
      <xdr:colOff>751066</xdr:colOff>
      <xdr:row>0</xdr:row>
      <xdr:rowOff>136274</xdr:rowOff>
    </xdr:from>
    <xdr:to>
      <xdr:col>14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BD740E1-48AE-4B24-8E6E-24AF5F4AC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499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729678</xdr:colOff>
      <xdr:row>0</xdr:row>
      <xdr:rowOff>0</xdr:rowOff>
    </xdr:from>
    <xdr:to>
      <xdr:col>19</xdr:col>
      <xdr:colOff>41847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33B61557-F499-4D73-B0CC-DA21F1AC62D1}"/>
            </a:ext>
          </a:extLst>
        </xdr:cNvPr>
        <xdr:cNvGrpSpPr/>
      </xdr:nvGrpSpPr>
      <xdr:grpSpPr>
        <a:xfrm>
          <a:off x="26971053" y="0"/>
          <a:ext cx="1550544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7FF9A647-50C7-4457-A24A-770BDF21BF2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C92C8245-6449-4F7E-95CF-B74D738E30A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8FCCF80D-CAA9-4926-8FB9-C1E13C93A1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861189</xdr:colOff>
      <xdr:row>0</xdr:row>
      <xdr:rowOff>0</xdr:rowOff>
    </xdr:from>
    <xdr:to>
      <xdr:col>23</xdr:col>
      <xdr:colOff>668658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xmlns="" id="{EAFF5D57-A6B0-467E-BE33-846B2A817891}"/>
            </a:ext>
          </a:extLst>
        </xdr:cNvPr>
        <xdr:cNvGrpSpPr/>
      </xdr:nvGrpSpPr>
      <xdr:grpSpPr>
        <a:xfrm>
          <a:off x="30531564" y="0"/>
          <a:ext cx="1569594" cy="114300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xmlns="" id="{9737AC46-D6FD-41E0-AF4C-1A9DAC474F4D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xmlns="" id="{ED91A637-748B-4F15-91D6-5F7B9A572AA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xmlns="" id="{013DE577-9588-4ED9-9F9C-CDCC32B7A6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6C4D1889-6B7F-40FC-9BBC-D2B393C6BF8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294D924-6FB5-46CE-A2AC-A008EA82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23C48F96-81E5-426C-A172-329E6D6FDE0D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A755EF72-EA21-4327-AAD3-67A809A0880A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8</xdr:col>
      <xdr:colOff>1447800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1B715594-02FE-4425-B946-77E26E6D6043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1166A1E7-5648-417E-9FBF-841BFA79F91C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xmlns="" id="{25B3B3E5-4D35-4219-9B3E-E7B2B842B01C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313432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57F46F70-E375-41B5-BB7A-5203D29919D1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AF4E42B7-A80B-4FD7-A335-CA45BF4F170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E0185D8E-5F07-4D29-B0AE-DD989633DC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xmlns="" id="{04D6C07F-90B2-4DFE-936A-8AC8995DC28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3E106B8E-E58A-4A57-92D6-DC997C749840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A88EBB95-0D17-478F-8AF5-FD913AD7F488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C8E0DB9E-0B3D-4C80-9B70-0F82F55F8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xmlns="" id="{B3B40A0B-85C0-4256-B8CC-DA7F5544AC79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xmlns="" id="{CA06381C-A5C6-401A-AA84-ADFFFF7EBBF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xmlns="" id="{54B70EC0-A0B7-485F-88F9-4BA646C91E9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733C0C7A-7CA5-423F-8E10-1A1C56949E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173054</xdr:colOff>
      <xdr:row>0</xdr:row>
      <xdr:rowOff>0</xdr:rowOff>
    </xdr:from>
    <xdr:to>
      <xdr:col>9</xdr:col>
      <xdr:colOff>202048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xmlns="" id="{A47596ED-173D-46BF-B2D3-4F48374A2A30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xmlns="" id="{7ABF84A9-2276-49B6-8878-99B347A5BB5A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xmlns="" id="{D18D8E8C-1616-4044-9C8D-336DCFB3FF7F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BCF4613A-06EF-4E05-AF91-557644EC3E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2240591</xdr:colOff>
      <xdr:row>0</xdr:row>
      <xdr:rowOff>0</xdr:rowOff>
    </xdr:from>
    <xdr:to>
      <xdr:col>10</xdr:col>
      <xdr:colOff>461577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xmlns="" id="{C41291CF-8DA1-4237-B01D-335F86D8D9B5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xmlns="" id="{DF283481-7767-4BDB-8EF1-8A9D12BC66EC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xmlns="" id="{D7F5817F-89E3-4587-91FE-37BE887DE081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4B85B961-DF66-4653-AC49-35E67DC00F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1006391</xdr:colOff>
      <xdr:row>0</xdr:row>
      <xdr:rowOff>0</xdr:rowOff>
    </xdr:from>
    <xdr:to>
      <xdr:col>11</xdr:col>
      <xdr:colOff>2462627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xmlns="" id="{16693DBD-CDE3-4BC7-828C-50E5A99B43CB}"/>
            </a:ext>
          </a:extLst>
        </xdr:cNvPr>
        <xdr:cNvSpPr/>
      </xdr:nvSpPr>
      <xdr:spPr>
        <a:xfrm>
          <a:off x="20505971" y="0"/>
          <a:ext cx="146004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957070</xdr:colOff>
      <xdr:row>2</xdr:row>
      <xdr:rowOff>384583</xdr:rowOff>
    </xdr:from>
    <xdr:to>
      <xdr:col>12</xdr:col>
      <xdr:colOff>34980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xmlns="" id="{C169AAEE-3230-4F73-AC67-BA5B038C9863}"/>
            </a:ext>
          </a:extLst>
        </xdr:cNvPr>
        <xdr:cNvSpPr txBox="1"/>
      </xdr:nvSpPr>
      <xdr:spPr>
        <a:xfrm rot="10800000" flipH="1" flipV="1">
          <a:off x="20456650" y="750343"/>
          <a:ext cx="159632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1437616</xdr:colOff>
      <xdr:row>0</xdr:row>
      <xdr:rowOff>136274</xdr:rowOff>
    </xdr:from>
    <xdr:to>
      <xdr:col>11</xdr:col>
      <xdr:colOff>2023779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46DC1418-C221-417B-820D-8F5F6988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4100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674956</xdr:colOff>
      <xdr:row>0</xdr:row>
      <xdr:rowOff>0</xdr:rowOff>
    </xdr:from>
    <xdr:to>
      <xdr:col>14</xdr:col>
      <xdr:colOff>414087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xmlns="" id="{2B7A5DA3-FE36-44C0-908F-C120CE42129F}"/>
            </a:ext>
          </a:extLst>
        </xdr:cNvPr>
        <xdr:cNvSpPr/>
      </xdr:nvSpPr>
      <xdr:spPr>
        <a:xfrm>
          <a:off x="24140746" y="0"/>
          <a:ext cx="144601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625723</xdr:colOff>
      <xdr:row>2</xdr:row>
      <xdr:rowOff>384583</xdr:rowOff>
    </xdr:from>
    <xdr:to>
      <xdr:col>14</xdr:col>
      <xdr:colOff>500884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xmlns="" id="{2245D329-2E81-47F0-9CDD-CB986B9940F3}"/>
            </a:ext>
          </a:extLst>
        </xdr:cNvPr>
        <xdr:cNvSpPr txBox="1"/>
      </xdr:nvSpPr>
      <xdr:spPr>
        <a:xfrm rot="10800000" flipH="1" flipV="1">
          <a:off x="24091513" y="750343"/>
          <a:ext cx="158204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1113016</xdr:colOff>
      <xdr:row>0</xdr:row>
      <xdr:rowOff>136274</xdr:rowOff>
    </xdr:from>
    <xdr:to>
      <xdr:col>13</xdr:col>
      <xdr:colOff>1690524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2F1133F-6310-4B18-82BB-CD9EEC712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17</xdr:col>
      <xdr:colOff>253428</xdr:colOff>
      <xdr:row>0</xdr:row>
      <xdr:rowOff>0</xdr:rowOff>
    </xdr:from>
    <xdr:to>
      <xdr:col>19</xdr:col>
      <xdr:colOff>632397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99439B75-78B4-4010-A988-663A8FD5037F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BD26C1A7-6EB8-4769-A077-B8E21DB498F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B17D1B80-FBF3-42C5-94F1-14FDD0EFD1C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CC361DA8-FCCA-452E-A17F-9061C6B0DC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880239</xdr:colOff>
      <xdr:row>0</xdr:row>
      <xdr:rowOff>0</xdr:rowOff>
    </xdr:from>
    <xdr:to>
      <xdr:col>21</xdr:col>
      <xdr:colOff>2478408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xmlns="" id="{352797A2-96FB-4C2B-A935-856C8EEE2A8C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xmlns="" id="{FF002289-51EE-4CF4-AABC-1880189BC1C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xmlns="" id="{035AE527-2638-4328-BFEE-18E3BC8484A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xmlns="" id="{35200E4C-D202-4785-877B-1DE54C79875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A22D6896-C1F8-4CA4-897C-C3121965F21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CACCC91-87B4-47AC-B0C7-DB7937B49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E14014CC-3ABB-4F44-9AE9-51BF34C3F24A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B095B8E7-0D0B-46BF-A35F-2647857251C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792600</xdr:colOff>
      <xdr:row>3</xdr:row>
      <xdr:rowOff>182100</xdr:rowOff>
    </xdr:from>
    <xdr:to>
      <xdr:col>8</xdr:col>
      <xdr:colOff>190500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17A95832-1235-4D53-92D1-D19BDF7F42F9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415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5</xdr:col>
      <xdr:colOff>1836300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CFE92EE9-B9D8-4264-838B-BECEE1F02204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xmlns="" id="{C63393FA-DDD7-4288-94E3-9DA489DCEA7E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76555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02C5CF71-ABC0-40C2-ACA8-886593437DAB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2BD07B83-611B-4406-85AB-75F68C538C9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xmlns="" id="{FA01FB93-AC42-46FF-9914-006EF2EBE3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xmlns="" id="{7413D06B-76E4-4C2A-AD60-9844EABAB2F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E333A52C-010B-4211-A2DA-B4633C8D2035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507CC45A-EAD9-4A10-93EC-377E0DC54745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C92A525-064E-4B3E-BB43-F6D6F5061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2137043</xdr:colOff>
      <xdr:row>0</xdr:row>
      <xdr:rowOff>0</xdr:rowOff>
    </xdr:from>
    <xdr:to>
      <xdr:col>6</xdr:col>
      <xdr:colOff>877710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xmlns="" id="{9ECAF027-CE3A-4041-A311-7640BC42D9B5}"/>
            </a:ext>
          </a:extLst>
        </xdr:cNvPr>
        <xdr:cNvGrpSpPr/>
      </xdr:nvGrpSpPr>
      <xdr:grpSpPr>
        <a:xfrm>
          <a:off x="9328418" y="0"/>
          <a:ext cx="1502917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xmlns="" id="{0AD4FE20-3852-4F57-AED6-C1CA633B064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xmlns="" id="{AF141FBC-BD6C-4EEF-B4FA-75A7D62E4669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502680A8-FAF7-449B-925E-43F5752CC2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1125554</xdr:colOff>
      <xdr:row>0</xdr:row>
      <xdr:rowOff>0</xdr:rowOff>
    </xdr:from>
    <xdr:to>
      <xdr:col>8</xdr:col>
      <xdr:colOff>506848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xmlns="" id="{F2F1F2A1-C022-437D-90A7-CD881B5B6308}"/>
            </a:ext>
          </a:extLst>
        </xdr:cNvPr>
        <xdr:cNvGrpSpPr/>
      </xdr:nvGrpSpPr>
      <xdr:grpSpPr>
        <a:xfrm>
          <a:off x="12817492" y="0"/>
          <a:ext cx="1524419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xmlns="" id="{E2F2E785-0F8E-41B4-BE9B-9B486B4BFDEB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xmlns="" id="{45696C5A-5FC4-49B1-95D3-02712765255E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22BBFED1-7478-4F77-BF99-DD1592DB07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983291</xdr:colOff>
      <xdr:row>0</xdr:row>
      <xdr:rowOff>0</xdr:rowOff>
    </xdr:from>
    <xdr:to>
      <xdr:col>10</xdr:col>
      <xdr:colOff>766377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xmlns="" id="{3C72147B-507E-4516-A069-9AB29FFA67AE}"/>
            </a:ext>
          </a:extLst>
        </xdr:cNvPr>
        <xdr:cNvGrpSpPr/>
      </xdr:nvGrpSpPr>
      <xdr:grpSpPr>
        <a:xfrm>
          <a:off x="16342354" y="0"/>
          <a:ext cx="1569023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xmlns="" id="{0515E3B8-5000-40EB-9E31-5218BBC63D1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xmlns="" id="{42907940-6193-4A70-B156-AB127ABFDCCC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3428863C-7EF4-4E1D-96AD-F5603DBAE8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644441</xdr:colOff>
      <xdr:row>0</xdr:row>
      <xdr:rowOff>0</xdr:rowOff>
    </xdr:from>
    <xdr:to>
      <xdr:col>11</xdr:col>
      <xdr:colOff>2100677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xmlns="" id="{E44F146A-B31A-436A-9576-5618F99C6C90}"/>
            </a:ext>
          </a:extLst>
        </xdr:cNvPr>
        <xdr:cNvSpPr/>
      </xdr:nvSpPr>
      <xdr:spPr>
        <a:xfrm>
          <a:off x="2050216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595120</xdr:colOff>
      <xdr:row>2</xdr:row>
      <xdr:rowOff>384583</xdr:rowOff>
    </xdr:from>
    <xdr:to>
      <xdr:col>11</xdr:col>
      <xdr:colOff>2187630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xmlns="" id="{2B770D0B-1329-4874-8001-4BB3A4B1B816}"/>
            </a:ext>
          </a:extLst>
        </xdr:cNvPr>
        <xdr:cNvSpPr txBox="1"/>
      </xdr:nvSpPr>
      <xdr:spPr>
        <a:xfrm rot="10800000" flipH="1" flipV="1">
          <a:off x="20452840" y="75034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1075666</xdr:colOff>
      <xdr:row>0</xdr:row>
      <xdr:rowOff>136274</xdr:rowOff>
    </xdr:from>
    <xdr:to>
      <xdr:col>11</xdr:col>
      <xdr:colOff>1661829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B1460404-EC98-49D0-BE0A-4C7F5E2F7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313006</xdr:colOff>
      <xdr:row>0</xdr:row>
      <xdr:rowOff>0</xdr:rowOff>
    </xdr:from>
    <xdr:to>
      <xdr:col>14</xdr:col>
      <xdr:colOff>52137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xmlns="" id="{FC6C9ED7-1213-4360-A48A-FB41C883BA74}"/>
            </a:ext>
          </a:extLst>
        </xdr:cNvPr>
        <xdr:cNvSpPr/>
      </xdr:nvSpPr>
      <xdr:spPr>
        <a:xfrm>
          <a:off x="2411788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263773</xdr:colOff>
      <xdr:row>2</xdr:row>
      <xdr:rowOff>384583</xdr:rowOff>
    </xdr:from>
    <xdr:to>
      <xdr:col>14</xdr:col>
      <xdr:colOff>138934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xmlns="" id="{25E62309-5768-457E-B308-A8EDE1AA6F35}"/>
            </a:ext>
          </a:extLst>
        </xdr:cNvPr>
        <xdr:cNvSpPr txBox="1"/>
      </xdr:nvSpPr>
      <xdr:spPr>
        <a:xfrm rot="10800000" flipH="1" flipV="1">
          <a:off x="2406865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751066</xdr:colOff>
      <xdr:row>0</xdr:row>
      <xdr:rowOff>136274</xdr:rowOff>
    </xdr:from>
    <xdr:to>
      <xdr:col>13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A5A96F19-CF5E-44AB-B068-296C1E8D9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594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501078</xdr:colOff>
      <xdr:row>0</xdr:row>
      <xdr:rowOff>0</xdr:rowOff>
    </xdr:from>
    <xdr:to>
      <xdr:col>19</xdr:col>
      <xdr:colOff>270447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7C56A230-F0F7-4201-A449-71A3E6816F01}"/>
            </a:ext>
          </a:extLst>
        </xdr:cNvPr>
        <xdr:cNvGrpSpPr/>
      </xdr:nvGrpSpPr>
      <xdr:grpSpPr>
        <a:xfrm>
          <a:off x="26932953" y="0"/>
          <a:ext cx="1555307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9390369C-8FAE-42B9-803A-628A1AB3F5C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1EA95A5A-2A28-42ED-91C5-5579003958BA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C2989076-EAD3-46D2-A634-1AFFC3002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567784</xdr:colOff>
      <xdr:row>0</xdr:row>
      <xdr:rowOff>0</xdr:rowOff>
    </xdr:from>
    <xdr:to>
      <xdr:col>21</xdr:col>
      <xdr:colOff>2029195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xmlns="" id="{3724DD14-0A71-4254-AE32-09F00B5E15A4}"/>
            </a:ext>
          </a:extLst>
        </xdr:cNvPr>
        <xdr:cNvSpPr/>
      </xdr:nvSpPr>
      <xdr:spPr>
        <a:xfrm>
          <a:off x="3139068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21</xdr:col>
      <xdr:colOff>518289</xdr:colOff>
      <xdr:row>2</xdr:row>
      <xdr:rowOff>384584</xdr:rowOff>
    </xdr:from>
    <xdr:to>
      <xdr:col>21</xdr:col>
      <xdr:colOff>2116458</xdr:colOff>
      <xdr:row>2</xdr:row>
      <xdr:rowOff>762891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xmlns="" id="{18F7B293-9725-4843-81B9-837D4A10FC7E}"/>
            </a:ext>
          </a:extLst>
        </xdr:cNvPr>
        <xdr:cNvSpPr txBox="1"/>
      </xdr:nvSpPr>
      <xdr:spPr>
        <a:xfrm rot="10800000" flipH="1" flipV="1">
          <a:off x="31341189" y="75034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21</xdr:col>
      <xdr:colOff>979974</xdr:colOff>
      <xdr:row>0</xdr:row>
      <xdr:rowOff>105753</xdr:rowOff>
    </xdr:from>
    <xdr:to>
      <xdr:col>21</xdr:col>
      <xdr:colOff>1601217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xmlns="" id="{9CB9C244-F667-44FF-B71F-3050A2425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133350</xdr:colOff>
      <xdr:row>10</xdr:row>
      <xdr:rowOff>266700</xdr:rowOff>
    </xdr:from>
    <xdr:to>
      <xdr:col>14</xdr:col>
      <xdr:colOff>304800</xdr:colOff>
      <xdr:row>49</xdr:row>
      <xdr:rowOff>103672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6C1AD8FB-BCE7-4507-AD5A-E7C586B6050F}"/>
            </a:ext>
            <a:ext uri="{147F2762-F138-4A5C-976F-8EAC2B608ADB}">
              <a16:predDERef xmlns:a16="http://schemas.microsoft.com/office/drawing/2014/main" xmlns="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>
          <a:alphaModFix amt="23000"/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382250" y="3676650"/>
          <a:ext cx="15449550" cy="13953022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73C7BB3F-2D4B-4A54-B98C-83885CDC50B5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AFB21C82-4F2B-47C0-9052-33C5B32EA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D3F7C3C8-490E-462C-A138-982214F78ABE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2F597CF1-EDBD-4F1E-A524-821AF14FC38D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792600</xdr:colOff>
      <xdr:row>3</xdr:row>
      <xdr:rowOff>182100</xdr:rowOff>
    </xdr:from>
    <xdr:to>
      <xdr:col>8</xdr:col>
      <xdr:colOff>190500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FB47A410-3D0A-4CE5-8DB7-33C5A97A04B5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5</xdr:col>
      <xdr:colOff>1836300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3E86A52C-80DF-4D8E-8C7F-98826CC76C2E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xmlns="" id="{58F679CA-9AD9-453D-87A8-711512B53C47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79603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14BECF93-7C09-4009-B3BA-85E85622C190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505DB92E-B768-4E99-B22F-167E22C3040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xmlns="" id="{6B83B7C6-11A7-4AD7-A1F4-6665695993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xmlns="" id="{D9BC12EC-E751-4049-8DDC-DECE1163A48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FFE27B25-81D8-4899-B652-3766BBA1AC41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6CCFEB8D-9625-432D-97A8-96C34FEE60E5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1A6AD49-A42A-4D41-8649-F8B93E7F8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2137043</xdr:colOff>
      <xdr:row>0</xdr:row>
      <xdr:rowOff>0</xdr:rowOff>
    </xdr:from>
    <xdr:to>
      <xdr:col>6</xdr:col>
      <xdr:colOff>877710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xmlns="" id="{90C03674-BFB1-4ED2-9F6A-FC5FDF54E5DA}"/>
            </a:ext>
          </a:extLst>
        </xdr:cNvPr>
        <xdr:cNvGrpSpPr/>
      </xdr:nvGrpSpPr>
      <xdr:grpSpPr>
        <a:xfrm>
          <a:off x="9328418" y="0"/>
          <a:ext cx="1502917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xmlns="" id="{2AAF0DE0-F166-42F8-830F-A6FA3EDBF6F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xmlns="" id="{EA65F465-DEF0-4C00-8110-F47A417120E5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349CD91B-E65B-4713-995A-C0CC324831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1125554</xdr:colOff>
      <xdr:row>0</xdr:row>
      <xdr:rowOff>0</xdr:rowOff>
    </xdr:from>
    <xdr:to>
      <xdr:col>8</xdr:col>
      <xdr:colOff>506848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xmlns="" id="{5670EFC5-AE1D-4469-9437-7230ABCD170D}"/>
            </a:ext>
          </a:extLst>
        </xdr:cNvPr>
        <xdr:cNvGrpSpPr/>
      </xdr:nvGrpSpPr>
      <xdr:grpSpPr>
        <a:xfrm>
          <a:off x="12817492" y="0"/>
          <a:ext cx="1524419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xmlns="" id="{21963D6E-AA69-48CF-B0A1-48CC9E1461C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xmlns="" id="{1885FA6E-972D-4DB0-96CD-1A421AE8CF47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E9278226-39B5-42B6-B476-D7AED02452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983291</xdr:colOff>
      <xdr:row>0</xdr:row>
      <xdr:rowOff>0</xdr:rowOff>
    </xdr:from>
    <xdr:to>
      <xdr:col>10</xdr:col>
      <xdr:colOff>766377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xmlns="" id="{C074053C-88AD-4E17-83DC-3AF42B8C08DC}"/>
            </a:ext>
          </a:extLst>
        </xdr:cNvPr>
        <xdr:cNvGrpSpPr/>
      </xdr:nvGrpSpPr>
      <xdr:grpSpPr>
        <a:xfrm>
          <a:off x="16342354" y="0"/>
          <a:ext cx="1569023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xmlns="" id="{9C3B86A8-7BA6-4880-936D-047499D7605C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xmlns="" id="{A4F48CD0-31E5-4C68-8A9B-A457172AFA0A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88DC9249-0B43-478E-9CF2-3E09282AE5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644441</xdr:colOff>
      <xdr:row>0</xdr:row>
      <xdr:rowOff>0</xdr:rowOff>
    </xdr:from>
    <xdr:to>
      <xdr:col>11</xdr:col>
      <xdr:colOff>2100677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xmlns="" id="{6CE737BA-60FD-46A6-822F-D8891FBF95D8}"/>
            </a:ext>
          </a:extLst>
        </xdr:cNvPr>
        <xdr:cNvSpPr/>
      </xdr:nvSpPr>
      <xdr:spPr>
        <a:xfrm>
          <a:off x="2050597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595120</xdr:colOff>
      <xdr:row>2</xdr:row>
      <xdr:rowOff>384583</xdr:rowOff>
    </xdr:from>
    <xdr:to>
      <xdr:col>11</xdr:col>
      <xdr:colOff>2187630</xdr:colOff>
      <xdr:row>3</xdr:row>
      <xdr:rowOff>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xmlns="" id="{A131F3F9-79C7-4D62-A06D-8E55DCE085C8}"/>
            </a:ext>
          </a:extLst>
        </xdr:cNvPr>
        <xdr:cNvSpPr txBox="1"/>
      </xdr:nvSpPr>
      <xdr:spPr>
        <a:xfrm rot="10800000" flipH="1" flipV="1">
          <a:off x="20456650" y="750343"/>
          <a:ext cx="158489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1075666</xdr:colOff>
      <xdr:row>0</xdr:row>
      <xdr:rowOff>136274</xdr:rowOff>
    </xdr:from>
    <xdr:to>
      <xdr:col>11</xdr:col>
      <xdr:colOff>1661829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8C2A38EA-B108-477E-A01F-8BF05B101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313006</xdr:colOff>
      <xdr:row>0</xdr:row>
      <xdr:rowOff>0</xdr:rowOff>
    </xdr:from>
    <xdr:to>
      <xdr:col>14</xdr:col>
      <xdr:colOff>52137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xmlns="" id="{1A3AD7A0-3D1D-4E47-A352-EFADA3483B0C}"/>
            </a:ext>
          </a:extLst>
        </xdr:cNvPr>
        <xdr:cNvSpPr/>
      </xdr:nvSpPr>
      <xdr:spPr>
        <a:xfrm>
          <a:off x="2412169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263773</xdr:colOff>
      <xdr:row>2</xdr:row>
      <xdr:rowOff>384583</xdr:rowOff>
    </xdr:from>
    <xdr:to>
      <xdr:col>14</xdr:col>
      <xdr:colOff>138934</xdr:colOff>
      <xdr:row>3</xdr:row>
      <xdr:rowOff>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xmlns="" id="{85567988-4ED8-4DBD-B172-211DDF5E39C8}"/>
            </a:ext>
          </a:extLst>
        </xdr:cNvPr>
        <xdr:cNvSpPr txBox="1"/>
      </xdr:nvSpPr>
      <xdr:spPr>
        <a:xfrm rot="10800000" flipH="1" flipV="1">
          <a:off x="2407246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751066</xdr:colOff>
      <xdr:row>0</xdr:row>
      <xdr:rowOff>136274</xdr:rowOff>
    </xdr:from>
    <xdr:to>
      <xdr:col>13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DF48ABA-335D-4110-B69B-34749E8ED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975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501078</xdr:colOff>
      <xdr:row>0</xdr:row>
      <xdr:rowOff>0</xdr:rowOff>
    </xdr:from>
    <xdr:to>
      <xdr:col>19</xdr:col>
      <xdr:colOff>270447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E86B25C2-4BEA-45BF-A0F6-FFEA4F41C446}"/>
            </a:ext>
          </a:extLst>
        </xdr:cNvPr>
        <xdr:cNvGrpSpPr/>
      </xdr:nvGrpSpPr>
      <xdr:grpSpPr>
        <a:xfrm>
          <a:off x="26932953" y="0"/>
          <a:ext cx="1555307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1D295160-6B32-4922-A3B0-3A0EA3E12DB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EFB990BC-471C-4951-8A3D-E56C90456DD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7A370933-96C0-46F5-9134-D4B0120861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567784</xdr:colOff>
      <xdr:row>0</xdr:row>
      <xdr:rowOff>0</xdr:rowOff>
    </xdr:from>
    <xdr:to>
      <xdr:col>21</xdr:col>
      <xdr:colOff>2029195</xdr:colOff>
      <xdr:row>3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34BF99EF-16C0-4BE5-A32F-D30B4246FEEB}"/>
            </a:ext>
          </a:extLst>
        </xdr:cNvPr>
        <xdr:cNvSpPr/>
      </xdr:nvSpPr>
      <xdr:spPr>
        <a:xfrm>
          <a:off x="31390684" y="0"/>
          <a:ext cx="1461411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21</xdr:col>
      <xdr:colOff>518289</xdr:colOff>
      <xdr:row>2</xdr:row>
      <xdr:rowOff>384584</xdr:rowOff>
    </xdr:from>
    <xdr:to>
      <xdr:col>21</xdr:col>
      <xdr:colOff>2116458</xdr:colOff>
      <xdr:row>3</xdr:row>
      <xdr:rowOff>891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xmlns="" id="{FB2D9C36-EAC8-4495-ADB6-B52AC3CFDF03}"/>
            </a:ext>
          </a:extLst>
        </xdr:cNvPr>
        <xdr:cNvSpPr txBox="1"/>
      </xdr:nvSpPr>
      <xdr:spPr>
        <a:xfrm rot="10800000" flipH="1" flipV="1">
          <a:off x="31341189" y="76558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21</xdr:col>
      <xdr:colOff>979974</xdr:colOff>
      <xdr:row>0</xdr:row>
      <xdr:rowOff>105753</xdr:rowOff>
    </xdr:from>
    <xdr:to>
      <xdr:col>21</xdr:col>
      <xdr:colOff>1601217</xdr:colOff>
      <xdr:row>2</xdr:row>
      <xdr:rowOff>360046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xmlns="" id="{F4C38DBF-F69A-40F2-AB95-DEBCEB7EC1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352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absoluteAnchor>
    <xdr:pos x="0" y="1"/>
    <xdr:ext cx="1819224" cy="781370"/>
    <xdr:grpSp>
      <xdr:nvGrpSpPr>
        <xdr:cNvPr id="2" name="Agrupar 1">
          <a:extLst>
            <a:ext uri="{FF2B5EF4-FFF2-40B4-BE49-F238E27FC236}">
              <a16:creationId xmlns:a16="http://schemas.microsoft.com/office/drawing/2014/main" xmlns="" id="{EDC0CFCC-6BFB-4B9A-907A-AFDD5DC26400}"/>
            </a:ext>
          </a:extLst>
        </xdr:cNvPr>
        <xdr:cNvGrpSpPr/>
      </xdr:nvGrpSpPr>
      <xdr:grpSpPr>
        <a:xfrm>
          <a:off x="0" y="1"/>
          <a:ext cx="1819224" cy="781370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xmlns="" id="{C4A1AF65-239E-4BC3-ACB4-EE4BB601F1AB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xmlns="" id="{F31D3A7A-CABC-4463-AB5A-365F153772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absoluteAnchor>
  <xdr:absoluteAnchor>
    <xdr:pos x="1969941" y="0"/>
    <xdr:ext cx="1094354" cy="781050"/>
    <xdr:grpSp>
      <xdr:nvGrpSpPr>
        <xdr:cNvPr id="5" name="Agrupar 4">
          <a:extLst>
            <a:ext uri="{FF2B5EF4-FFF2-40B4-BE49-F238E27FC236}">
              <a16:creationId xmlns:a16="http://schemas.microsoft.com/office/drawing/2014/main" xmlns="" id="{11474580-09C3-4A85-A50E-FB865EC252C6}"/>
            </a:ext>
          </a:extLst>
        </xdr:cNvPr>
        <xdr:cNvGrpSpPr/>
      </xdr:nvGrpSpPr>
      <xdr:grpSpPr>
        <a:xfrm>
          <a:off x="1969941" y="0"/>
          <a:ext cx="1094354" cy="781050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xmlns="" id="{BAF88A7D-E5B8-4DA6-803D-395921E7FDA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ABD4E235-99E9-44D8-8A8F-F079B6E4D8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xmlns="" id="{7628133E-6B13-4588-9D9D-91FF7F60FBE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absoluteAnchor>
  <xdr:absoluteAnchor>
    <xdr:pos x="4437891" y="0"/>
    <xdr:ext cx="1055474" cy="781050"/>
    <xdr:grpSp>
      <xdr:nvGrpSpPr>
        <xdr:cNvPr id="9" name="Agrupar 8">
          <a:extLst>
            <a:ext uri="{FF2B5EF4-FFF2-40B4-BE49-F238E27FC236}">
              <a16:creationId xmlns:a16="http://schemas.microsoft.com/office/drawing/2014/main" xmlns="" id="{335DEBA5-FDD9-4317-967A-057464845958}"/>
            </a:ext>
          </a:extLst>
        </xdr:cNvPr>
        <xdr:cNvGrpSpPr/>
      </xdr:nvGrpSpPr>
      <xdr:grpSpPr>
        <a:xfrm>
          <a:off x="4437891" y="0"/>
          <a:ext cx="1055474" cy="781050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xmlns="" id="{A90852B2-C958-4237-A4ED-B8D3ADFF684B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xmlns="" id="{259FA9FF-9037-452C-820F-7FE88C8906BB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F1699034-88D6-4F83-B34F-633A91DA0F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absoluteAnchor>
  <xdr:absoluteAnchor>
    <xdr:pos x="5734823" y="0"/>
    <xdr:ext cx="990997" cy="781050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xmlns="" id="{B42B4502-017E-42AF-ADDC-303097ADE49B}"/>
            </a:ext>
          </a:extLst>
        </xdr:cNvPr>
        <xdr:cNvSpPr/>
      </xdr:nvSpPr>
      <xdr:spPr>
        <a:xfrm>
          <a:off x="5734823" y="0"/>
          <a:ext cx="990997" cy="7810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absoluteAnchor>
  <xdr:absoluteAnchor>
    <xdr:pos x="5708112" y="514894"/>
    <xdr:ext cx="1209853" cy="254431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xmlns="" id="{14EE517E-ECEE-486C-BC81-097616AEBA58}"/>
            </a:ext>
          </a:extLst>
        </xdr:cNvPr>
        <xdr:cNvSpPr txBox="1"/>
      </xdr:nvSpPr>
      <xdr:spPr>
        <a:xfrm rot="10800000" flipH="1" flipV="1">
          <a:off x="5708112" y="514894"/>
          <a:ext cx="1209853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absoluteAnchor>
  <xdr:absoluteAnchor>
    <xdr:pos x="6009519" y="91651"/>
    <xdr:ext cx="411125" cy="402850"/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152AE4AD-B941-4620-8EFA-7D6049DED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09519" y="91651"/>
          <a:ext cx="411125" cy="402850"/>
        </a:xfrm>
        <a:prstGeom prst="rect">
          <a:avLst/>
        </a:prstGeom>
      </xdr:spPr>
    </xdr:pic>
    <xdr:clientData/>
  </xdr:absoluteAnchor>
  <xdr:absoluteAnchor>
    <xdr:pos x="7130740" y="0"/>
    <xdr:ext cx="1050030" cy="781050"/>
    <xdr:grpSp>
      <xdr:nvGrpSpPr>
        <xdr:cNvPr id="16" name="Agrupar 15">
          <a:extLst>
            <a:ext uri="{FF2B5EF4-FFF2-40B4-BE49-F238E27FC236}">
              <a16:creationId xmlns:a16="http://schemas.microsoft.com/office/drawing/2014/main" xmlns="" id="{DBFCAD72-0CA3-4613-A2EA-4BE134E0160A}"/>
            </a:ext>
          </a:extLst>
        </xdr:cNvPr>
        <xdr:cNvGrpSpPr/>
      </xdr:nvGrpSpPr>
      <xdr:grpSpPr>
        <a:xfrm>
          <a:off x="7130740" y="0"/>
          <a:ext cx="1050030" cy="781050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xmlns="" id="{56B09C5D-504C-42B9-82CE-84C7083F297E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xmlns="" id="{72DAF5AE-DBD1-4DE8-88B2-9C236307D2B9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7DCAF9D9-9BCC-40B9-A75F-DBE866EF4E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absoluteAnchor>
  <xdr:absoluteAnchor>
    <xdr:pos x="8428116" y="0"/>
    <xdr:ext cx="986173" cy="781050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712250DB-9DF8-4F7A-91BE-FB49F4CC78CD}"/>
            </a:ext>
          </a:extLst>
        </xdr:cNvPr>
        <xdr:cNvSpPr/>
      </xdr:nvSpPr>
      <xdr:spPr>
        <a:xfrm>
          <a:off x="8428116" y="0"/>
          <a:ext cx="986173" cy="781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absoluteAnchor>
  <xdr:absoluteAnchor>
    <xdr:pos x="8393543" y="509194"/>
    <xdr:ext cx="1081700" cy="251614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7DBD12FD-D3B1-42E2-A544-F2FCF831B5F8}"/>
            </a:ext>
          </a:extLst>
        </xdr:cNvPr>
        <xdr:cNvSpPr txBox="1"/>
      </xdr:nvSpPr>
      <xdr:spPr>
        <a:xfrm rot="10800000" flipH="1" flipV="1">
          <a:off x="8393543" y="509194"/>
          <a:ext cx="1081700" cy="2516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absoluteAnchor>
  <xdr:absoluteAnchor>
    <xdr:pos x="8735743" y="90636"/>
    <xdr:ext cx="405553" cy="398390"/>
    <xdr:pic>
      <xdr:nvPicPr>
        <xdr:cNvPr id="22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7841C5CF-B635-4D9B-97B4-0C8D56209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35743" y="90636"/>
          <a:ext cx="405553" cy="398390"/>
        </a:xfrm>
        <a:prstGeom prst="rect">
          <a:avLst/>
        </a:prstGeom>
      </xdr:spPr>
    </xdr:pic>
    <xdr:clientData/>
  </xdr:absoluteAnchor>
  <xdr:absoluteAnchor>
    <xdr:pos x="9687041" y="0"/>
    <xdr:ext cx="1172730" cy="781050"/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87EB7914-7652-40E4-9F8C-B6A810FDFE02}"/>
            </a:ext>
          </a:extLst>
        </xdr:cNvPr>
        <xdr:cNvGrpSpPr/>
      </xdr:nvGrpSpPr>
      <xdr:grpSpPr>
        <a:xfrm>
          <a:off x="9687041" y="0"/>
          <a:ext cx="1172730" cy="781050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2E32C819-820B-4AB9-A713-D4C1498669B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5A721F74-5071-434B-B865-D47EA021E6F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76CD85B7-217D-400C-977A-5DCCF28592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absoluteAnchor>
  <xdr:absoluteAnchor>
    <xdr:pos x="11071559" y="0"/>
    <xdr:ext cx="1116336" cy="781050"/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D84E4C39-E9D5-459E-A554-2344B4425B51}"/>
            </a:ext>
          </a:extLst>
        </xdr:cNvPr>
        <xdr:cNvGrpSpPr/>
      </xdr:nvGrpSpPr>
      <xdr:grpSpPr>
        <a:xfrm>
          <a:off x="11071559" y="0"/>
          <a:ext cx="1116336" cy="781050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DC63C406-63B7-4EBB-AA10-D99FE158BA5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D72D78A3-F1B6-48BA-B2F8-F85FA976024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70CF58B0-13D8-4B0D-BD72-A6F842CE27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absoluteAnchor>
  <xdr:absoluteAnchor>
    <xdr:pos x="3178397" y="0"/>
    <xdr:ext cx="1059915" cy="781050"/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14B9661D-B788-4449-BD55-3B90553E2A33}"/>
            </a:ext>
          </a:extLst>
        </xdr:cNvPr>
        <xdr:cNvGrpSpPr/>
      </xdr:nvGrpSpPr>
      <xdr:grpSpPr>
        <a:xfrm>
          <a:off x="3178397" y="0"/>
          <a:ext cx="1059915" cy="781050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6084F55E-DF7D-438E-AECC-37A85ECBCD24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A2C07A43-4D2B-4FE4-B006-4BCD03CC6ED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928823DE-74D5-47E4-B252-F90160BF01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absoluteAnchor>
  <xdr:absoluteAnchor>
    <xdr:pos x="0" y="1"/>
    <xdr:ext cx="1819741" cy="761999"/>
    <xdr:pic>
      <xdr:nvPicPr>
        <xdr:cNvPr id="35" name="Imagem 34">
          <a:extLst>
            <a:ext uri="{FF2B5EF4-FFF2-40B4-BE49-F238E27FC236}">
              <a16:creationId xmlns:a16="http://schemas.microsoft.com/office/drawing/2014/main" xmlns="" id="{A3C23A8C-8B96-40E7-B32A-548916CE61C0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9252" t="39637" r="14079" b="25703"/>
        <a:stretch/>
      </xdr:blipFill>
      <xdr:spPr>
        <a:xfrm>
          <a:off x="0" y="1"/>
          <a:ext cx="1819741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absoluteAnchor>
  <xdr:absoluteAnchor>
    <xdr:pos x="12295413" y="10885"/>
    <xdr:ext cx="1052012" cy="781050"/>
    <xdr:grpSp>
      <xdr:nvGrpSpPr>
        <xdr:cNvPr id="36" name="Agrupar 35">
          <a:extLst>
            <a:ext uri="{FF2B5EF4-FFF2-40B4-BE49-F238E27FC236}">
              <a16:creationId xmlns:a16="http://schemas.microsoft.com/office/drawing/2014/main" xmlns="" id="{F6DE3206-C252-47C0-8290-6356459CBE67}"/>
            </a:ext>
          </a:extLst>
        </xdr:cNvPr>
        <xdr:cNvGrpSpPr/>
      </xdr:nvGrpSpPr>
      <xdr:grpSpPr>
        <a:xfrm>
          <a:off x="12295413" y="10885"/>
          <a:ext cx="1052012" cy="781050"/>
          <a:chOff x="11105473" y="0"/>
          <a:chExt cx="1118289" cy="781538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xmlns="" id="{132043F6-E5D7-49A9-9AAA-C2EB3F969E57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xmlns="" id="{AFF3D456-7F28-4A24-A8EA-1C610326FAE6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absoluteAnchor>
  <xdr:absoluteAnchor>
    <xdr:pos x="25327841" y="54429"/>
    <xdr:ext cx="413932" cy="431935"/>
    <xdr:pic>
      <xdr:nvPicPr>
        <xdr:cNvPr id="39" name="Imagem 38" descr="Ícone do banco de dados (símbolo png) preto">
          <a:extLst>
            <a:ext uri="{FF2B5EF4-FFF2-40B4-BE49-F238E27FC236}">
              <a16:creationId xmlns:a16="http://schemas.microsoft.com/office/drawing/2014/main" xmlns="" id="{B4AE489E-3CA1-4EF2-B878-1158DD2635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7841" y="54429"/>
          <a:ext cx="413932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609600" y="857252"/>
    <xdr:ext cx="1902849" cy="428400"/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EEC6F226-3A04-4B5C-AB07-8943EAE4AC5F}"/>
            </a:ext>
          </a:extLst>
        </xdr:cNvPr>
        <xdr:cNvSpPr/>
      </xdr:nvSpPr>
      <xdr:spPr>
        <a:xfrm>
          <a:off x="609600" y="857252"/>
          <a:ext cx="1902849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absoluteAnchor>
  <xdr:absoluteAnchor>
    <xdr:pos x="3100792" y="857252"/>
    <xdr:ext cx="1793649" cy="428400"/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ADB51C8C-4C97-4253-8271-D529C0F0666C}"/>
            </a:ext>
          </a:extLst>
        </xdr:cNvPr>
        <xdr:cNvSpPr/>
      </xdr:nvSpPr>
      <xdr:spPr>
        <a:xfrm>
          <a:off x="3100792" y="857252"/>
          <a:ext cx="1793649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absoluteAnchor>
  <xdr:absoluteAnchor>
    <xdr:pos x="22566829" y="87086"/>
    <xdr:ext cx="434714" cy="431935"/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xmlns="" id="{CAB2C852-50B9-473B-AC1E-4544444C8E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66829" y="87086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5451761" y="850325"/>
    <xdr:ext cx="1987612" cy="428400"/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xmlns="" id="{EB75970D-DAF7-4C0D-ABD0-537EB1246B8F}"/>
            </a:ext>
          </a:extLst>
        </xdr:cNvPr>
        <xdr:cNvSpPr/>
      </xdr:nvSpPr>
      <xdr:spPr>
        <a:xfrm>
          <a:off x="5451761" y="850325"/>
          <a:ext cx="198761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absoluteAnchor>
  <xdr:absoluteAnchor>
    <xdr:pos x="12569536" y="83125"/>
    <xdr:ext cx="434714" cy="431935"/>
    <xdr:pic>
      <xdr:nvPicPr>
        <xdr:cNvPr id="44" name="Imagem 43" descr="Ícone do banco de dados (símbolo png) preto">
          <a:extLst>
            <a:ext uri="{FF2B5EF4-FFF2-40B4-BE49-F238E27FC236}">
              <a16:creationId xmlns:a16="http://schemas.microsoft.com/office/drawing/2014/main" xmlns="" id="{A3ED01CF-8A86-4A5B-A6B4-3ED5C5055B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69536" y="83125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2D80EF9B-E434-46F1-B75D-9C4CCCA019E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A3E09A3-3239-4000-B321-27A719AE8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27E7ADAD-1763-4F65-A771-F79D394B2AAC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5B6D0EC2-81B4-4AF9-A75B-F8168C734303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5</xdr:col>
      <xdr:colOff>1676520</xdr:colOff>
      <xdr:row>3</xdr:row>
      <xdr:rowOff>182100</xdr:rowOff>
    </xdr:from>
    <xdr:to>
      <xdr:col>7</xdr:col>
      <xdr:colOff>1104900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2EDD665C-CCA9-42C7-928D-1BBC2F4F7DA8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415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4</xdr:col>
      <xdr:colOff>3116460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C7E303-AD3F-4A83-816E-BE178C801850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xmlns="" id="{13F696E4-3464-496A-858E-E044DACD69F8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76555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2</xdr:col>
      <xdr:colOff>815340</xdr:colOff>
      <xdr:row>0</xdr:row>
      <xdr:rowOff>0</xdr:rowOff>
    </xdr:from>
    <xdr:to>
      <xdr:col>2</xdr:col>
      <xdr:colOff>2275320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082AD5F8-F59F-4212-AF1A-8962A208BDEE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63153" y="0"/>
          <a:ext cx="1459980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26AD9B86-4D5D-421E-A725-9A34E240E18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xmlns="" id="{42BEA084-5FA0-406D-9095-6439839025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xmlns="" id="{D273422D-606C-431C-AA21-B7F9C1A8931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1911634</xdr:colOff>
      <xdr:row>0</xdr:row>
      <xdr:rowOff>0</xdr:rowOff>
    </xdr:from>
    <xdr:to>
      <xdr:col>4</xdr:col>
      <xdr:colOff>1309160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2257DD2C-B53F-4BCB-83BB-572DF60B531E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1844983</xdr:colOff>
      <xdr:row>2</xdr:row>
      <xdr:rowOff>384583</xdr:rowOff>
    </xdr:from>
    <xdr:to>
      <xdr:col>4</xdr:col>
      <xdr:colOff>1378660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071F12AA-76C3-4439-BC57-B9D95A8CC50F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268945</xdr:colOff>
      <xdr:row>0</xdr:row>
      <xdr:rowOff>126203</xdr:rowOff>
    </xdr:from>
    <xdr:to>
      <xdr:col>4</xdr:col>
      <xdr:colOff>863969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4A8D3F6A-1048-4BEC-98F7-C014B01FF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155843</xdr:colOff>
      <xdr:row>0</xdr:row>
      <xdr:rowOff>0</xdr:rowOff>
    </xdr:from>
    <xdr:to>
      <xdr:col>5</xdr:col>
      <xdr:colOff>1761630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xmlns="" id="{F7CF2986-CB54-47CA-AD2F-D4E75EC6A048}"/>
            </a:ext>
          </a:extLst>
        </xdr:cNvPr>
        <xdr:cNvGrpSpPr/>
      </xdr:nvGrpSpPr>
      <xdr:grpSpPr>
        <a:xfrm>
          <a:off x="9323656" y="0"/>
          <a:ext cx="1605787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xmlns="" id="{6F764039-0A6B-42C7-8162-CAF5E021BAA7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xmlns="" id="{811DEB74-C27A-4764-A5AB-779D5F083BE4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96E96DF1-FC06-4F71-8F39-0B5F25918B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1613234</xdr:colOff>
      <xdr:row>0</xdr:row>
      <xdr:rowOff>0</xdr:rowOff>
    </xdr:from>
    <xdr:to>
      <xdr:col>7</xdr:col>
      <xdr:colOff>1421248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xmlns="" id="{98F5C8EC-65D9-4615-87E5-45104BB2FF52}"/>
            </a:ext>
          </a:extLst>
        </xdr:cNvPr>
        <xdr:cNvGrpSpPr/>
      </xdr:nvGrpSpPr>
      <xdr:grpSpPr>
        <a:xfrm>
          <a:off x="12924172" y="0"/>
          <a:ext cx="1546326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xmlns="" id="{80658977-D034-46EF-BB96-04E42085B095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xmlns="" id="{0ACB6CB8-4AD5-4238-B4CC-876D97FE1C3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F1E4F459-4DF3-458F-8CAF-015D4A54F9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129851</xdr:colOff>
      <xdr:row>0</xdr:row>
      <xdr:rowOff>0</xdr:rowOff>
    </xdr:from>
    <xdr:to>
      <xdr:col>9</xdr:col>
      <xdr:colOff>4377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xmlns="" id="{7CE1A0E9-7C95-4EE0-A597-C68BEE870521}"/>
            </a:ext>
          </a:extLst>
        </xdr:cNvPr>
        <xdr:cNvGrpSpPr/>
      </xdr:nvGrpSpPr>
      <xdr:grpSpPr>
        <a:xfrm>
          <a:off x="16441414" y="0"/>
          <a:ext cx="1565213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xmlns="" id="{56EAE028-6B35-4B0F-A931-4209EBE336C1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xmlns="" id="{DD5D9943-0608-4481-91EA-273CEA8BCE9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960C86D6-8E3F-4EA6-A449-C7721DCA9C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629201</xdr:colOff>
      <xdr:row>0</xdr:row>
      <xdr:rowOff>0</xdr:rowOff>
    </xdr:from>
    <xdr:to>
      <xdr:col>10</xdr:col>
      <xdr:colOff>2093057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xmlns="" id="{C2858333-36EF-4DEE-97E8-85937A0C8D17}"/>
            </a:ext>
          </a:extLst>
        </xdr:cNvPr>
        <xdr:cNvSpPr/>
      </xdr:nvSpPr>
      <xdr:spPr>
        <a:xfrm>
          <a:off x="2050216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579880</xdr:colOff>
      <xdr:row>2</xdr:row>
      <xdr:rowOff>384583</xdr:rowOff>
    </xdr:from>
    <xdr:to>
      <xdr:col>10</xdr:col>
      <xdr:colOff>2180010</xdr:colOff>
      <xdr:row>3</xdr:row>
      <xdr:rowOff>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xmlns="" id="{C7EA48A4-E94E-47FF-8EC5-DD95ABE74178}"/>
            </a:ext>
          </a:extLst>
        </xdr:cNvPr>
        <xdr:cNvSpPr txBox="1"/>
      </xdr:nvSpPr>
      <xdr:spPr>
        <a:xfrm rot="10800000" flipH="1" flipV="1">
          <a:off x="20452840" y="75034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10</xdr:col>
      <xdr:colOff>1060426</xdr:colOff>
      <xdr:row>0</xdr:row>
      <xdr:rowOff>136274</xdr:rowOff>
    </xdr:from>
    <xdr:to>
      <xdr:col>10</xdr:col>
      <xdr:colOff>1654209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5DE84D6-7F3A-4135-B7D1-91409E226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11</xdr:col>
      <xdr:colOff>716866</xdr:colOff>
      <xdr:row>0</xdr:row>
      <xdr:rowOff>0</xdr:rowOff>
    </xdr:from>
    <xdr:to>
      <xdr:col>11</xdr:col>
      <xdr:colOff>2170497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xmlns="" id="{8B8B60A5-D72D-4FC9-84CA-F534CA7B7939}"/>
            </a:ext>
          </a:extLst>
        </xdr:cNvPr>
        <xdr:cNvSpPr/>
      </xdr:nvSpPr>
      <xdr:spPr>
        <a:xfrm>
          <a:off x="2411788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667633</xdr:colOff>
      <xdr:row>2</xdr:row>
      <xdr:rowOff>384583</xdr:rowOff>
    </xdr:from>
    <xdr:to>
      <xdr:col>11</xdr:col>
      <xdr:colOff>2257294</xdr:colOff>
      <xdr:row>3</xdr:row>
      <xdr:rowOff>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xmlns="" id="{AF5145C6-D0B0-4DA9-9829-21B33E6922EB}"/>
            </a:ext>
          </a:extLst>
        </xdr:cNvPr>
        <xdr:cNvSpPr txBox="1"/>
      </xdr:nvSpPr>
      <xdr:spPr>
        <a:xfrm rot="10800000" flipH="1" flipV="1">
          <a:off x="2406865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1154926</xdr:colOff>
      <xdr:row>0</xdr:row>
      <xdr:rowOff>136274</xdr:rowOff>
    </xdr:from>
    <xdr:to>
      <xdr:col>11</xdr:col>
      <xdr:colOff>1732434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F411347-3E54-4FE4-B613-BBE2BD498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594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1933638</xdr:colOff>
      <xdr:row>0</xdr:row>
      <xdr:rowOff>0</xdr:rowOff>
    </xdr:from>
    <xdr:to>
      <xdr:col>13</xdr:col>
      <xdr:colOff>148527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F45FA45A-019E-4141-B6FD-B5447E2BDA41}"/>
            </a:ext>
          </a:extLst>
        </xdr:cNvPr>
        <xdr:cNvGrpSpPr/>
      </xdr:nvGrpSpPr>
      <xdr:grpSpPr>
        <a:xfrm>
          <a:off x="27127263" y="0"/>
          <a:ext cx="1501014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16C12769-97A3-46AC-9B4F-E56DC5757AD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810E09BE-A121-466C-9E27-11D2F93B686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C1FB10B8-8195-4302-85BE-9B56E17CFF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316324</xdr:colOff>
      <xdr:row>0</xdr:row>
      <xdr:rowOff>0</xdr:rowOff>
    </xdr:from>
    <xdr:to>
      <xdr:col>15</xdr:col>
      <xdr:colOff>619495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xmlns="" id="{88935F22-5B2D-4D7E-88B0-4E6BD9BFB61F}"/>
            </a:ext>
          </a:extLst>
        </xdr:cNvPr>
        <xdr:cNvSpPr/>
      </xdr:nvSpPr>
      <xdr:spPr>
        <a:xfrm>
          <a:off x="3139068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266829</xdr:colOff>
      <xdr:row>2</xdr:row>
      <xdr:rowOff>384584</xdr:rowOff>
    </xdr:from>
    <xdr:to>
      <xdr:col>15</xdr:col>
      <xdr:colOff>706758</xdr:colOff>
      <xdr:row>3</xdr:row>
      <xdr:rowOff>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xmlns="" id="{38BCE261-56E4-47B8-8D41-0329D4BBD2D6}"/>
            </a:ext>
          </a:extLst>
        </xdr:cNvPr>
        <xdr:cNvSpPr txBox="1"/>
      </xdr:nvSpPr>
      <xdr:spPr>
        <a:xfrm rot="10800000" flipH="1" flipV="1">
          <a:off x="31341189" y="75034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14</xdr:col>
      <xdr:colOff>728514</xdr:colOff>
      <xdr:row>0</xdr:row>
      <xdr:rowOff>105753</xdr:rowOff>
    </xdr:from>
    <xdr:to>
      <xdr:col>15</xdr:col>
      <xdr:colOff>191517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xmlns="" id="{9F480987-EA78-4AA5-BB8E-49D33BAC03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656BD331-1EFA-418B-BD4F-44D273599E94}"/>
            </a:ext>
          </a:extLst>
        </xdr:cNvPr>
        <xdr:cNvSpPr txBox="1"/>
      </xdr:nvSpPr>
      <xdr:spPr>
        <a:xfrm rot="10800000" flipH="1" flipV="1">
          <a:off x="445041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D66DD357-A4E0-4C77-A4D6-C27A66053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723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FBAB212F-0980-42A0-930A-C70A68D608C7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7457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F371B989-9B66-42AE-BEEA-F29723EE3AFA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381120</xdr:colOff>
      <xdr:row>3</xdr:row>
      <xdr:rowOff>182100</xdr:rowOff>
    </xdr:from>
    <xdr:to>
      <xdr:col>7</xdr:col>
      <xdr:colOff>1485900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9E4085F1-78E9-49C2-A9F4-FFA379EEEA77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9484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MONETÁRIO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5</xdr:col>
      <xdr:colOff>1668660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E3F100E9-AF45-4E06-BD7A-AFD11E68D38A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44540" y="1325100"/>
          <a:ext cx="34212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2</xdr:col>
      <xdr:colOff>815340</xdr:colOff>
      <xdr:row>0</xdr:row>
      <xdr:rowOff>0</xdr:rowOff>
    </xdr:from>
    <xdr:to>
      <xdr:col>2</xdr:col>
      <xdr:colOff>2275320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7C6A949E-7B38-47DE-A91F-CEA9BA0BD173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63153" y="0"/>
          <a:ext cx="1459980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E40B51D0-868E-4507-9CAE-E93AFEDAF80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xmlns="" id="{A1DF1B78-AD72-4265-A920-2F0A94CB9E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xmlns="" id="{93A867CF-915D-4ABA-AEFC-D008DF8E4EA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1911634</xdr:colOff>
      <xdr:row>0</xdr:row>
      <xdr:rowOff>0</xdr:rowOff>
    </xdr:from>
    <xdr:to>
      <xdr:col>4</xdr:col>
      <xdr:colOff>1309160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9F1B2D2D-E072-4EF8-B617-B9755CB2D855}"/>
            </a:ext>
          </a:extLst>
        </xdr:cNvPr>
        <xdr:cNvSpPr/>
      </xdr:nvSpPr>
      <xdr:spPr>
        <a:xfrm>
          <a:off x="5980714" y="0"/>
          <a:ext cx="147778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1844983</xdr:colOff>
      <xdr:row>2</xdr:row>
      <xdr:rowOff>384583</xdr:rowOff>
    </xdr:from>
    <xdr:to>
      <xdr:col>4</xdr:col>
      <xdr:colOff>1378660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903E6059-7D25-48D9-ADF7-5D59416ED970}"/>
            </a:ext>
          </a:extLst>
        </xdr:cNvPr>
        <xdr:cNvSpPr txBox="1"/>
      </xdr:nvSpPr>
      <xdr:spPr>
        <a:xfrm rot="10800000" flipH="1" flipV="1">
          <a:off x="5914063" y="750343"/>
          <a:ext cx="161393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268945</xdr:colOff>
      <xdr:row>0</xdr:row>
      <xdr:rowOff>126203</xdr:rowOff>
    </xdr:from>
    <xdr:to>
      <xdr:col>4</xdr:col>
      <xdr:colOff>863969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FD93C86-5905-4F34-94B2-6FF8C0B5C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828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1984643</xdr:colOff>
      <xdr:row>0</xdr:row>
      <xdr:rowOff>0</xdr:rowOff>
    </xdr:from>
    <xdr:to>
      <xdr:col>6</xdr:col>
      <xdr:colOff>466230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xmlns="" id="{10A69682-5A17-4DDC-B1ED-08B2A1CD7D16}"/>
            </a:ext>
          </a:extLst>
        </xdr:cNvPr>
        <xdr:cNvGrpSpPr/>
      </xdr:nvGrpSpPr>
      <xdr:grpSpPr>
        <a:xfrm>
          <a:off x="9366518" y="0"/>
          <a:ext cx="1505775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xmlns="" id="{7798FB27-BA09-4C7E-A61C-61E72744306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xmlns="" id="{0F0F65DE-BAF9-4D89-8FCD-5C72A87196CE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ED665BE3-08E4-4B9F-A53B-255FF7F6EC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203534</xdr:colOff>
      <xdr:row>0</xdr:row>
      <xdr:rowOff>0</xdr:rowOff>
    </xdr:from>
    <xdr:to>
      <xdr:col>7</xdr:col>
      <xdr:colOff>1802248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xmlns="" id="{C0E3149A-A117-44A4-8B9D-32F2058096A2}"/>
            </a:ext>
          </a:extLst>
        </xdr:cNvPr>
        <xdr:cNvGrpSpPr/>
      </xdr:nvGrpSpPr>
      <xdr:grpSpPr>
        <a:xfrm>
          <a:off x="12871784" y="0"/>
          <a:ext cx="1598714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xmlns="" id="{38BF4DBF-43CC-40F4-8114-84D643FA82ED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xmlns="" id="{662FB686-8368-4296-8582-58C7384DFF92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46905419-9B87-441C-A586-4EDD0551F9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396551</xdr:colOff>
      <xdr:row>0</xdr:row>
      <xdr:rowOff>0</xdr:rowOff>
    </xdr:from>
    <xdr:to>
      <xdr:col>8</xdr:col>
      <xdr:colOff>2023677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xmlns="" id="{905F250D-E8D1-48E4-B39A-BD6D22555260}"/>
            </a:ext>
          </a:extLst>
        </xdr:cNvPr>
        <xdr:cNvGrpSpPr/>
      </xdr:nvGrpSpPr>
      <xdr:grpSpPr>
        <a:xfrm>
          <a:off x="16422364" y="0"/>
          <a:ext cx="1627126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xmlns="" id="{4A89563D-40EA-4046-9370-6D2376DD9545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xmlns="" id="{E0EFB8C0-366B-4BCD-B46A-A93A6B1FCBE8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42025CA1-8391-4F49-9D7B-01848EFEA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953051</xdr:colOff>
      <xdr:row>0</xdr:row>
      <xdr:rowOff>0</xdr:rowOff>
    </xdr:from>
    <xdr:to>
      <xdr:col>9</xdr:col>
      <xdr:colOff>2416907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xmlns="" id="{46DCFAAA-A048-44A3-A0BB-885C39266872}"/>
            </a:ext>
          </a:extLst>
        </xdr:cNvPr>
        <xdr:cNvSpPr/>
      </xdr:nvSpPr>
      <xdr:spPr>
        <a:xfrm>
          <a:off x="20608841" y="0"/>
          <a:ext cx="146385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903730</xdr:colOff>
      <xdr:row>2</xdr:row>
      <xdr:rowOff>384583</xdr:rowOff>
    </xdr:from>
    <xdr:to>
      <xdr:col>10</xdr:col>
      <xdr:colOff>65460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xmlns="" id="{3F1A7044-AF45-4A29-B768-D2DF6DB772DF}"/>
            </a:ext>
          </a:extLst>
        </xdr:cNvPr>
        <xdr:cNvSpPr txBox="1"/>
      </xdr:nvSpPr>
      <xdr:spPr>
        <a:xfrm rot="10800000" flipH="1" flipV="1">
          <a:off x="2055952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9</xdr:col>
      <xdr:colOff>1384276</xdr:colOff>
      <xdr:row>0</xdr:row>
      <xdr:rowOff>136274</xdr:rowOff>
    </xdr:from>
    <xdr:to>
      <xdr:col>9</xdr:col>
      <xdr:colOff>1978059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C154C9E2-D2C7-415B-A345-91DF4EB75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040066" y="136274"/>
          <a:ext cx="593783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2145616</xdr:colOff>
      <xdr:row>0</xdr:row>
      <xdr:rowOff>0</xdr:rowOff>
    </xdr:from>
    <xdr:to>
      <xdr:col>11</xdr:col>
      <xdr:colOff>1122747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xmlns="" id="{7F671BAF-7955-426B-93FC-449BAF8DC299}"/>
            </a:ext>
          </a:extLst>
        </xdr:cNvPr>
        <xdr:cNvSpPr/>
      </xdr:nvSpPr>
      <xdr:spPr>
        <a:xfrm>
          <a:off x="2423980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2096383</xdr:colOff>
      <xdr:row>2</xdr:row>
      <xdr:rowOff>384583</xdr:rowOff>
    </xdr:from>
    <xdr:to>
      <xdr:col>11</xdr:col>
      <xdr:colOff>1209544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xmlns="" id="{8BCDF315-B52A-4AAB-9BDF-87C2B3CDC366}"/>
            </a:ext>
          </a:extLst>
        </xdr:cNvPr>
        <xdr:cNvSpPr txBox="1"/>
      </xdr:nvSpPr>
      <xdr:spPr>
        <a:xfrm rot="10800000" flipH="1" flipV="1">
          <a:off x="2419057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107176</xdr:colOff>
      <xdr:row>0</xdr:row>
      <xdr:rowOff>136274</xdr:rowOff>
    </xdr:from>
    <xdr:to>
      <xdr:col>11</xdr:col>
      <xdr:colOff>684684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877DF8CC-BBB3-49E2-9E61-EE882AF4B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67786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790638</xdr:colOff>
      <xdr:row>0</xdr:row>
      <xdr:rowOff>0</xdr:rowOff>
    </xdr:from>
    <xdr:to>
      <xdr:col>12</xdr:col>
      <xdr:colOff>2396427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C47F532D-3EC0-4665-8C7E-B881AAB0D3AD}"/>
            </a:ext>
          </a:extLst>
        </xdr:cNvPr>
        <xdr:cNvGrpSpPr/>
      </xdr:nvGrpSpPr>
      <xdr:grpSpPr>
        <a:xfrm>
          <a:off x="27127263" y="0"/>
          <a:ext cx="1605789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802AC463-C9F6-4B20-AF7F-B766127FF67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0A2C2CA8-176A-4A2F-953E-D19651E4793D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3CD60653-C8DC-4B3C-AC96-F659AF7DD8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1097374</xdr:colOff>
      <xdr:row>0</xdr:row>
      <xdr:rowOff>0</xdr:rowOff>
    </xdr:from>
    <xdr:to>
      <xdr:col>14</xdr:col>
      <xdr:colOff>638545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xmlns="" id="{B4A4665D-8BAC-434D-86A4-2D76A4E6200C}"/>
            </a:ext>
          </a:extLst>
        </xdr:cNvPr>
        <xdr:cNvSpPr/>
      </xdr:nvSpPr>
      <xdr:spPr>
        <a:xfrm>
          <a:off x="31543084" y="0"/>
          <a:ext cx="146903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1047879</xdr:colOff>
      <xdr:row>2</xdr:row>
      <xdr:rowOff>384584</xdr:rowOff>
    </xdr:from>
    <xdr:to>
      <xdr:col>14</xdr:col>
      <xdr:colOff>725808</xdr:colOff>
      <xdr:row>2</xdr:row>
      <xdr:rowOff>762891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xmlns="" id="{9D9D9724-E8AE-4383-85B1-D68E39C235AA}"/>
            </a:ext>
          </a:extLst>
        </xdr:cNvPr>
        <xdr:cNvSpPr txBox="1"/>
      </xdr:nvSpPr>
      <xdr:spPr>
        <a:xfrm rot="10800000" flipH="1" flipV="1">
          <a:off x="31493589" y="750344"/>
          <a:ext cx="160578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13</xdr:col>
      <xdr:colOff>1509564</xdr:colOff>
      <xdr:row>0</xdr:row>
      <xdr:rowOff>105753</xdr:rowOff>
    </xdr:from>
    <xdr:to>
      <xdr:col>14</xdr:col>
      <xdr:colOff>210567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xmlns="" id="{69D10C77-8975-4A93-B429-0914DE89A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55274" y="105753"/>
          <a:ext cx="62886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OVO_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esktop/ERP_13_11%20(BD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TAM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13_11(VBA)%20MacrosCompras4.0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ERP_12_11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etor_Modelo"/>
      <sheetName val="Produção"/>
      <sheetName val="NOVO"/>
      <sheetName val="N_PROD"/>
      <sheetName val="N_LOGISTICA"/>
      <sheetName val="Produção_Requisições"/>
      <sheetName val="Produção_Equipes"/>
      <sheetName val="Prod_Lanç"/>
      <sheetName val="Produção_BD"/>
      <sheetName val="Estoque"/>
      <sheetName val="Estoque_Prod"/>
      <sheetName val="Estoque_Pedidos"/>
      <sheetName val="Lógistica"/>
      <sheetName val="Lógistica_Cadastro_Clientes"/>
      <sheetName val="Lógistica_Cadastro_Tabela"/>
      <sheetName val="Lógistica_Veiculos_Parceiros"/>
      <sheetName val="Lógistica_Cronograma_Entregas"/>
      <sheetName val="Lógistica_Frete_Custos"/>
      <sheetName val="Lógistica_Relatorio_Entregas"/>
      <sheetName val="Lógistica_Estoque_Transporte"/>
      <sheetName val="Recursos Humanos"/>
      <sheetName val="Finanças"/>
      <sheetName val="Finanças_Custos"/>
      <sheetName val="Venda"/>
      <sheetName val="Compra"/>
      <sheetName val="Compra_CadFor"/>
      <sheetName val="Compra_Solict"/>
      <sheetName val="Compra_ControleProd"/>
      <sheetName val="Vendas_Cadastro_Clientes1"/>
      <sheetName val="Vendas_Cadastro_Clientes2"/>
      <sheetName val="Vendas_Controle_Vendas1"/>
      <sheetName val="Vendas_Controle_Vendas2"/>
      <sheetName val="Vendas_MetasVendas1"/>
      <sheetName val="Vendas_MetasVendas2"/>
      <sheetName val="NOVO_2"/>
    </sheetNames>
    <definedNames>
      <definedName name="REQ_M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V_REL_VEN"/>
      <sheetName val="V_REL_MET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D_CADAS"/>
      <sheetName val="BD_CADAS (2)"/>
      <sheetName val="BANCO DE D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>
        <row r="7">
          <cell r="C7" t="str">
            <v>QUEIJO MEIA CURA</v>
          </cell>
          <cell r="D7">
            <v>100</v>
          </cell>
        </row>
        <row r="8">
          <cell r="C8" t="str">
            <v>QUEIJO MINAS</v>
          </cell>
          <cell r="D8">
            <v>200</v>
          </cell>
        </row>
        <row r="9">
          <cell r="C9" t="str">
            <v>QUEIJO COALHO</v>
          </cell>
          <cell r="D9">
            <v>300</v>
          </cell>
        </row>
        <row r="10">
          <cell r="C10" t="str">
            <v>QUEIJO MUSSARELA</v>
          </cell>
          <cell r="D10">
            <v>400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"/>
      <sheetName val="N_LOGCAD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INTRL"/>
      <sheetName val="N_VMETAS"/>
      <sheetName val="N_VRELCOM"/>
      <sheetName val="N_VRELMET"/>
      <sheetName val="N_CCADASTROF"/>
      <sheetName val="N_PROCFOR"/>
      <sheetName val="N_CMP"/>
      <sheetName val="N_CSOLICITAR"/>
      <sheetName val="N_CREALIZARP"/>
      <sheetName val="N_FINANÇAS"/>
      <sheetName val="BANCO DE DADOS"/>
      <sheetName val="BD_CADAS (2)"/>
      <sheetName val="TAM"/>
    </sheetNames>
    <definedNames>
      <definedName name="BotaoComLogin"/>
      <definedName name="cadastro_clientes"/>
      <definedName name="Controle_Vendas"/>
      <definedName name="me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"/>
      <sheetName val="N_LOGCAD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INTRL"/>
      <sheetName val="N_VMETAS"/>
      <sheetName val="N_VRELCOM"/>
      <sheetName val="N_VRELMET"/>
      <sheetName val="N_CCADASTROF"/>
      <sheetName val="N_PROCFOR"/>
      <sheetName val="N_CSOLICITAR"/>
      <sheetName val="N_CMP"/>
      <sheetName val="SOLICITAÇÕES"/>
      <sheetName val="N_CREALIZARP"/>
      <sheetName val="N_FINANÇAS"/>
      <sheetName val="N_FINANÇAS (2)"/>
      <sheetName val="N_FINANÇAS (3)"/>
      <sheetName val="BANCO DE DADOS"/>
      <sheetName val="BANCO DE DADOS (2)"/>
      <sheetName val="BANCO DE DADOS (3)"/>
      <sheetName val="BD_CADAS (2)"/>
      <sheetName val="13_11(VBA) MacrosCompras4.0"/>
    </sheetNames>
    <definedNames>
      <definedName name="CadastroFornCerto"/>
      <definedName name="COALHO"/>
      <definedName name="EnviarSolicitações"/>
      <definedName name="FERMENTO"/>
      <definedName name="LEITE"/>
      <definedName name="MaiorPmenorPreço"/>
      <definedName name="MenoPMaiorPreço"/>
      <definedName name="RealizarPedido"/>
      <definedName name="SAL"/>
      <definedName name="TODOSFORN"/>
      <definedName name="VINAGR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ANCO DE D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">
          <cell r="J1">
            <v>0</v>
          </cell>
        </row>
        <row r="2">
          <cell r="J2">
            <v>0</v>
          </cell>
        </row>
        <row r="7">
          <cell r="J7">
            <v>0</v>
          </cell>
        </row>
        <row r="8">
          <cell r="J8">
            <v>0</v>
          </cell>
        </row>
        <row r="9">
          <cell r="J9">
            <v>2259.1999999999998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a:spPr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hyperlink" Target="mailto:beatriz@email.com" TargetMode="External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carlos@email.com" TargetMode="External"/><Relationship Id="rId12" Type="http://schemas.openxmlformats.org/officeDocument/2006/relationships/drawing" Target="../drawings/drawing42.xml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ana@email.com" TargetMode="External"/><Relationship Id="rId11" Type="http://schemas.openxmlformats.org/officeDocument/2006/relationships/printerSettings" Target="../printerSettings/printerSettings40.bin"/><Relationship Id="rId5" Type="http://schemas.openxmlformats.org/officeDocument/2006/relationships/hyperlink" Target="mailto:jaoa@email.com" TargetMode="External"/><Relationship Id="rId10" Type="http://schemas.openxmlformats.org/officeDocument/2006/relationships/hyperlink" Target="mailto:ana@email.com" TargetMode="Externa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hyperlink" Target="mailto:joquimsilva@email.com" TargetMode="Externa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hyperlink" Target="mailto:beatriz@email.com" TargetMode="External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carlos@email.com" TargetMode="External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ana@email.com" TargetMode="External"/><Relationship Id="rId5" Type="http://schemas.openxmlformats.org/officeDocument/2006/relationships/hyperlink" Target="mailto:jaoa@email.com" TargetMode="External"/><Relationship Id="rId10" Type="http://schemas.openxmlformats.org/officeDocument/2006/relationships/drawing" Target="../drawings/drawing43.xm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FF0000"/>
  </sheetPr>
  <dimension ref="A1:AW77"/>
  <sheetViews>
    <sheetView showGridLines="0" showRowColHeaders="0" zoomScale="40" zoomScaleNormal="40" workbookViewId="0">
      <selection activeCell="F23" sqref="F23"/>
    </sheetView>
  </sheetViews>
  <sheetFormatPr defaultColWidth="8.85546875" defaultRowHeight="15" zeroHeight="1" x14ac:dyDescent="0.25"/>
  <cols>
    <col min="1" max="25" width="8.85546875" customWidth="1"/>
    <col min="26" max="43" width="8.85546875" style="100" customWidth="1"/>
    <col min="44" max="48" width="8.85546875" customWidth="1"/>
    <col min="49" max="49" width="105.7109375" customWidth="1"/>
    <col min="50" max="16383" width="0" hidden="1" customWidth="1"/>
    <col min="16384" max="16384" width="84.7109375" customWidth="1"/>
  </cols>
  <sheetData>
    <row r="1" spans="1:49" ht="61.5" customHeight="1" x14ac:dyDescent="0.25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</row>
    <row r="2" spans="1:49" ht="46.15" customHeight="1" x14ac:dyDescent="0.4">
      <c r="A2" s="454" t="s">
        <v>0</v>
      </c>
      <c r="B2" s="454"/>
      <c r="C2" s="454"/>
      <c r="D2" s="454"/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4"/>
      <c r="R2" s="454"/>
      <c r="S2" s="454"/>
      <c r="T2" s="454"/>
      <c r="U2" s="454"/>
      <c r="V2" s="454"/>
      <c r="W2" s="454"/>
      <c r="X2" s="454"/>
      <c r="Y2" s="454"/>
      <c r="Z2" s="454"/>
      <c r="AA2" s="454"/>
      <c r="AB2" s="454"/>
      <c r="AC2" s="454"/>
      <c r="AD2" s="454"/>
      <c r="AE2" s="454"/>
      <c r="AF2" s="454"/>
      <c r="AG2" s="454"/>
      <c r="AH2" s="454"/>
      <c r="AI2" s="454"/>
      <c r="AJ2" s="454"/>
      <c r="AK2" s="454"/>
      <c r="AL2" s="454"/>
      <c r="AM2" s="454"/>
      <c r="AN2" s="454"/>
      <c r="AO2" s="454"/>
      <c r="AP2" s="454"/>
      <c r="AQ2" s="454"/>
      <c r="AR2" s="454"/>
      <c r="AS2" s="454"/>
      <c r="AT2" s="454"/>
      <c r="AU2" s="454"/>
      <c r="AV2" s="454"/>
      <c r="AW2" s="454"/>
    </row>
    <row r="3" spans="1:49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</row>
    <row r="4" spans="1:49" x14ac:dyDescent="0.25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</row>
    <row r="5" spans="1:49" x14ac:dyDescent="0.25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</row>
    <row r="6" spans="1:49" x14ac:dyDescent="0.25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</row>
    <row r="7" spans="1:49" x14ac:dyDescent="0.25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</row>
    <row r="8" spans="1:49" x14ac:dyDescent="0.25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</row>
    <row r="9" spans="1:49" x14ac:dyDescent="0.25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</row>
    <row r="10" spans="1:49" x14ac:dyDescent="0.25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</row>
    <row r="11" spans="1:49" x14ac:dyDescent="0.25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</row>
    <row r="12" spans="1:49" x14ac:dyDescent="0.25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</row>
    <row r="13" spans="1:49" x14ac:dyDescent="0.25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</row>
    <row r="14" spans="1:49" x14ac:dyDescent="0.25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</row>
    <row r="15" spans="1:49" x14ac:dyDescent="0.25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</row>
    <row r="16" spans="1:49" x14ac:dyDescent="0.25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</row>
    <row r="17" spans="1:49" x14ac:dyDescent="0.25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</row>
    <row r="18" spans="1:49" x14ac:dyDescent="0.25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</row>
    <row r="19" spans="1:49" x14ac:dyDescent="0.25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</row>
    <row r="20" spans="1:49" x14ac:dyDescent="0.25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</row>
    <row r="21" spans="1:49" x14ac:dyDescent="0.25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</row>
    <row r="22" spans="1:49" x14ac:dyDescent="0.25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</row>
    <row r="23" spans="1:49" x14ac:dyDescent="0.25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</row>
    <row r="24" spans="1:49" x14ac:dyDescent="0.25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</row>
    <row r="25" spans="1:49" x14ac:dyDescent="0.25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</row>
    <row r="26" spans="1:49" x14ac:dyDescent="0.25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</row>
    <row r="27" spans="1:49" x14ac:dyDescent="0.25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</row>
    <row r="28" spans="1:49" x14ac:dyDescent="0.25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</row>
    <row r="29" spans="1:49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</row>
    <row r="30" spans="1:49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</row>
    <row r="31" spans="1:49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</row>
    <row r="32" spans="1:49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</row>
    <row r="33" spans="1:49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</row>
    <row r="34" spans="1:49" x14ac:dyDescent="0.25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</row>
    <row r="35" spans="1:49" x14ac:dyDescent="0.25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</row>
    <row r="36" spans="1:49" x14ac:dyDescent="0.25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</row>
    <row r="37" spans="1:49" x14ac:dyDescent="0.25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</row>
    <row r="38" spans="1:49" x14ac:dyDescent="0.25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</row>
    <row r="39" spans="1:49" x14ac:dyDescent="0.25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</row>
    <row r="40" spans="1:49" x14ac:dyDescent="0.25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</row>
    <row r="41" spans="1:49" x14ac:dyDescent="0.2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</row>
    <row r="42" spans="1:49" x14ac:dyDescent="0.2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</row>
    <row r="43" spans="1:49" x14ac:dyDescent="0.25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</row>
    <row r="44" spans="1:49" x14ac:dyDescent="0.25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</row>
    <row r="45" spans="1:49" x14ac:dyDescent="0.25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</row>
    <row r="46" spans="1:49" x14ac:dyDescent="0.25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</row>
    <row r="47" spans="1:49" x14ac:dyDescent="0.25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</row>
    <row r="48" spans="1:49" x14ac:dyDescent="0.25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</row>
    <row r="49" spans="1:49" x14ac:dyDescent="0.25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</row>
    <row r="50" spans="1:49" s="100" customFormat="1" x14ac:dyDescent="0.25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</row>
    <row r="51" spans="1:49" s="100" customFormat="1" x14ac:dyDescent="0.25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</row>
    <row r="52" spans="1:49" s="100" customFormat="1" x14ac:dyDescent="0.25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</row>
    <row r="53" spans="1:49" s="100" customFormat="1" x14ac:dyDescent="0.25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</row>
    <row r="54" spans="1:49" s="100" customFormat="1" x14ac:dyDescent="0.25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</row>
    <row r="55" spans="1:49" s="100" customFormat="1" x14ac:dyDescent="0.25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</row>
    <row r="56" spans="1:49" s="100" customFormat="1" x14ac:dyDescent="0.25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</row>
    <row r="57" spans="1:49" s="100" customFormat="1" x14ac:dyDescent="0.25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</row>
    <row r="58" spans="1:49" s="100" customFormat="1" x14ac:dyDescent="0.25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</row>
    <row r="59" spans="1:49" s="100" customFormat="1" x14ac:dyDescent="0.25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</row>
    <row r="60" spans="1:49" s="100" customFormat="1" x14ac:dyDescent="0.25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</row>
    <row r="61" spans="1:49" s="100" customFormat="1" x14ac:dyDescent="0.25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</row>
    <row r="62" spans="1:49" s="100" customFormat="1" x14ac:dyDescent="0.25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</row>
    <row r="63" spans="1:49" s="100" customFormat="1" x14ac:dyDescent="0.25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</row>
    <row r="64" spans="1:49" s="100" customFormat="1" x14ac:dyDescent="0.25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</row>
    <row r="65" spans="1:49" s="100" customFormat="1" x14ac:dyDescent="0.25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</row>
    <row r="66" spans="1:49" s="100" customFormat="1" x14ac:dyDescent="0.25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</row>
    <row r="67" spans="1:49" s="100" customFormat="1" x14ac:dyDescent="0.25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</row>
    <row r="68" spans="1:49" s="100" customFormat="1" x14ac:dyDescent="0.25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</row>
    <row r="69" spans="1:49" s="100" customFormat="1" x14ac:dyDescent="0.25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</row>
    <row r="70" spans="1:49" s="100" customFormat="1" x14ac:dyDescent="0.25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</row>
    <row r="71" spans="1:49" s="100" customFormat="1" x14ac:dyDescent="0.25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</row>
    <row r="72" spans="1:49" s="100" customFormat="1" x14ac:dyDescent="0.25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</row>
    <row r="73" spans="1:49" s="100" customFormat="1" x14ac:dyDescent="0.25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</row>
    <row r="74" spans="1:49" s="100" customFormat="1" x14ac:dyDescent="0.25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</row>
    <row r="75" spans="1:49" x14ac:dyDescent="0.25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</row>
    <row r="76" spans="1:49" x14ac:dyDescent="0.25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</row>
    <row r="77" spans="1:49" ht="270" customHeight="1" x14ac:dyDescent="0.25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</row>
  </sheetData>
  <mergeCells count="1">
    <mergeCell ref="A2:AW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>
    <tabColor rgb="FFFF0000"/>
  </sheetPr>
  <dimension ref="A1:BJ80"/>
  <sheetViews>
    <sheetView showGridLines="0" showRowColHeaders="0" zoomScale="40" zoomScaleNormal="40" workbookViewId="0">
      <selection activeCell="J40" sqref="J40"/>
    </sheetView>
  </sheetViews>
  <sheetFormatPr defaultColWidth="8.85546875" defaultRowHeight="15" x14ac:dyDescent="0.25"/>
  <cols>
    <col min="1" max="2" width="8.85546875" style="100"/>
    <col min="3" max="3" width="8.85546875" style="100" customWidth="1"/>
    <col min="4" max="4" width="8.85546875" style="100"/>
    <col min="5" max="5" width="28.85546875" style="100" customWidth="1"/>
    <col min="6" max="6" width="12.28515625" style="100" customWidth="1"/>
    <col min="7" max="7" width="15.7109375" style="100" bestFit="1" customWidth="1"/>
    <col min="8" max="8" width="16.7109375" style="100" bestFit="1" customWidth="1"/>
    <col min="9" max="9" width="10.28515625" style="100" customWidth="1"/>
    <col min="10" max="10" width="19.5703125" style="100" bestFit="1" customWidth="1"/>
    <col min="11" max="11" width="13.42578125" style="100" bestFit="1" customWidth="1"/>
    <col min="12" max="12" width="12.28515625" style="100" bestFit="1" customWidth="1"/>
    <col min="13" max="13" width="9.5703125" style="100" bestFit="1" customWidth="1"/>
    <col min="14" max="14" width="16.7109375" style="100" bestFit="1" customWidth="1"/>
    <col min="15" max="16" width="8.85546875" style="100"/>
    <col min="17" max="17" width="34" style="100" customWidth="1"/>
    <col min="18" max="18" width="15.7109375" style="100" customWidth="1"/>
    <col min="19" max="19" width="21.28515625" style="100" customWidth="1"/>
    <col min="20" max="20" width="19.28515625" style="100" bestFit="1" customWidth="1"/>
    <col min="21" max="21" width="14.5703125" style="100" bestFit="1" customWidth="1"/>
    <col min="22" max="22" width="26.7109375" style="100" bestFit="1" customWidth="1"/>
    <col min="23" max="16384" width="8.85546875" style="100"/>
  </cols>
  <sheetData>
    <row r="1" spans="1:62" s="101" customFormat="1" x14ac:dyDescent="0.25"/>
    <row r="2" spans="1:62" s="101" customFormat="1" x14ac:dyDescent="0.25"/>
    <row r="3" spans="1:62" ht="61.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</row>
    <row r="4" spans="1:62" ht="46.15" customHeight="1" x14ac:dyDescent="0.25">
      <c r="A4" s="455"/>
      <c r="B4" s="455"/>
      <c r="C4" s="455"/>
      <c r="D4" s="455"/>
      <c r="E4" s="455"/>
      <c r="F4" s="455"/>
      <c r="G4" s="455"/>
      <c r="H4" s="455"/>
      <c r="I4" s="455"/>
      <c r="J4" s="455"/>
      <c r="K4" s="455"/>
      <c r="L4" s="455"/>
      <c r="M4" s="455"/>
      <c r="N4" s="455"/>
      <c r="O4" s="455"/>
      <c r="P4" s="455"/>
      <c r="Q4" s="455"/>
      <c r="R4" s="455"/>
      <c r="S4" s="455"/>
      <c r="T4" s="455"/>
      <c r="U4" s="455"/>
      <c r="V4" s="455"/>
      <c r="W4" s="455"/>
      <c r="X4" s="455"/>
      <c r="Y4" s="455"/>
      <c r="Z4" s="455"/>
      <c r="AA4" s="455"/>
      <c r="AB4" s="455"/>
      <c r="AC4" s="455"/>
      <c r="AD4" s="455"/>
      <c r="AE4" s="455"/>
      <c r="AF4" s="455"/>
      <c r="AG4" s="455"/>
      <c r="AH4" s="455"/>
      <c r="AI4" s="455"/>
      <c r="AJ4" s="455"/>
      <c r="AK4" s="455"/>
      <c r="AL4" s="455"/>
      <c r="AM4" s="455"/>
      <c r="AN4" s="455"/>
      <c r="AO4" s="455"/>
      <c r="AP4" s="455"/>
      <c r="AQ4" s="455"/>
      <c r="AR4" s="455"/>
      <c r="AS4" s="455"/>
      <c r="AT4" s="455"/>
      <c r="AU4" s="455"/>
      <c r="AV4" s="455"/>
      <c r="AW4" s="455"/>
      <c r="AX4" s="455"/>
      <c r="AY4" s="455"/>
      <c r="AZ4" s="455"/>
      <c r="BA4" s="455"/>
      <c r="BB4" s="455"/>
      <c r="BC4" s="455"/>
      <c r="BD4" s="455"/>
      <c r="BE4" s="455"/>
      <c r="BF4" s="455"/>
      <c r="BG4" s="455"/>
      <c r="BH4" s="455"/>
      <c r="BI4" s="455"/>
      <c r="BJ4" s="455"/>
    </row>
    <row r="5" spans="1:62" x14ac:dyDescent="0.25">
      <c r="A5" s="455"/>
      <c r="B5" s="455"/>
      <c r="C5" s="455"/>
      <c r="D5" s="455"/>
      <c r="E5" s="455"/>
      <c r="F5" s="455"/>
      <c r="G5" s="455"/>
      <c r="H5" s="455"/>
      <c r="I5" s="455"/>
      <c r="J5" s="455"/>
      <c r="K5" s="455"/>
      <c r="L5" s="455"/>
      <c r="M5" s="455"/>
      <c r="N5" s="455"/>
      <c r="O5" s="455"/>
      <c r="P5" s="455"/>
      <c r="Q5" s="455"/>
      <c r="R5" s="455"/>
      <c r="S5" s="455"/>
      <c r="T5" s="455"/>
      <c r="U5" s="455"/>
      <c r="V5" s="455"/>
      <c r="W5" s="455"/>
      <c r="X5" s="455"/>
      <c r="Y5" s="455"/>
      <c r="Z5" s="455"/>
      <c r="AA5" s="455"/>
      <c r="AB5" s="455"/>
      <c r="AC5" s="455"/>
      <c r="AD5" s="455"/>
      <c r="AE5" s="455"/>
      <c r="AF5" s="455"/>
      <c r="AG5" s="455"/>
      <c r="AH5" s="455"/>
      <c r="AI5" s="455"/>
      <c r="AJ5" s="455"/>
      <c r="AK5" s="455"/>
      <c r="AL5" s="455"/>
      <c r="AM5" s="455"/>
      <c r="AN5" s="455"/>
      <c r="AO5" s="455"/>
      <c r="AP5" s="455"/>
      <c r="AQ5" s="455"/>
      <c r="AR5" s="455"/>
      <c r="AS5" s="455"/>
      <c r="AT5" s="455"/>
      <c r="AU5" s="455"/>
      <c r="AV5" s="455"/>
      <c r="AW5" s="455"/>
      <c r="AX5" s="455"/>
      <c r="AY5" s="455"/>
      <c r="AZ5" s="455"/>
      <c r="BA5" s="455"/>
      <c r="BB5" s="455"/>
      <c r="BC5" s="455"/>
      <c r="BD5" s="455"/>
      <c r="BE5" s="455"/>
      <c r="BF5" s="455"/>
      <c r="BG5" s="455"/>
      <c r="BH5" s="455"/>
      <c r="BI5" s="455"/>
      <c r="BJ5" s="455"/>
    </row>
    <row r="6" spans="1:62" x14ac:dyDescent="0.25">
      <c r="A6" s="455"/>
      <c r="B6" s="455"/>
      <c r="C6" s="455"/>
      <c r="D6" s="455"/>
      <c r="E6" s="455"/>
      <c r="F6" s="455"/>
      <c r="G6" s="455"/>
      <c r="H6" s="455"/>
      <c r="I6" s="455"/>
      <c r="J6" s="455"/>
      <c r="K6" s="455"/>
      <c r="L6" s="455"/>
      <c r="M6" s="455"/>
      <c r="N6" s="455"/>
      <c r="O6" s="455"/>
      <c r="P6" s="455"/>
      <c r="Q6" s="455"/>
      <c r="R6" s="455"/>
      <c r="S6" s="455"/>
      <c r="T6" s="455"/>
      <c r="U6" s="455"/>
      <c r="V6" s="455"/>
      <c r="W6" s="455"/>
      <c r="X6" s="455"/>
      <c r="Y6" s="455"/>
      <c r="Z6" s="455"/>
      <c r="AA6" s="455"/>
      <c r="AB6" s="455"/>
      <c r="AC6" s="455"/>
      <c r="AD6" s="455"/>
      <c r="AE6" s="455"/>
      <c r="AF6" s="455"/>
      <c r="AG6" s="455"/>
      <c r="AH6" s="455"/>
      <c r="AI6" s="455"/>
      <c r="AJ6" s="455"/>
      <c r="AK6" s="455"/>
      <c r="AL6" s="455"/>
      <c r="AM6" s="455"/>
      <c r="AN6" s="455"/>
      <c r="AO6" s="455"/>
      <c r="AP6" s="455"/>
      <c r="AQ6" s="455"/>
      <c r="AR6" s="455"/>
      <c r="AS6" s="455"/>
      <c r="AT6" s="455"/>
      <c r="AU6" s="455"/>
      <c r="AV6" s="455"/>
      <c r="AW6" s="455"/>
      <c r="AX6" s="455"/>
      <c r="AY6" s="455"/>
      <c r="AZ6" s="455"/>
      <c r="BA6" s="455"/>
      <c r="BB6" s="455"/>
      <c r="BC6" s="455"/>
      <c r="BD6" s="455"/>
      <c r="BE6" s="455"/>
      <c r="BF6" s="455"/>
      <c r="BG6" s="455"/>
      <c r="BH6" s="455"/>
      <c r="BI6" s="455"/>
      <c r="BJ6" s="455"/>
    </row>
    <row r="7" spans="1:62" x14ac:dyDescent="0.25">
      <c r="A7" s="455"/>
      <c r="B7" s="455"/>
      <c r="C7" s="455"/>
      <c r="D7" s="455"/>
      <c r="E7" s="455"/>
      <c r="F7" s="455"/>
      <c r="G7" s="455"/>
      <c r="H7" s="455"/>
      <c r="I7" s="455"/>
      <c r="J7" s="455"/>
      <c r="K7" s="455"/>
      <c r="L7" s="455"/>
      <c r="M7" s="455"/>
      <c r="N7" s="455"/>
      <c r="O7" s="455"/>
      <c r="P7" s="455"/>
      <c r="Q7" s="455"/>
      <c r="R7" s="455"/>
      <c r="S7" s="455"/>
      <c r="T7" s="455"/>
      <c r="U7" s="455"/>
      <c r="V7" s="455"/>
      <c r="W7" s="455"/>
      <c r="X7" s="455"/>
      <c r="Y7" s="455"/>
      <c r="Z7" s="455"/>
      <c r="AA7" s="455"/>
      <c r="AB7" s="455"/>
      <c r="AC7" s="455"/>
      <c r="AD7" s="455"/>
      <c r="AE7" s="455"/>
      <c r="AF7" s="455"/>
      <c r="AG7" s="455"/>
      <c r="AH7" s="455"/>
      <c r="AI7" s="455"/>
      <c r="AJ7" s="455"/>
      <c r="AK7" s="455"/>
      <c r="AL7" s="455"/>
      <c r="AM7" s="455"/>
      <c r="AN7" s="455"/>
      <c r="AO7" s="455"/>
      <c r="AP7" s="455"/>
      <c r="AQ7" s="455"/>
      <c r="AR7" s="455"/>
      <c r="AS7" s="455"/>
      <c r="AT7" s="455"/>
      <c r="AU7" s="455"/>
      <c r="AV7" s="455"/>
      <c r="AW7" s="455"/>
      <c r="AX7" s="455"/>
      <c r="AY7" s="455"/>
      <c r="AZ7" s="455"/>
      <c r="BA7" s="455"/>
      <c r="BB7" s="455"/>
      <c r="BC7" s="455"/>
      <c r="BD7" s="455"/>
      <c r="BE7" s="455"/>
      <c r="BF7" s="455"/>
      <c r="BG7" s="455"/>
      <c r="BH7" s="455"/>
      <c r="BI7" s="455"/>
      <c r="BJ7" s="455"/>
    </row>
    <row r="8" spans="1:62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</row>
    <row r="9" spans="1:62" ht="14.45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</row>
    <row r="10" spans="1:62" ht="14.45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</row>
    <row r="11" spans="1:62" ht="25.15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</row>
    <row r="12" spans="1:62" ht="25.15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</row>
    <row r="13" spans="1:62" ht="75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</row>
    <row r="14" spans="1:62" ht="60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</row>
    <row r="15" spans="1:62" ht="60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</row>
    <row r="16" spans="1:62" ht="60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</row>
    <row r="17" spans="1:44" ht="60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</row>
    <row r="18" spans="1:44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</row>
    <row r="19" spans="1:44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</row>
    <row r="20" spans="1:44" ht="14.45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</row>
    <row r="21" spans="1:44" ht="14.45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</row>
    <row r="22" spans="1:44" ht="25.5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</row>
    <row r="23" spans="1:44" ht="25.5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</row>
    <row r="24" spans="1:44" ht="37.5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</row>
    <row r="25" spans="1:44" ht="37.5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</row>
    <row r="26" spans="1:44" ht="15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</row>
    <row r="27" spans="1:44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</row>
    <row r="28" spans="1:44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</row>
    <row r="29" spans="1:44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</row>
    <row r="30" spans="1:44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</row>
    <row r="31" spans="1:44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</row>
    <row r="32" spans="1:44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</row>
    <row r="33" spans="1:44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</row>
    <row r="34" spans="1:44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</row>
    <row r="35" spans="1:44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</row>
    <row r="36" spans="1:44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</row>
    <row r="37" spans="1:44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</row>
    <row r="38" spans="1:44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</row>
    <row r="39" spans="1:44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</row>
    <row r="40" spans="1:44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</row>
    <row r="41" spans="1:44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</row>
    <row r="42" spans="1:44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</row>
    <row r="43" spans="1:44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</row>
    <row r="44" spans="1:44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</row>
    <row r="45" spans="1:44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</row>
    <row r="46" spans="1:44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</row>
    <row r="47" spans="1:44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</row>
    <row r="48" spans="1:44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</row>
    <row r="49" spans="1:44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</row>
    <row r="50" spans="1:44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</row>
    <row r="51" spans="1:44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</row>
    <row r="52" spans="1:44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</row>
    <row r="53" spans="1:44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</row>
    <row r="54" spans="1:44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</row>
    <row r="55" spans="1:44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</row>
    <row r="56" spans="1:44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</row>
    <row r="57" spans="1:44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</row>
    <row r="58" spans="1:44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</row>
    <row r="59" spans="1:44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</row>
    <row r="60" spans="1:44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</row>
    <row r="61" spans="1:44" x14ac:dyDescent="0.2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</row>
    <row r="62" spans="1:44" x14ac:dyDescent="0.2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</row>
    <row r="63" spans="1:44" x14ac:dyDescent="0.25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</row>
    <row r="64" spans="1:44" x14ac:dyDescent="0.25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</row>
    <row r="65" spans="1:44" x14ac:dyDescent="0.25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</row>
    <row r="66" spans="1:44" x14ac:dyDescent="0.25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</row>
    <row r="67" spans="1:44" x14ac:dyDescent="0.25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</row>
    <row r="68" spans="1:44" x14ac:dyDescent="0.25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</row>
    <row r="69" spans="1:44" x14ac:dyDescent="0.25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</row>
    <row r="70" spans="1:44" x14ac:dyDescent="0.25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</row>
    <row r="71" spans="1:44" x14ac:dyDescent="0.25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</row>
    <row r="72" spans="1:44" x14ac:dyDescent="0.25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</row>
    <row r="73" spans="1:44" x14ac:dyDescent="0.25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</row>
    <row r="74" spans="1:44" x14ac:dyDescent="0.25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</row>
    <row r="75" spans="1:44" x14ac:dyDescent="0.25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</row>
    <row r="76" spans="1:44" x14ac:dyDescent="0.25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</row>
    <row r="77" spans="1:44" x14ac:dyDescent="0.25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</row>
    <row r="78" spans="1:44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</row>
    <row r="79" spans="1:44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</row>
    <row r="80" spans="1:44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</row>
  </sheetData>
  <mergeCells count="8">
    <mergeCell ref="A7:AE7"/>
    <mergeCell ref="AF7:BJ7"/>
    <mergeCell ref="A4:AE4"/>
    <mergeCell ref="AF4:BJ4"/>
    <mergeCell ref="A5:AE5"/>
    <mergeCell ref="AF5:BJ5"/>
    <mergeCell ref="A6:AE6"/>
    <mergeCell ref="AF6:BJ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FF0000"/>
  </sheetPr>
  <dimension ref="A1:BJ40"/>
  <sheetViews>
    <sheetView topLeftCell="A10" zoomScale="40" zoomScaleNormal="40" workbookViewId="0">
      <selection activeCell="V41" sqref="V41"/>
    </sheetView>
  </sheetViews>
  <sheetFormatPr defaultRowHeight="15" x14ac:dyDescent="0.25"/>
  <cols>
    <col min="3" max="3" width="8.85546875" customWidth="1"/>
    <col min="5" max="5" width="28.85546875" customWidth="1"/>
    <col min="6" max="6" width="12.28515625" customWidth="1"/>
    <col min="7" max="7" width="15.7109375" bestFit="1" customWidth="1"/>
    <col min="8" max="8" width="16.7109375" bestFit="1" customWidth="1"/>
    <col min="9" max="9" width="10.28515625" customWidth="1"/>
    <col min="10" max="10" width="19.5703125" bestFit="1" customWidth="1"/>
    <col min="11" max="11" width="13.42578125" bestFit="1" customWidth="1"/>
    <col min="12" max="12" width="12.28515625" bestFit="1" customWidth="1"/>
    <col min="13" max="13" width="9.5703125" bestFit="1" customWidth="1"/>
    <col min="14" max="14" width="16.7109375" bestFit="1" customWidth="1"/>
    <col min="17" max="17" width="34" customWidth="1"/>
    <col min="18" max="18" width="15.7109375" customWidth="1"/>
    <col min="19" max="19" width="21.28515625" customWidth="1"/>
    <col min="20" max="20" width="19.28515625" bestFit="1" customWidth="1"/>
    <col min="21" max="21" width="14.5703125" bestFit="1" customWidth="1"/>
    <col min="22" max="22" width="26.7109375" bestFit="1" customWidth="1"/>
    <col min="52" max="53" width="8.85546875" style="100"/>
  </cols>
  <sheetData>
    <row r="1" spans="1:62" s="101" customFormat="1" x14ac:dyDescent="0.25"/>
    <row r="2" spans="1:62" s="101" customFormat="1" x14ac:dyDescent="0.25"/>
    <row r="3" spans="1:62" ht="61.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</row>
    <row r="4" spans="1:62" ht="46.15" customHeight="1" x14ac:dyDescent="0.25">
      <c r="A4" s="455"/>
      <c r="B4" s="455"/>
      <c r="C4" s="455"/>
      <c r="D4" s="455"/>
      <c r="E4" s="455"/>
      <c r="F4" s="455"/>
      <c r="G4" s="455"/>
      <c r="H4" s="455"/>
      <c r="I4" s="455"/>
      <c r="J4" s="455"/>
      <c r="K4" s="455"/>
      <c r="L4" s="455"/>
      <c r="M4" s="455"/>
      <c r="N4" s="455"/>
      <c r="O4" s="455"/>
      <c r="P4" s="455"/>
      <c r="Q4" s="455"/>
      <c r="R4" s="455"/>
      <c r="S4" s="455"/>
      <c r="T4" s="455"/>
      <c r="U4" s="455"/>
      <c r="V4" s="455"/>
      <c r="W4" s="455"/>
      <c r="X4" s="455"/>
      <c r="Y4" s="455"/>
      <c r="Z4" s="455"/>
      <c r="AA4" s="455"/>
      <c r="AB4" s="455"/>
      <c r="AC4" s="455"/>
      <c r="AD4" s="455"/>
      <c r="AE4" s="455"/>
      <c r="AF4" s="455"/>
      <c r="AG4" s="455"/>
      <c r="AH4" s="455"/>
      <c r="AI4" s="455"/>
      <c r="AJ4" s="455"/>
      <c r="AK4" s="455"/>
      <c r="AL4" s="455"/>
      <c r="AM4" s="455"/>
      <c r="AN4" s="455"/>
      <c r="AO4" s="455"/>
      <c r="AP4" s="455"/>
      <c r="AQ4" s="455"/>
      <c r="AR4" s="455"/>
      <c r="AS4" s="455"/>
      <c r="AT4" s="455"/>
      <c r="AU4" s="455"/>
      <c r="AV4" s="455"/>
      <c r="AW4" s="455"/>
      <c r="AX4" s="455"/>
      <c r="AY4" s="455"/>
      <c r="AZ4" s="455"/>
      <c r="BA4" s="455"/>
      <c r="BB4" s="455"/>
      <c r="BC4" s="455"/>
      <c r="BD4" s="455"/>
      <c r="BE4" s="455"/>
      <c r="BF4" s="455"/>
      <c r="BG4" s="455"/>
      <c r="BH4" s="455"/>
      <c r="BI4" s="455"/>
      <c r="BJ4" s="455"/>
    </row>
    <row r="5" spans="1:62" x14ac:dyDescent="0.25">
      <c r="A5" s="455"/>
      <c r="B5" s="455"/>
      <c r="C5" s="455"/>
      <c r="D5" s="455"/>
      <c r="E5" s="455"/>
      <c r="F5" s="455"/>
      <c r="G5" s="455"/>
      <c r="H5" s="455"/>
      <c r="I5" s="455"/>
      <c r="J5" s="455"/>
      <c r="K5" s="455"/>
      <c r="L5" s="455"/>
      <c r="M5" s="455"/>
      <c r="N5" s="455"/>
      <c r="O5" s="455"/>
      <c r="P5" s="455"/>
      <c r="Q5" s="455"/>
      <c r="R5" s="455"/>
      <c r="S5" s="455"/>
      <c r="T5" s="455"/>
      <c r="U5" s="455"/>
      <c r="V5" s="455"/>
      <c r="W5" s="455"/>
      <c r="X5" s="455"/>
      <c r="Y5" s="455"/>
      <c r="Z5" s="455"/>
      <c r="AA5" s="455"/>
      <c r="AB5" s="455"/>
      <c r="AC5" s="455"/>
      <c r="AD5" s="455"/>
      <c r="AE5" s="455"/>
      <c r="AF5" s="455"/>
      <c r="AG5" s="455"/>
      <c r="AH5" s="455"/>
      <c r="AI5" s="455"/>
      <c r="AJ5" s="455"/>
      <c r="AK5" s="455"/>
      <c r="AL5" s="455"/>
      <c r="AM5" s="455"/>
      <c r="AN5" s="455"/>
      <c r="AO5" s="455"/>
      <c r="AP5" s="455"/>
      <c r="AQ5" s="455"/>
      <c r="AR5" s="455"/>
      <c r="AS5" s="455"/>
      <c r="AT5" s="455"/>
      <c r="AU5" s="455"/>
      <c r="AV5" s="455"/>
      <c r="AW5" s="455"/>
      <c r="AX5" s="455"/>
      <c r="AY5" s="455"/>
      <c r="AZ5" s="455"/>
      <c r="BA5" s="455"/>
      <c r="BB5" s="455"/>
      <c r="BC5" s="455"/>
      <c r="BD5" s="455"/>
      <c r="BE5" s="455"/>
      <c r="BF5" s="455"/>
      <c r="BG5" s="455"/>
      <c r="BH5" s="455"/>
      <c r="BI5" s="455"/>
      <c r="BJ5" s="455"/>
    </row>
    <row r="6" spans="1:62" x14ac:dyDescent="0.25">
      <c r="A6" s="455"/>
      <c r="B6" s="455"/>
      <c r="C6" s="455"/>
      <c r="D6" s="455"/>
      <c r="E6" s="455"/>
      <c r="F6" s="455"/>
      <c r="G6" s="455"/>
      <c r="H6" s="455"/>
      <c r="I6" s="455"/>
      <c r="J6" s="455"/>
      <c r="K6" s="455"/>
      <c r="L6" s="455"/>
      <c r="M6" s="455"/>
      <c r="N6" s="455"/>
      <c r="O6" s="455"/>
      <c r="P6" s="455"/>
      <c r="Q6" s="455"/>
      <c r="R6" s="455"/>
      <c r="S6" s="455"/>
      <c r="T6" s="455"/>
      <c r="U6" s="455"/>
      <c r="V6" s="455"/>
      <c r="W6" s="455"/>
      <c r="X6" s="455"/>
      <c r="Y6" s="455"/>
      <c r="Z6" s="455"/>
      <c r="AA6" s="455"/>
      <c r="AB6" s="455"/>
      <c r="AC6" s="455"/>
      <c r="AD6" s="455"/>
      <c r="AE6" s="455"/>
      <c r="AF6" s="455"/>
      <c r="AG6" s="455"/>
      <c r="AH6" s="455"/>
      <c r="AI6" s="455"/>
      <c r="AJ6" s="455"/>
      <c r="AK6" s="455"/>
      <c r="AL6" s="455"/>
      <c r="AM6" s="455"/>
      <c r="AN6" s="455"/>
      <c r="AO6" s="455"/>
      <c r="AP6" s="455"/>
      <c r="AQ6" s="455"/>
      <c r="AR6" s="455"/>
      <c r="AS6" s="455"/>
      <c r="AT6" s="455"/>
      <c r="AU6" s="455"/>
      <c r="AV6" s="455"/>
      <c r="AW6" s="455"/>
      <c r="AX6" s="455"/>
      <c r="AY6" s="455"/>
      <c r="AZ6" s="455"/>
      <c r="BA6" s="455"/>
      <c r="BB6" s="455"/>
      <c r="BC6" s="455"/>
      <c r="BD6" s="455"/>
      <c r="BE6" s="455"/>
      <c r="BF6" s="455"/>
      <c r="BG6" s="455"/>
      <c r="BH6" s="455"/>
      <c r="BI6" s="455"/>
      <c r="BJ6" s="455"/>
    </row>
    <row r="7" spans="1:62" x14ac:dyDescent="0.25">
      <c r="A7" s="455"/>
      <c r="B7" s="455"/>
      <c r="C7" s="455"/>
      <c r="D7" s="455"/>
      <c r="E7" s="455"/>
      <c r="F7" s="455"/>
      <c r="G7" s="455"/>
      <c r="H7" s="455"/>
      <c r="I7" s="455"/>
      <c r="J7" s="455"/>
      <c r="K7" s="455"/>
      <c r="L7" s="455"/>
      <c r="M7" s="455"/>
      <c r="N7" s="455"/>
      <c r="O7" s="455"/>
      <c r="P7" s="455"/>
      <c r="Q7" s="455"/>
      <c r="R7" s="455"/>
      <c r="S7" s="455"/>
      <c r="T7" s="455"/>
      <c r="U7" s="455"/>
      <c r="V7" s="455"/>
      <c r="W7" s="455"/>
      <c r="X7" s="455"/>
      <c r="Y7" s="455"/>
      <c r="Z7" s="455"/>
      <c r="AA7" s="455"/>
      <c r="AB7" s="455"/>
      <c r="AC7" s="455"/>
      <c r="AD7" s="455"/>
      <c r="AE7" s="455"/>
      <c r="AF7" s="455"/>
      <c r="AG7" s="455"/>
      <c r="AH7" s="455"/>
      <c r="AI7" s="455"/>
      <c r="AJ7" s="455"/>
      <c r="AK7" s="455"/>
      <c r="AL7" s="455"/>
      <c r="AM7" s="455"/>
      <c r="AN7" s="455"/>
      <c r="AO7" s="455"/>
      <c r="AP7" s="455"/>
      <c r="AQ7" s="455"/>
      <c r="AR7" s="455"/>
      <c r="AS7" s="455"/>
      <c r="AT7" s="455"/>
      <c r="AU7" s="455"/>
      <c r="AV7" s="455"/>
      <c r="AW7" s="455"/>
      <c r="AX7" s="455"/>
      <c r="AY7" s="455"/>
      <c r="AZ7" s="455"/>
      <c r="BA7" s="455"/>
      <c r="BB7" s="455"/>
      <c r="BC7" s="455"/>
      <c r="BD7" s="455"/>
      <c r="BE7" s="455"/>
      <c r="BF7" s="455"/>
      <c r="BG7" s="455"/>
      <c r="BH7" s="455"/>
      <c r="BI7" s="455"/>
      <c r="BJ7" s="455"/>
    </row>
    <row r="9" spans="1:62" ht="14.45" customHeight="1" x14ac:dyDescent="0.25"/>
    <row r="10" spans="1:62" ht="14.45" customHeight="1" thickBot="1" x14ac:dyDescent="0.3"/>
    <row r="11" spans="1:62" ht="25.15" customHeight="1" x14ac:dyDescent="0.25">
      <c r="Q11" s="460" t="s">
        <v>1</v>
      </c>
      <c r="R11" s="461"/>
      <c r="S11" s="461"/>
      <c r="T11" s="461"/>
      <c r="U11" s="461"/>
      <c r="V11" s="462"/>
    </row>
    <row r="12" spans="1:62" ht="25.15" customHeight="1" x14ac:dyDescent="0.25">
      <c r="Q12" s="463"/>
      <c r="R12" s="464"/>
      <c r="S12" s="464"/>
      <c r="T12" s="464"/>
      <c r="U12" s="464"/>
      <c r="V12" s="465"/>
    </row>
    <row r="13" spans="1:62" ht="75" customHeight="1" x14ac:dyDescent="0.25">
      <c r="Q13" s="103" t="s">
        <v>2</v>
      </c>
      <c r="R13" s="104" t="s">
        <v>3</v>
      </c>
      <c r="S13" s="104" t="s">
        <v>4</v>
      </c>
      <c r="T13" s="104" t="s">
        <v>5</v>
      </c>
      <c r="U13" s="105" t="s">
        <v>6</v>
      </c>
      <c r="V13" s="106" t="s">
        <v>7</v>
      </c>
    </row>
    <row r="14" spans="1:62" ht="60" customHeight="1" x14ac:dyDescent="0.25">
      <c r="Q14" s="116" t="s">
        <v>8</v>
      </c>
      <c r="R14" s="107">
        <v>2</v>
      </c>
      <c r="S14" s="108">
        <v>1</v>
      </c>
      <c r="T14" s="108">
        <v>0</v>
      </c>
      <c r="U14" s="108">
        <v>1</v>
      </c>
      <c r="V14" s="109">
        <v>2</v>
      </c>
    </row>
    <row r="15" spans="1:62" ht="60" customHeight="1" x14ac:dyDescent="0.25">
      <c r="Q15" s="116" t="s">
        <v>9</v>
      </c>
      <c r="R15" s="110">
        <v>2</v>
      </c>
      <c r="S15" s="111">
        <v>1</v>
      </c>
      <c r="T15" s="111">
        <v>0</v>
      </c>
      <c r="U15" s="111">
        <v>2</v>
      </c>
      <c r="V15" s="112">
        <v>1</v>
      </c>
    </row>
    <row r="16" spans="1:62" ht="60" customHeight="1" x14ac:dyDescent="0.25">
      <c r="Q16" s="116" t="s">
        <v>10</v>
      </c>
      <c r="R16" s="110">
        <v>1</v>
      </c>
      <c r="S16" s="111">
        <v>1</v>
      </c>
      <c r="T16" s="111">
        <v>5</v>
      </c>
      <c r="U16" s="111">
        <v>3</v>
      </c>
      <c r="V16" s="112">
        <v>2</v>
      </c>
    </row>
    <row r="17" spans="17:22" ht="60" customHeight="1" thickBot="1" x14ac:dyDescent="0.3">
      <c r="Q17" s="117" t="s">
        <v>11</v>
      </c>
      <c r="R17" s="113">
        <v>4</v>
      </c>
      <c r="S17" s="114">
        <v>1</v>
      </c>
      <c r="T17" s="114">
        <v>0</v>
      </c>
      <c r="U17" s="114">
        <v>4</v>
      </c>
      <c r="V17" s="115">
        <v>1</v>
      </c>
    </row>
    <row r="18" spans="17:22" x14ac:dyDescent="0.25">
      <c r="Q18" s="100"/>
      <c r="R18" s="100"/>
      <c r="S18" s="100"/>
      <c r="T18" s="100"/>
      <c r="U18" s="100"/>
      <c r="V18" s="100"/>
    </row>
    <row r="19" spans="17:22" x14ac:dyDescent="0.25">
      <c r="Q19" s="100"/>
      <c r="R19" s="100"/>
      <c r="S19" s="100"/>
      <c r="T19" s="100"/>
      <c r="U19" s="100"/>
      <c r="V19" s="100"/>
    </row>
    <row r="20" spans="17:22" ht="14.45" customHeight="1" x14ac:dyDescent="0.25">
      <c r="Q20" s="100"/>
      <c r="R20" s="100"/>
      <c r="S20" s="100"/>
      <c r="T20" s="100"/>
      <c r="U20" s="100"/>
      <c r="V20" s="100"/>
    </row>
    <row r="21" spans="17:22" ht="14.45" customHeight="1" thickBot="1" x14ac:dyDescent="0.3">
      <c r="Q21" s="100"/>
      <c r="R21" s="100"/>
      <c r="S21" s="100"/>
      <c r="T21" s="100"/>
      <c r="U21" s="100"/>
      <c r="V21" s="100"/>
    </row>
    <row r="22" spans="17:22" ht="25.5" customHeight="1" x14ac:dyDescent="0.25">
      <c r="Q22" s="100"/>
      <c r="R22" s="466" t="s">
        <v>10</v>
      </c>
      <c r="S22" s="467"/>
      <c r="T22" s="467"/>
      <c r="U22" s="468"/>
      <c r="V22" s="100"/>
    </row>
    <row r="23" spans="17:22" ht="25.5" customHeight="1" x14ac:dyDescent="0.25">
      <c r="Q23" s="100"/>
      <c r="R23" s="469"/>
      <c r="S23" s="470"/>
      <c r="T23" s="470"/>
      <c r="U23" s="471"/>
      <c r="V23" s="100"/>
    </row>
    <row r="24" spans="17:22" ht="37.5" customHeight="1" x14ac:dyDescent="0.25">
      <c r="Q24" s="100"/>
      <c r="R24" s="472" t="s">
        <v>12</v>
      </c>
      <c r="S24" s="473"/>
      <c r="T24" s="476">
        <v>1</v>
      </c>
      <c r="U24" s="456"/>
      <c r="V24" s="100"/>
    </row>
    <row r="25" spans="17:22" ht="37.5" customHeight="1" x14ac:dyDescent="0.25">
      <c r="Q25" s="100"/>
      <c r="R25" s="474"/>
      <c r="S25" s="475"/>
      <c r="T25" s="477"/>
      <c r="U25" s="457"/>
      <c r="V25" s="100"/>
    </row>
    <row r="26" spans="17:22" ht="15" customHeight="1" x14ac:dyDescent="0.25">
      <c r="Q26" s="100"/>
      <c r="R26" s="3"/>
      <c r="S26" s="4"/>
      <c r="T26" s="5" t="s">
        <v>13</v>
      </c>
      <c r="U26" s="6" t="s">
        <v>13</v>
      </c>
      <c r="V26" s="100"/>
    </row>
    <row r="27" spans="17:22" ht="23.25" x14ac:dyDescent="0.25">
      <c r="Q27" s="100"/>
      <c r="R27" s="458" t="s">
        <v>3</v>
      </c>
      <c r="S27" s="459"/>
      <c r="T27" s="118">
        <f>VLOOKUP(R22,Q14:V17,2,FALSE)*T24</f>
        <v>1</v>
      </c>
      <c r="U27" s="7"/>
      <c r="V27" s="100"/>
    </row>
    <row r="28" spans="17:22" ht="28.5" x14ac:dyDescent="0.35">
      <c r="Q28" s="100"/>
      <c r="R28" s="119"/>
      <c r="S28" s="120" t="s">
        <v>13</v>
      </c>
      <c r="T28" s="10" t="s">
        <v>13</v>
      </c>
      <c r="U28" s="6" t="s">
        <v>13</v>
      </c>
      <c r="V28" s="100"/>
    </row>
    <row r="29" spans="17:22" ht="23.25" x14ac:dyDescent="0.25">
      <c r="Q29" s="100"/>
      <c r="R29" s="458" t="s">
        <v>4</v>
      </c>
      <c r="S29" s="459"/>
      <c r="T29" s="118">
        <f>VLOOKUP(R22,Q14:V17,3,FALSE)*T24</f>
        <v>1</v>
      </c>
      <c r="U29" s="7"/>
      <c r="V29" s="100"/>
    </row>
    <row r="30" spans="17:22" ht="28.5" x14ac:dyDescent="0.25">
      <c r="Q30" s="100"/>
      <c r="R30" s="121"/>
      <c r="S30" s="120" t="s">
        <v>13</v>
      </c>
      <c r="T30" s="10" t="s">
        <v>13</v>
      </c>
      <c r="U30" s="6" t="s">
        <v>13</v>
      </c>
      <c r="V30" s="100"/>
    </row>
    <row r="31" spans="17:22" ht="23.25" x14ac:dyDescent="0.25">
      <c r="Q31" s="100"/>
      <c r="R31" s="458" t="s">
        <v>5</v>
      </c>
      <c r="S31" s="459"/>
      <c r="T31" s="118">
        <f>VLOOKUP(R22,Q14:V17,4,FALSE)*T24</f>
        <v>5</v>
      </c>
      <c r="U31" s="7"/>
      <c r="V31" s="100"/>
    </row>
    <row r="32" spans="17:22" ht="28.5" x14ac:dyDescent="0.35">
      <c r="Q32" s="100"/>
      <c r="R32" s="119"/>
      <c r="S32" s="120" t="s">
        <v>13</v>
      </c>
      <c r="T32" s="10" t="s">
        <v>13</v>
      </c>
      <c r="U32" s="6" t="s">
        <v>13</v>
      </c>
      <c r="V32" s="100"/>
    </row>
    <row r="33" spans="17:22" ht="23.25" x14ac:dyDescent="0.25">
      <c r="Q33" s="100"/>
      <c r="R33" s="458" t="s">
        <v>6</v>
      </c>
      <c r="S33" s="459"/>
      <c r="T33" s="118">
        <f>VLOOKUP(R22,Q14:V17,5,FALSE)*T24</f>
        <v>3</v>
      </c>
      <c r="U33" s="7"/>
      <c r="V33" s="100"/>
    </row>
    <row r="34" spans="17:22" ht="28.5" x14ac:dyDescent="0.25">
      <c r="Q34" s="100"/>
      <c r="R34" s="121"/>
      <c r="S34" s="120"/>
      <c r="T34" s="122"/>
      <c r="U34" s="6"/>
      <c r="V34" s="100"/>
    </row>
    <row r="35" spans="17:22" ht="23.25" x14ac:dyDescent="0.25">
      <c r="Q35" s="100"/>
      <c r="R35" s="458" t="s">
        <v>7</v>
      </c>
      <c r="S35" s="459"/>
      <c r="T35" s="118">
        <f>VLOOKUP(R22,Q14:V17,6,FALSE)*T24</f>
        <v>2</v>
      </c>
      <c r="U35" s="7"/>
      <c r="V35" s="100"/>
    </row>
    <row r="36" spans="17:22" ht="28.5" x14ac:dyDescent="0.25">
      <c r="Q36" s="100"/>
      <c r="R36" s="3"/>
      <c r="S36" s="10"/>
      <c r="T36" s="9"/>
      <c r="U36" s="11"/>
      <c r="V36" s="100"/>
    </row>
    <row r="37" spans="17:22" ht="28.5" x14ac:dyDescent="0.25">
      <c r="Q37" s="100"/>
      <c r="R37" s="3"/>
      <c r="S37" s="10"/>
      <c r="T37" s="9"/>
      <c r="U37" s="11"/>
      <c r="V37" s="100"/>
    </row>
    <row r="38" spans="17:22" ht="28.5" x14ac:dyDescent="0.45">
      <c r="Q38" s="100"/>
      <c r="R38" s="3"/>
      <c r="S38" s="12"/>
      <c r="T38" s="12"/>
      <c r="U38" s="13"/>
      <c r="V38" s="100"/>
    </row>
    <row r="39" spans="17:22" ht="29.25" thickBot="1" x14ac:dyDescent="0.5">
      <c r="Q39" s="100"/>
      <c r="R39" s="14"/>
      <c r="S39" s="15"/>
      <c r="T39" s="15"/>
      <c r="U39" s="16"/>
      <c r="V39" s="100"/>
    </row>
    <row r="40" spans="17:22" x14ac:dyDescent="0.25">
      <c r="Q40" s="100"/>
      <c r="R40" s="100"/>
      <c r="S40" s="100"/>
      <c r="T40" s="100"/>
      <c r="U40" s="100"/>
      <c r="V40" s="100"/>
    </row>
  </sheetData>
  <mergeCells count="18">
    <mergeCell ref="R31:S31"/>
    <mergeCell ref="R33:S33"/>
    <mergeCell ref="R35:S35"/>
    <mergeCell ref="R24:S25"/>
    <mergeCell ref="T24:T25"/>
    <mergeCell ref="U24:U25"/>
    <mergeCell ref="R27:S27"/>
    <mergeCell ref="R29:S29"/>
    <mergeCell ref="Q11:V12"/>
    <mergeCell ref="R22:U23"/>
    <mergeCell ref="AF4:BJ4"/>
    <mergeCell ref="A5:AE5"/>
    <mergeCell ref="A6:AE6"/>
    <mergeCell ref="A7:AE7"/>
    <mergeCell ref="AF5:BJ5"/>
    <mergeCell ref="AF6:BJ6"/>
    <mergeCell ref="AF7:BJ7"/>
    <mergeCell ref="A4:AE4"/>
  </mergeCells>
  <dataValidations count="2">
    <dataValidation allowBlank="1" showInputMessage="1" showErrorMessage="1" sqref="Q13"/>
    <dataValidation type="list" allowBlank="1" showInputMessage="1" showErrorMessage="1" sqref="R22:U23">
      <formula1>$Q$14:$Q$17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rgb="FFFF0000"/>
  </sheetPr>
  <dimension ref="A1:BA63"/>
  <sheetViews>
    <sheetView showGridLines="0" showRowColHeaders="0" zoomScale="40" zoomScaleNormal="40" workbookViewId="0">
      <selection activeCell="J23" sqref="J23"/>
    </sheetView>
  </sheetViews>
  <sheetFormatPr defaultRowHeight="15" x14ac:dyDescent="0.25"/>
  <cols>
    <col min="8" max="8" width="8.85546875" customWidth="1"/>
    <col min="10" max="10" width="35.7109375" customWidth="1"/>
    <col min="14" max="14" width="23.42578125" bestFit="1" customWidth="1"/>
    <col min="16" max="16" width="11.42578125" customWidth="1"/>
    <col min="18" max="18" width="47.42578125" customWidth="1"/>
    <col min="23" max="23" width="17.28515625" customWidth="1"/>
    <col min="24" max="24" width="6.28515625" customWidth="1"/>
    <col min="25" max="25" width="28.28515625" customWidth="1"/>
    <col min="27" max="27" width="6.28515625" customWidth="1"/>
    <col min="28" max="28" width="10.5703125" customWidth="1"/>
    <col min="29" max="29" width="39.42578125" customWidth="1"/>
    <col min="30" max="30" width="8.85546875" customWidth="1"/>
    <col min="31" max="31" width="39.42578125" customWidth="1"/>
    <col min="32" max="32" width="8.85546875" customWidth="1"/>
    <col min="33" max="33" width="35.7109375" customWidth="1"/>
  </cols>
  <sheetData>
    <row r="1" spans="1:53" s="100" customFormat="1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</row>
    <row r="2" spans="1:53" s="100" customFormat="1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  <c r="BA2" s="101"/>
    </row>
    <row r="3" spans="1:53" ht="61.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</row>
    <row r="4" spans="1:53" ht="46.15" customHeight="1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53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</row>
    <row r="6" spans="1:53" s="100" customFormat="1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53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53" ht="28.9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53" ht="28.9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53" ht="28.9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53" ht="28.9" customHeight="1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76"/>
      <c r="P11" s="76"/>
      <c r="Q11" s="76"/>
      <c r="R11" s="76"/>
      <c r="S11" s="136"/>
      <c r="T11" s="140"/>
      <c r="U11" s="140"/>
      <c r="V11" s="140"/>
      <c r="W11" s="140"/>
      <c r="X11" s="140"/>
      <c r="Y11" s="140"/>
      <c r="Z11" s="140"/>
      <c r="AA11" s="140"/>
      <c r="AB11" s="76"/>
      <c r="AC11" s="76"/>
      <c r="AD11" s="76"/>
      <c r="AE11" s="76"/>
      <c r="AF11" s="76"/>
    </row>
    <row r="12" spans="1:53" ht="28.9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24"/>
      <c r="R12" s="487" t="s">
        <v>14</v>
      </c>
      <c r="S12" s="488"/>
      <c r="T12" s="488"/>
      <c r="U12" s="488"/>
      <c r="V12" s="488"/>
      <c r="W12" s="488"/>
      <c r="X12" s="488"/>
      <c r="Y12" s="488"/>
      <c r="Z12" s="488"/>
      <c r="AA12" s="489"/>
      <c r="AB12" s="1"/>
      <c r="AC12" s="1"/>
      <c r="AD12" s="1"/>
      <c r="AE12" s="76"/>
      <c r="AF12" s="76"/>
    </row>
    <row r="13" spans="1:53" ht="28.9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00"/>
      <c r="N13" s="100"/>
      <c r="O13" s="1"/>
      <c r="P13" s="1"/>
      <c r="Q13" s="124"/>
      <c r="R13" s="490"/>
      <c r="S13" s="491"/>
      <c r="T13" s="491"/>
      <c r="U13" s="491"/>
      <c r="V13" s="491"/>
      <c r="W13" s="491"/>
      <c r="X13" s="491"/>
      <c r="Y13" s="491"/>
      <c r="Z13" s="491"/>
      <c r="AA13" s="492"/>
      <c r="AB13" s="100"/>
      <c r="AC13" s="1"/>
      <c r="AD13" s="100"/>
      <c r="AE13" s="76"/>
      <c r="AF13" s="76"/>
    </row>
    <row r="14" spans="1:53" ht="28.9" customHeight="1" x14ac:dyDescent="0.25">
      <c r="A14" s="1"/>
      <c r="B14" s="1"/>
      <c r="C14" s="1"/>
      <c r="D14" s="1"/>
      <c r="M14" s="100"/>
      <c r="N14" s="100"/>
      <c r="O14" s="125"/>
      <c r="P14" s="125"/>
      <c r="Q14" s="124"/>
      <c r="R14" s="493" t="s">
        <v>15</v>
      </c>
      <c r="S14" s="494"/>
      <c r="T14" s="494"/>
      <c r="U14" s="494"/>
      <c r="V14" s="494"/>
      <c r="W14" s="494"/>
      <c r="X14" s="494"/>
      <c r="Y14" s="494"/>
      <c r="Z14" s="494"/>
      <c r="AA14" s="495"/>
      <c r="AB14" s="100"/>
      <c r="AC14" s="1"/>
      <c r="AD14" s="100"/>
      <c r="AE14" s="76"/>
      <c r="AF14" s="76"/>
    </row>
    <row r="15" spans="1:53" ht="28.9" customHeight="1" thickBot="1" x14ac:dyDescent="0.3">
      <c r="A15" s="1"/>
      <c r="B15" s="1"/>
      <c r="C15" s="1"/>
      <c r="D15" s="1"/>
      <c r="M15" s="100"/>
      <c r="N15" s="100"/>
      <c r="O15" s="125"/>
      <c r="P15" s="125"/>
      <c r="Q15" s="124"/>
      <c r="R15" s="496"/>
      <c r="S15" s="497"/>
      <c r="T15" s="497"/>
      <c r="U15" s="497"/>
      <c r="V15" s="497"/>
      <c r="W15" s="497"/>
      <c r="X15" s="497"/>
      <c r="Y15" s="497"/>
      <c r="Z15" s="497"/>
      <c r="AA15" s="498"/>
      <c r="AB15" s="100"/>
      <c r="AC15" s="1"/>
      <c r="AD15" s="100"/>
      <c r="AE15" s="76"/>
      <c r="AF15" s="76"/>
    </row>
    <row r="16" spans="1:53" ht="28.9" customHeight="1" x14ac:dyDescent="0.25">
      <c r="A16" s="1"/>
      <c r="B16" s="1"/>
      <c r="C16" s="1"/>
      <c r="D16" s="1"/>
      <c r="M16" s="100"/>
      <c r="N16" s="100"/>
      <c r="O16" s="125"/>
      <c r="P16" s="125"/>
      <c r="Q16" s="125"/>
      <c r="R16" s="125"/>
      <c r="S16" s="125"/>
      <c r="T16" s="125"/>
      <c r="U16" s="125"/>
      <c r="V16" s="125"/>
      <c r="W16" s="125"/>
      <c r="X16" s="1"/>
      <c r="Y16" s="1"/>
      <c r="Z16" s="1"/>
      <c r="AA16" s="1"/>
      <c r="AB16" s="1"/>
      <c r="AC16" s="1"/>
      <c r="AD16" s="100"/>
      <c r="AE16" s="76"/>
      <c r="AF16" s="76"/>
    </row>
    <row r="17" spans="1:32" ht="28.9" customHeight="1" thickBot="1" x14ac:dyDescent="0.3">
      <c r="A17" s="1"/>
      <c r="B17" s="1"/>
      <c r="C17" s="1"/>
      <c r="D17" s="1"/>
      <c r="M17" s="100"/>
      <c r="N17" s="100"/>
      <c r="O17" s="124"/>
      <c r="P17" s="124"/>
      <c r="Q17" s="124"/>
      <c r="R17" s="124"/>
      <c r="S17" s="124"/>
      <c r="T17" s="124"/>
      <c r="U17" s="125"/>
      <c r="V17" s="125"/>
      <c r="W17" s="125"/>
      <c r="X17" s="125"/>
      <c r="Y17" s="125"/>
      <c r="Z17" s="125"/>
      <c r="AA17" s="125"/>
      <c r="AB17" s="1"/>
      <c r="AC17" s="1"/>
      <c r="AD17" s="100"/>
      <c r="AE17" s="141"/>
      <c r="AF17" s="141"/>
    </row>
    <row r="18" spans="1:32" ht="28.9" customHeight="1" x14ac:dyDescent="0.25">
      <c r="A18" s="1"/>
      <c r="B18" s="1"/>
      <c r="C18" s="1"/>
      <c r="D18" s="1"/>
      <c r="M18" s="478" t="s">
        <v>16</v>
      </c>
      <c r="N18" s="479"/>
      <c r="O18" s="479"/>
      <c r="P18" s="479"/>
      <c r="Q18" s="479"/>
      <c r="R18" s="479"/>
      <c r="S18" s="480"/>
      <c r="T18" s="124"/>
      <c r="U18" s="124"/>
      <c r="V18" s="125"/>
      <c r="W18" s="124"/>
      <c r="X18" s="478" t="s">
        <v>16</v>
      </c>
      <c r="Y18" s="479"/>
      <c r="Z18" s="479"/>
      <c r="AA18" s="479"/>
      <c r="AB18" s="479"/>
      <c r="AC18" s="479"/>
      <c r="AD18" s="480"/>
      <c r="AE18" s="141"/>
      <c r="AF18" s="141"/>
    </row>
    <row r="19" spans="1:32" ht="28.9" customHeight="1" x14ac:dyDescent="0.25">
      <c r="A19" s="1"/>
      <c r="B19" s="1"/>
      <c r="C19" s="1"/>
      <c r="D19" s="1"/>
      <c r="M19" s="481"/>
      <c r="N19" s="482"/>
      <c r="O19" s="482"/>
      <c r="P19" s="482"/>
      <c r="Q19" s="482"/>
      <c r="R19" s="482"/>
      <c r="S19" s="483"/>
      <c r="T19" s="124"/>
      <c r="U19" s="124"/>
      <c r="V19" s="125"/>
      <c r="W19" s="124"/>
      <c r="X19" s="481"/>
      <c r="Y19" s="482"/>
      <c r="Z19" s="482"/>
      <c r="AA19" s="482"/>
      <c r="AB19" s="482"/>
      <c r="AC19" s="482"/>
      <c r="AD19" s="483"/>
      <c r="AE19" s="141"/>
      <c r="AF19" s="141"/>
    </row>
    <row r="20" spans="1:32" ht="28.9" customHeight="1" thickBot="1" x14ac:dyDescent="0.5">
      <c r="A20" s="1"/>
      <c r="B20" s="1"/>
      <c r="C20" s="1"/>
      <c r="D20" s="1"/>
      <c r="M20" s="484"/>
      <c r="N20" s="485"/>
      <c r="O20" s="485"/>
      <c r="P20" s="485"/>
      <c r="Q20" s="485"/>
      <c r="R20" s="485"/>
      <c r="S20" s="486"/>
      <c r="T20" s="124"/>
      <c r="U20" s="124"/>
      <c r="V20" s="125"/>
      <c r="W20" s="124"/>
      <c r="X20" s="484"/>
      <c r="Y20" s="485"/>
      <c r="Z20" s="485"/>
      <c r="AA20" s="485"/>
      <c r="AB20" s="485"/>
      <c r="AC20" s="485"/>
      <c r="AD20" s="486"/>
      <c r="AE20" s="42"/>
      <c r="AF20" s="42"/>
    </row>
    <row r="21" spans="1:32" ht="28.9" customHeight="1" x14ac:dyDescent="0.45">
      <c r="A21" s="1"/>
      <c r="B21" s="1"/>
      <c r="C21" s="1"/>
      <c r="D21" s="1"/>
      <c r="M21" s="17" t="s">
        <v>13</v>
      </c>
      <c r="N21" s="19" t="s">
        <v>13</v>
      </c>
      <c r="O21" s="19" t="s">
        <v>13</v>
      </c>
      <c r="P21" s="19" t="s">
        <v>13</v>
      </c>
      <c r="Q21" s="19" t="s">
        <v>13</v>
      </c>
      <c r="R21" s="12" t="s">
        <v>13</v>
      </c>
      <c r="S21" s="128" t="s">
        <v>13</v>
      </c>
      <c r="T21" s="124"/>
      <c r="U21" s="124"/>
      <c r="V21" s="125"/>
      <c r="W21" s="124"/>
      <c r="X21" s="40" t="s">
        <v>13</v>
      </c>
      <c r="Y21" s="127" t="s">
        <v>13</v>
      </c>
      <c r="Z21" s="127" t="s">
        <v>13</v>
      </c>
      <c r="AA21" s="127" t="s">
        <v>13</v>
      </c>
      <c r="AB21" s="127" t="s">
        <v>13</v>
      </c>
      <c r="AC21" s="12" t="s">
        <v>13</v>
      </c>
      <c r="AD21" s="13" t="s">
        <v>13</v>
      </c>
      <c r="AE21" s="77"/>
      <c r="AF21" s="42"/>
    </row>
    <row r="22" spans="1:32" ht="28.9" customHeight="1" x14ac:dyDescent="0.45">
      <c r="A22" s="1"/>
      <c r="B22" s="1"/>
      <c r="C22" s="1"/>
      <c r="D22" s="1"/>
      <c r="M22" s="17" t="s">
        <v>13</v>
      </c>
      <c r="N22" s="126" t="s">
        <v>17</v>
      </c>
      <c r="O22" s="18"/>
      <c r="P22" s="19" t="s">
        <v>13</v>
      </c>
      <c r="Q22" s="19" t="s">
        <v>13</v>
      </c>
      <c r="R22" s="123" t="s">
        <v>18</v>
      </c>
      <c r="S22" s="128" t="s">
        <v>13</v>
      </c>
      <c r="T22" s="124"/>
      <c r="U22" s="124"/>
      <c r="V22" s="125"/>
      <c r="W22" s="124"/>
      <c r="X22" s="40" t="s">
        <v>13</v>
      </c>
      <c r="Y22" s="129" t="s">
        <v>17</v>
      </c>
      <c r="Z22" s="130"/>
      <c r="AA22" s="127" t="s">
        <v>13</v>
      </c>
      <c r="AB22" s="127" t="s">
        <v>13</v>
      </c>
      <c r="AC22" s="123" t="s">
        <v>19</v>
      </c>
      <c r="AD22" s="13" t="s">
        <v>13</v>
      </c>
      <c r="AE22" s="42"/>
      <c r="AF22" s="42"/>
    </row>
    <row r="23" spans="1:32" ht="28.9" customHeight="1" x14ac:dyDescent="0.45">
      <c r="A23" s="1"/>
      <c r="B23" s="1"/>
      <c r="C23" s="1"/>
      <c r="D23" s="1"/>
      <c r="M23" s="17" t="s">
        <v>13</v>
      </c>
      <c r="N23" s="19" t="s">
        <v>13</v>
      </c>
      <c r="O23" s="19" t="s">
        <v>13</v>
      </c>
      <c r="P23" s="19" t="s">
        <v>13</v>
      </c>
      <c r="Q23" s="19" t="s">
        <v>13</v>
      </c>
      <c r="R23" s="12" t="s">
        <v>13</v>
      </c>
      <c r="S23" s="13" t="s">
        <v>13</v>
      </c>
      <c r="T23" s="100"/>
      <c r="U23" s="100"/>
      <c r="V23" s="1"/>
      <c r="W23" s="100"/>
      <c r="X23" s="17" t="s">
        <v>13</v>
      </c>
      <c r="Y23" s="19" t="s">
        <v>13</v>
      </c>
      <c r="Z23" s="19" t="s">
        <v>13</v>
      </c>
      <c r="AA23" s="19" t="s">
        <v>13</v>
      </c>
      <c r="AB23" s="19" t="s">
        <v>13</v>
      </c>
      <c r="AC23" s="12" t="s">
        <v>13</v>
      </c>
      <c r="AD23" s="13" t="s">
        <v>13</v>
      </c>
      <c r="AE23" s="77"/>
      <c r="AF23" s="42"/>
    </row>
    <row r="24" spans="1:32" ht="28.9" customHeight="1" x14ac:dyDescent="0.45">
      <c r="A24" s="1"/>
      <c r="B24" s="1"/>
      <c r="C24" s="1"/>
      <c r="D24" s="1"/>
      <c r="M24" s="17" t="s">
        <v>13</v>
      </c>
      <c r="N24" s="126" t="s">
        <v>20</v>
      </c>
      <c r="O24" s="18"/>
      <c r="P24" s="19" t="s">
        <v>13</v>
      </c>
      <c r="Q24" s="19" t="s">
        <v>13</v>
      </c>
      <c r="R24" s="123" t="s">
        <v>21</v>
      </c>
      <c r="S24" s="128" t="s">
        <v>13</v>
      </c>
      <c r="T24" s="124"/>
      <c r="U24" s="124"/>
      <c r="V24" s="125"/>
      <c r="W24" s="124"/>
      <c r="X24" s="40" t="s">
        <v>13</v>
      </c>
      <c r="Y24" s="129" t="s">
        <v>20</v>
      </c>
      <c r="Z24" s="18"/>
      <c r="AA24" s="19" t="s">
        <v>13</v>
      </c>
      <c r="AB24" s="19" t="s">
        <v>13</v>
      </c>
      <c r="AC24" s="123" t="s">
        <v>22</v>
      </c>
      <c r="AD24" s="13" t="s">
        <v>13</v>
      </c>
      <c r="AE24" s="42"/>
      <c r="AF24" s="42"/>
    </row>
    <row r="25" spans="1:32" ht="28.9" customHeight="1" x14ac:dyDescent="0.45">
      <c r="A25" s="1"/>
      <c r="B25" s="1"/>
      <c r="C25" s="1"/>
      <c r="D25" s="1"/>
      <c r="M25" s="17" t="s">
        <v>13</v>
      </c>
      <c r="N25" s="19" t="s">
        <v>13</v>
      </c>
      <c r="O25" s="19" t="s">
        <v>13</v>
      </c>
      <c r="P25" s="19" t="s">
        <v>13</v>
      </c>
      <c r="Q25" s="19" t="s">
        <v>13</v>
      </c>
      <c r="R25" s="131" t="s">
        <v>13</v>
      </c>
      <c r="S25" s="128" t="s">
        <v>13</v>
      </c>
      <c r="T25" s="124"/>
      <c r="U25" s="124"/>
      <c r="V25" s="125"/>
      <c r="W25" s="124"/>
      <c r="X25" s="40" t="s">
        <v>13</v>
      </c>
      <c r="Y25" s="127" t="s">
        <v>13</v>
      </c>
      <c r="Z25" s="19" t="s">
        <v>13</v>
      </c>
      <c r="AA25" s="19" t="s">
        <v>13</v>
      </c>
      <c r="AB25" s="19" t="s">
        <v>13</v>
      </c>
      <c r="AC25" s="12" t="s">
        <v>13</v>
      </c>
      <c r="AD25" s="13" t="s">
        <v>13</v>
      </c>
      <c r="AE25" s="42"/>
      <c r="AF25" s="42"/>
    </row>
    <row r="26" spans="1:32" ht="28.9" customHeight="1" thickBot="1" x14ac:dyDescent="0.5">
      <c r="A26" s="1"/>
      <c r="B26" s="1"/>
      <c r="C26" s="1"/>
      <c r="D26" s="1"/>
      <c r="M26" s="20" t="s">
        <v>13</v>
      </c>
      <c r="N26" s="21" t="s">
        <v>13</v>
      </c>
      <c r="O26" s="21" t="s">
        <v>13</v>
      </c>
      <c r="P26" s="21" t="s">
        <v>13</v>
      </c>
      <c r="Q26" s="21" t="s">
        <v>13</v>
      </c>
      <c r="R26" s="132" t="s">
        <v>13</v>
      </c>
      <c r="S26" s="133" t="s">
        <v>13</v>
      </c>
      <c r="T26" s="124"/>
      <c r="U26" s="124"/>
      <c r="V26" s="125"/>
      <c r="W26" s="124"/>
      <c r="X26" s="134" t="s">
        <v>13</v>
      </c>
      <c r="Y26" s="135" t="s">
        <v>13</v>
      </c>
      <c r="Z26" s="21" t="s">
        <v>13</v>
      </c>
      <c r="AA26" s="21" t="s">
        <v>13</v>
      </c>
      <c r="AB26" s="21" t="s">
        <v>13</v>
      </c>
      <c r="AC26" s="15" t="s">
        <v>13</v>
      </c>
      <c r="AD26" s="16" t="s">
        <v>13</v>
      </c>
      <c r="AE26" s="76"/>
      <c r="AF26" s="76"/>
    </row>
    <row r="27" spans="1:32" ht="28.9" customHeight="1" x14ac:dyDescent="0.25">
      <c r="A27" s="1"/>
      <c r="B27" s="1"/>
      <c r="C27" s="1"/>
      <c r="D27" s="1"/>
      <c r="M27" s="100"/>
      <c r="N27" s="100"/>
      <c r="O27" s="100"/>
      <c r="P27" s="100"/>
      <c r="Q27" s="100"/>
      <c r="R27" s="124"/>
      <c r="S27" s="124"/>
      <c r="T27" s="124"/>
      <c r="U27" s="125"/>
      <c r="V27" s="125"/>
      <c r="W27" s="125"/>
      <c r="X27" s="125"/>
      <c r="Y27" s="125"/>
      <c r="Z27" s="1"/>
      <c r="AA27" s="1"/>
      <c r="AB27" s="1"/>
      <c r="AC27" s="1"/>
      <c r="AD27" s="100"/>
      <c r="AE27" s="76"/>
      <c r="AF27" s="76"/>
    </row>
    <row r="28" spans="1:32" ht="28.9" customHeight="1" thickBot="1" x14ac:dyDescent="0.3">
      <c r="A28" s="1"/>
      <c r="B28" s="1"/>
      <c r="C28" s="1"/>
      <c r="D28" s="1"/>
      <c r="M28" s="100"/>
      <c r="N28" s="100"/>
      <c r="O28" s="1"/>
      <c r="P28" s="1"/>
      <c r="Q28" s="1"/>
      <c r="R28" s="1"/>
      <c r="S28" s="1"/>
      <c r="T28" s="1"/>
      <c r="U28" s="125"/>
      <c r="V28" s="125"/>
      <c r="W28" s="125"/>
      <c r="X28" s="125"/>
      <c r="Y28" s="125"/>
      <c r="Z28" s="125"/>
      <c r="AA28" s="125"/>
      <c r="AB28" s="1"/>
      <c r="AC28" s="1"/>
      <c r="AD28" s="100"/>
      <c r="AE28" s="141"/>
      <c r="AF28" s="141"/>
    </row>
    <row r="29" spans="1:32" ht="28.9" customHeight="1" x14ac:dyDescent="0.25">
      <c r="A29" s="1"/>
      <c r="B29" s="1"/>
      <c r="C29" s="1"/>
      <c r="D29" s="1"/>
      <c r="M29" s="478" t="s">
        <v>16</v>
      </c>
      <c r="N29" s="479"/>
      <c r="O29" s="479"/>
      <c r="P29" s="479"/>
      <c r="Q29" s="479"/>
      <c r="R29" s="479"/>
      <c r="S29" s="480"/>
      <c r="T29" s="100"/>
      <c r="U29" s="124"/>
      <c r="V29" s="125"/>
      <c r="W29" s="124"/>
      <c r="X29" s="478" t="s">
        <v>16</v>
      </c>
      <c r="Y29" s="479"/>
      <c r="Z29" s="479"/>
      <c r="AA29" s="479"/>
      <c r="AB29" s="479"/>
      <c r="AC29" s="479"/>
      <c r="AD29" s="480"/>
      <c r="AE29" s="141"/>
      <c r="AF29" s="141"/>
    </row>
    <row r="30" spans="1:32" ht="28.9" customHeight="1" x14ac:dyDescent="0.25">
      <c r="A30" s="1"/>
      <c r="B30" s="1"/>
      <c r="C30" s="1"/>
      <c r="D30" s="1"/>
      <c r="M30" s="481"/>
      <c r="N30" s="482"/>
      <c r="O30" s="482"/>
      <c r="P30" s="482"/>
      <c r="Q30" s="482"/>
      <c r="R30" s="482"/>
      <c r="S30" s="483"/>
      <c r="T30" s="124"/>
      <c r="U30" s="124"/>
      <c r="V30" s="125"/>
      <c r="W30" s="124"/>
      <c r="X30" s="481"/>
      <c r="Y30" s="482"/>
      <c r="Z30" s="482"/>
      <c r="AA30" s="482"/>
      <c r="AB30" s="482"/>
      <c r="AC30" s="482"/>
      <c r="AD30" s="483"/>
      <c r="AE30" s="141"/>
      <c r="AF30" s="141"/>
    </row>
    <row r="31" spans="1:32" ht="28.9" customHeight="1" thickBot="1" x14ac:dyDescent="0.5">
      <c r="A31" s="1"/>
      <c r="B31" s="1"/>
      <c r="C31" s="1"/>
      <c r="D31" s="1"/>
      <c r="M31" s="484"/>
      <c r="N31" s="485"/>
      <c r="O31" s="485"/>
      <c r="P31" s="485"/>
      <c r="Q31" s="485"/>
      <c r="R31" s="485"/>
      <c r="S31" s="486"/>
      <c r="T31" s="124"/>
      <c r="U31" s="124"/>
      <c r="V31" s="125"/>
      <c r="W31" s="124"/>
      <c r="X31" s="484"/>
      <c r="Y31" s="485"/>
      <c r="Z31" s="485"/>
      <c r="AA31" s="485"/>
      <c r="AB31" s="485"/>
      <c r="AC31" s="485"/>
      <c r="AD31" s="486"/>
      <c r="AE31" s="42"/>
      <c r="AF31" s="42"/>
    </row>
    <row r="32" spans="1:32" ht="28.9" customHeight="1" x14ac:dyDescent="0.45">
      <c r="A32" s="1"/>
      <c r="B32" s="1"/>
      <c r="C32" s="1"/>
      <c r="D32" s="1"/>
      <c r="M32" s="17" t="s">
        <v>13</v>
      </c>
      <c r="N32" s="43" t="s">
        <v>13</v>
      </c>
      <c r="O32" s="43" t="s">
        <v>13</v>
      </c>
      <c r="P32" s="43" t="s">
        <v>13</v>
      </c>
      <c r="Q32" s="43" t="s">
        <v>13</v>
      </c>
      <c r="R32" s="45" t="s">
        <v>13</v>
      </c>
      <c r="S32" s="128" t="s">
        <v>13</v>
      </c>
      <c r="T32" s="124"/>
      <c r="U32" s="124"/>
      <c r="V32" s="125"/>
      <c r="W32" s="124"/>
      <c r="X32" s="40" t="s">
        <v>13</v>
      </c>
      <c r="Y32" s="39" t="s">
        <v>13</v>
      </c>
      <c r="Z32" s="39" t="s">
        <v>13</v>
      </c>
      <c r="AA32" s="39" t="s">
        <v>13</v>
      </c>
      <c r="AB32" s="39" t="s">
        <v>13</v>
      </c>
      <c r="AC32" s="45" t="s">
        <v>13</v>
      </c>
      <c r="AD32" s="13" t="s">
        <v>13</v>
      </c>
      <c r="AE32" s="77"/>
      <c r="AF32" s="42"/>
    </row>
    <row r="33" spans="1:32" ht="28.9" customHeight="1" x14ac:dyDescent="0.45">
      <c r="A33" s="1"/>
      <c r="B33" s="1"/>
      <c r="C33" s="1"/>
      <c r="D33" s="1"/>
      <c r="M33" s="17" t="s">
        <v>13</v>
      </c>
      <c r="N33" s="138" t="s">
        <v>17</v>
      </c>
      <c r="O33" s="44"/>
      <c r="P33" s="43" t="s">
        <v>13</v>
      </c>
      <c r="Q33" s="43" t="s">
        <v>13</v>
      </c>
      <c r="R33" s="123" t="s">
        <v>23</v>
      </c>
      <c r="S33" s="128" t="s">
        <v>13</v>
      </c>
      <c r="T33" s="124"/>
      <c r="U33" s="124"/>
      <c r="V33" s="125"/>
      <c r="W33" s="124"/>
      <c r="X33" s="40" t="s">
        <v>13</v>
      </c>
      <c r="Y33" s="139" t="s">
        <v>17</v>
      </c>
      <c r="Z33" s="78"/>
      <c r="AA33" s="39" t="s">
        <v>13</v>
      </c>
      <c r="AB33" s="39" t="s">
        <v>13</v>
      </c>
      <c r="AC33" s="123" t="s">
        <v>24</v>
      </c>
      <c r="AD33" s="13" t="s">
        <v>13</v>
      </c>
      <c r="AE33" s="42"/>
      <c r="AF33" s="42"/>
    </row>
    <row r="34" spans="1:32" ht="28.9" customHeight="1" x14ac:dyDescent="0.45">
      <c r="A34" s="1"/>
      <c r="B34" s="1"/>
      <c r="C34" s="1"/>
      <c r="D34" s="1"/>
      <c r="M34" s="17" t="s">
        <v>13</v>
      </c>
      <c r="N34" s="43" t="s">
        <v>13</v>
      </c>
      <c r="O34" s="43" t="s">
        <v>13</v>
      </c>
      <c r="P34" s="43" t="s">
        <v>13</v>
      </c>
      <c r="Q34" s="43" t="s">
        <v>13</v>
      </c>
      <c r="R34" s="45" t="s">
        <v>13</v>
      </c>
      <c r="S34" s="13" t="s">
        <v>13</v>
      </c>
      <c r="T34" s="100"/>
      <c r="U34" s="100"/>
      <c r="V34" s="1"/>
      <c r="W34" s="100"/>
      <c r="X34" s="17" t="s">
        <v>13</v>
      </c>
      <c r="Y34" s="43" t="s">
        <v>13</v>
      </c>
      <c r="Z34" s="43" t="s">
        <v>13</v>
      </c>
      <c r="AA34" s="43" t="s">
        <v>13</v>
      </c>
      <c r="AB34" s="43" t="s">
        <v>13</v>
      </c>
      <c r="AC34" s="45" t="s">
        <v>13</v>
      </c>
      <c r="AD34" s="13" t="s">
        <v>13</v>
      </c>
      <c r="AE34" s="77"/>
      <c r="AF34" s="42"/>
    </row>
    <row r="35" spans="1:32" ht="28.9" customHeight="1" x14ac:dyDescent="0.45">
      <c r="A35" s="1"/>
      <c r="B35" s="1"/>
      <c r="C35" s="1"/>
      <c r="D35" s="1"/>
      <c r="M35" s="17" t="s">
        <v>13</v>
      </c>
      <c r="N35" s="138" t="s">
        <v>20</v>
      </c>
      <c r="O35" s="44"/>
      <c r="P35" s="43" t="s">
        <v>13</v>
      </c>
      <c r="Q35" s="43" t="s">
        <v>13</v>
      </c>
      <c r="R35" s="123" t="s">
        <v>25</v>
      </c>
      <c r="S35" s="13" t="s">
        <v>13</v>
      </c>
      <c r="T35" s="100"/>
      <c r="U35" s="100"/>
      <c r="V35" s="1"/>
      <c r="W35" s="100"/>
      <c r="X35" s="17" t="s">
        <v>13</v>
      </c>
      <c r="Y35" s="138" t="s">
        <v>20</v>
      </c>
      <c r="Z35" s="44"/>
      <c r="AA35" s="43" t="s">
        <v>13</v>
      </c>
      <c r="AB35" s="43" t="s">
        <v>13</v>
      </c>
      <c r="AC35" s="123" t="s">
        <v>26</v>
      </c>
      <c r="AD35" s="13" t="s">
        <v>13</v>
      </c>
      <c r="AE35" s="42"/>
      <c r="AF35" s="42"/>
    </row>
    <row r="36" spans="1:32" ht="28.9" customHeight="1" x14ac:dyDescent="0.45">
      <c r="A36" s="1"/>
      <c r="B36" s="1"/>
      <c r="C36" s="1"/>
      <c r="D36" s="1"/>
      <c r="M36" s="17" t="s">
        <v>13</v>
      </c>
      <c r="N36" s="43" t="s">
        <v>13</v>
      </c>
      <c r="O36" s="43" t="s">
        <v>13</v>
      </c>
      <c r="P36" s="43" t="s">
        <v>13</v>
      </c>
      <c r="Q36" s="43" t="s">
        <v>13</v>
      </c>
      <c r="R36" s="45" t="s">
        <v>13</v>
      </c>
      <c r="S36" s="13" t="s">
        <v>13</v>
      </c>
      <c r="T36" s="100"/>
      <c r="U36" s="100"/>
      <c r="V36" s="1"/>
      <c r="W36" s="100"/>
      <c r="X36" s="17" t="s">
        <v>13</v>
      </c>
      <c r="Y36" s="43" t="s">
        <v>13</v>
      </c>
      <c r="Z36" s="43" t="s">
        <v>13</v>
      </c>
      <c r="AA36" s="43" t="s">
        <v>13</v>
      </c>
      <c r="AB36" s="43" t="s">
        <v>13</v>
      </c>
      <c r="AC36" s="45" t="s">
        <v>13</v>
      </c>
      <c r="AD36" s="13" t="s">
        <v>13</v>
      </c>
      <c r="AE36" s="42"/>
      <c r="AF36" s="42"/>
    </row>
    <row r="37" spans="1:32" ht="28.9" customHeight="1" thickBot="1" x14ac:dyDescent="0.5">
      <c r="A37" s="1"/>
      <c r="B37" s="1"/>
      <c r="C37" s="1"/>
      <c r="D37" s="1"/>
      <c r="M37" s="20" t="s">
        <v>13</v>
      </c>
      <c r="N37" s="21" t="s">
        <v>13</v>
      </c>
      <c r="O37" s="21" t="s">
        <v>13</v>
      </c>
      <c r="P37" s="21" t="s">
        <v>13</v>
      </c>
      <c r="Q37" s="21" t="s">
        <v>13</v>
      </c>
      <c r="R37" s="15" t="s">
        <v>13</v>
      </c>
      <c r="S37" s="16" t="s">
        <v>13</v>
      </c>
      <c r="T37" s="100"/>
      <c r="U37" s="100"/>
      <c r="V37" s="1"/>
      <c r="W37" s="100"/>
      <c r="X37" s="20" t="s">
        <v>13</v>
      </c>
      <c r="Y37" s="21" t="s">
        <v>13</v>
      </c>
      <c r="Z37" s="21" t="s">
        <v>13</v>
      </c>
      <c r="AA37" s="21" t="s">
        <v>13</v>
      </c>
      <c r="AB37" s="21" t="s">
        <v>13</v>
      </c>
      <c r="AC37" s="15" t="s">
        <v>13</v>
      </c>
      <c r="AD37" s="16" t="s">
        <v>13</v>
      </c>
    </row>
    <row r="38" spans="1:32" ht="28.9" customHeight="1" x14ac:dyDescent="0.25">
      <c r="A38" s="1"/>
      <c r="B38" s="1"/>
      <c r="C38" s="1"/>
      <c r="D38" s="1"/>
      <c r="O38" s="76"/>
      <c r="P38" s="76"/>
      <c r="Q38" s="76"/>
      <c r="R38" s="76"/>
      <c r="S38" s="136"/>
      <c r="T38" s="140"/>
      <c r="U38" s="140"/>
      <c r="V38" s="140"/>
      <c r="W38" s="140"/>
      <c r="X38" s="140"/>
      <c r="Y38" s="140"/>
      <c r="Z38" s="140"/>
      <c r="AA38" s="140"/>
      <c r="AB38" s="76"/>
      <c r="AC38" s="76"/>
      <c r="AD38" s="76"/>
      <c r="AE38" s="76"/>
      <c r="AF38" s="76"/>
    </row>
    <row r="39" spans="1:32" ht="28.9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76"/>
      <c r="P39" s="76"/>
      <c r="Q39" s="76"/>
      <c r="R39" s="76"/>
      <c r="S39" s="136"/>
      <c r="T39" s="140"/>
      <c r="U39" s="140"/>
      <c r="V39" s="140"/>
      <c r="W39" s="140"/>
      <c r="X39" s="140"/>
      <c r="Y39" s="140"/>
      <c r="Z39" s="140"/>
      <c r="AA39" s="140"/>
      <c r="AB39" s="76"/>
      <c r="AC39" s="76"/>
      <c r="AD39" s="76"/>
      <c r="AE39" s="76"/>
      <c r="AF39" s="76"/>
    </row>
    <row r="40" spans="1:32" ht="28.9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76"/>
      <c r="P40" s="76"/>
      <c r="Q40" s="136"/>
      <c r="R40" s="136"/>
      <c r="S40" s="136"/>
      <c r="T40" s="99"/>
      <c r="U40" s="99"/>
      <c r="V40" s="99"/>
      <c r="W40" s="99"/>
      <c r="X40" s="99"/>
      <c r="Y40" s="99"/>
      <c r="Z40" s="99"/>
      <c r="AA40" s="99"/>
      <c r="AB40" s="76"/>
      <c r="AC40" s="76"/>
      <c r="AD40" s="76"/>
      <c r="AE40" s="76"/>
      <c r="AF40" s="76"/>
    </row>
    <row r="41" spans="1:32" ht="28.9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76"/>
      <c r="P41" s="76"/>
      <c r="Q41" s="136"/>
      <c r="R41" s="136"/>
      <c r="S41" s="136"/>
      <c r="T41" s="99"/>
      <c r="U41" s="99"/>
      <c r="V41" s="99"/>
      <c r="W41" s="99"/>
      <c r="X41" s="99"/>
      <c r="Y41" s="99"/>
      <c r="Z41" s="99"/>
      <c r="AA41" s="99"/>
      <c r="AB41" s="76"/>
      <c r="AC41" s="76"/>
      <c r="AD41" s="76"/>
      <c r="AE41" s="76"/>
      <c r="AF41" s="76"/>
    </row>
    <row r="42" spans="1:32" ht="28.9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76"/>
      <c r="P42" s="76"/>
      <c r="Q42" s="136"/>
      <c r="R42" s="136"/>
      <c r="S42" s="136"/>
      <c r="T42" s="136"/>
      <c r="U42" s="136"/>
      <c r="V42" s="136"/>
      <c r="W42" s="136"/>
      <c r="X42" s="136"/>
      <c r="Y42" s="136"/>
      <c r="Z42" s="76"/>
      <c r="AA42" s="76"/>
      <c r="AB42" s="76"/>
      <c r="AC42" s="76"/>
      <c r="AD42" s="76"/>
      <c r="AE42" s="76"/>
      <c r="AF42" s="76"/>
    </row>
    <row r="43" spans="1:32" ht="28.9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76"/>
      <c r="P43" s="76"/>
      <c r="Q43" s="136"/>
      <c r="R43" s="136"/>
      <c r="S43" s="136"/>
      <c r="T43" s="136"/>
      <c r="U43" s="136"/>
      <c r="V43" s="136"/>
      <c r="W43" s="136"/>
      <c r="X43" s="136"/>
      <c r="Y43" s="136"/>
      <c r="Z43" s="136"/>
      <c r="AA43" s="136"/>
      <c r="AB43" s="136"/>
      <c r="AC43" s="136"/>
      <c r="AD43" s="76"/>
      <c r="AE43" s="76"/>
      <c r="AF43" s="76"/>
    </row>
    <row r="44" spans="1:32" ht="26.2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41"/>
      <c r="P44" s="141"/>
      <c r="Q44" s="141"/>
      <c r="R44" s="141"/>
      <c r="S44" s="141"/>
      <c r="T44" s="141"/>
      <c r="U44" s="141"/>
      <c r="V44" s="136"/>
      <c r="W44" s="136"/>
      <c r="X44" s="136"/>
      <c r="Y44" s="136"/>
      <c r="Z44" s="141"/>
      <c r="AA44" s="141"/>
      <c r="AB44" s="141"/>
      <c r="AC44" s="141"/>
      <c r="AD44" s="141"/>
      <c r="AE44" s="141"/>
      <c r="AF44" s="141"/>
    </row>
    <row r="45" spans="1:32" ht="26.2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41"/>
      <c r="P45" s="141"/>
      <c r="Q45" s="141"/>
      <c r="R45" s="141"/>
      <c r="S45" s="141"/>
      <c r="T45" s="141"/>
      <c r="U45" s="141"/>
      <c r="V45" s="136"/>
      <c r="W45" s="136"/>
      <c r="X45" s="136"/>
      <c r="Y45" s="136"/>
      <c r="Z45" s="141"/>
      <c r="AA45" s="141"/>
      <c r="AB45" s="141"/>
      <c r="AC45" s="141"/>
      <c r="AD45" s="141"/>
      <c r="AE45" s="141"/>
      <c r="AF45" s="141"/>
    </row>
    <row r="46" spans="1:32" ht="26.2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41"/>
      <c r="P46" s="141"/>
      <c r="Q46" s="141"/>
      <c r="R46" s="141"/>
      <c r="S46" s="141"/>
      <c r="T46" s="141"/>
      <c r="U46" s="141"/>
      <c r="V46" s="136"/>
      <c r="W46" s="136"/>
      <c r="X46" s="136"/>
      <c r="Y46" s="136"/>
      <c r="Z46" s="141"/>
      <c r="AA46" s="141"/>
      <c r="AB46" s="141"/>
      <c r="AC46" s="141"/>
      <c r="AD46" s="141"/>
      <c r="AE46" s="141"/>
      <c r="AF46" s="141"/>
    </row>
    <row r="47" spans="1:32" ht="28.5" x14ac:dyDescent="0.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42"/>
      <c r="P47" s="142"/>
      <c r="Q47" s="142"/>
      <c r="R47" s="142"/>
      <c r="S47" s="142"/>
      <c r="T47" s="42"/>
      <c r="U47" s="143"/>
      <c r="V47" s="136"/>
      <c r="W47" s="136"/>
      <c r="X47" s="136"/>
      <c r="Y47" s="136"/>
      <c r="Z47" s="79"/>
      <c r="AA47" s="79"/>
      <c r="AB47" s="79"/>
      <c r="AC47" s="79"/>
      <c r="AD47" s="79"/>
      <c r="AE47" s="42"/>
      <c r="AF47" s="42"/>
    </row>
    <row r="48" spans="1:32" ht="28.5" x14ac:dyDescent="0.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42"/>
      <c r="P48" s="144"/>
      <c r="Q48" s="145"/>
      <c r="R48" s="142"/>
      <c r="S48" s="142"/>
      <c r="T48" s="77"/>
      <c r="U48" s="143"/>
      <c r="V48" s="136"/>
      <c r="W48" s="136"/>
      <c r="X48" s="136"/>
      <c r="Y48" s="136"/>
      <c r="Z48" s="79"/>
      <c r="AA48" s="146"/>
      <c r="AB48" s="80"/>
      <c r="AC48" s="79"/>
      <c r="AD48" s="79"/>
      <c r="AE48" s="77"/>
      <c r="AF48" s="42"/>
    </row>
    <row r="49" spans="1:32" ht="28.5" x14ac:dyDescent="0.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42"/>
      <c r="P49" s="142"/>
      <c r="Q49" s="142"/>
      <c r="R49" s="142"/>
      <c r="S49" s="142"/>
      <c r="T49" s="42"/>
      <c r="U49" s="42"/>
      <c r="V49" s="76"/>
      <c r="W49" s="76"/>
      <c r="X49" s="76"/>
      <c r="Y49" s="76"/>
      <c r="Z49" s="142"/>
      <c r="AA49" s="142"/>
      <c r="AB49" s="142"/>
      <c r="AC49" s="142"/>
      <c r="AD49" s="142"/>
      <c r="AE49" s="42"/>
      <c r="AF49" s="42"/>
    </row>
    <row r="50" spans="1:32" ht="28.5" x14ac:dyDescent="0.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42"/>
      <c r="P50" s="144"/>
      <c r="Q50" s="145"/>
      <c r="R50" s="142"/>
      <c r="S50" s="142"/>
      <c r="T50" s="147"/>
      <c r="U50" s="143"/>
      <c r="V50" s="136"/>
      <c r="W50" s="136"/>
      <c r="X50" s="136"/>
      <c r="Y50" s="136"/>
      <c r="Z50" s="79"/>
      <c r="AA50" s="146"/>
      <c r="AB50" s="145"/>
      <c r="AC50" s="142"/>
      <c r="AD50" s="142"/>
      <c r="AE50" s="77"/>
      <c r="AF50" s="42"/>
    </row>
    <row r="51" spans="1:32" ht="28.5" x14ac:dyDescent="0.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42"/>
      <c r="P51" s="142"/>
      <c r="Q51" s="142"/>
      <c r="R51" s="142"/>
      <c r="S51" s="142"/>
      <c r="T51" s="143"/>
      <c r="U51" s="143"/>
      <c r="V51" s="136"/>
      <c r="W51" s="136"/>
      <c r="X51" s="136"/>
      <c r="Y51" s="136"/>
      <c r="Z51" s="79"/>
      <c r="AA51" s="79"/>
      <c r="AB51" s="142"/>
      <c r="AC51" s="142"/>
      <c r="AD51" s="142"/>
      <c r="AE51" s="42"/>
      <c r="AF51" s="42"/>
    </row>
    <row r="52" spans="1:32" ht="28.5" x14ac:dyDescent="0.4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42"/>
      <c r="P52" s="142"/>
      <c r="Q52" s="142"/>
      <c r="R52" s="142"/>
      <c r="S52" s="142"/>
      <c r="T52" s="143"/>
      <c r="U52" s="143"/>
      <c r="V52" s="136"/>
      <c r="W52" s="136"/>
      <c r="X52" s="136"/>
      <c r="Y52" s="136"/>
      <c r="Z52" s="79"/>
      <c r="AA52" s="79"/>
      <c r="AB52" s="142"/>
      <c r="AC52" s="142"/>
      <c r="AD52" s="142"/>
      <c r="AE52" s="42"/>
      <c r="AF52" s="42"/>
    </row>
    <row r="53" spans="1:3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76"/>
      <c r="P53" s="76"/>
      <c r="Q53" s="76"/>
      <c r="R53" s="76"/>
      <c r="S53" s="76"/>
      <c r="T53" s="136"/>
      <c r="U53" s="136"/>
      <c r="V53" s="136"/>
      <c r="W53" s="136"/>
      <c r="X53" s="136"/>
      <c r="Y53" s="136"/>
      <c r="Z53" s="136"/>
      <c r="AA53" s="136"/>
      <c r="AB53" s="76"/>
      <c r="AC53" s="76"/>
      <c r="AD53" s="76"/>
      <c r="AE53" s="76"/>
      <c r="AF53" s="76"/>
    </row>
    <row r="54" spans="1:3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76"/>
      <c r="P54" s="76"/>
      <c r="Q54" s="76"/>
      <c r="R54" s="76"/>
      <c r="S54" s="76"/>
      <c r="T54" s="76"/>
      <c r="U54" s="76"/>
      <c r="V54" s="76"/>
      <c r="W54" s="136"/>
      <c r="X54" s="136"/>
      <c r="Y54" s="136"/>
      <c r="Z54" s="136"/>
      <c r="AA54" s="136"/>
      <c r="AB54" s="136"/>
      <c r="AC54" s="136"/>
      <c r="AD54" s="76"/>
      <c r="AE54" s="76"/>
      <c r="AF54" s="76"/>
    </row>
    <row r="55" spans="1:32" ht="26.25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41"/>
      <c r="P55" s="141"/>
      <c r="Q55" s="141"/>
      <c r="R55" s="141"/>
      <c r="S55" s="141"/>
      <c r="T55" s="141"/>
      <c r="U55" s="141"/>
      <c r="V55" s="76"/>
      <c r="W55" s="136"/>
      <c r="X55" s="136"/>
      <c r="Y55" s="136"/>
      <c r="Z55" s="141"/>
      <c r="AA55" s="141"/>
      <c r="AB55" s="141"/>
      <c r="AC55" s="141"/>
      <c r="AD55" s="141"/>
      <c r="AE55" s="141"/>
      <c r="AF55" s="141"/>
    </row>
    <row r="56" spans="1:32" ht="26.25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41"/>
      <c r="P56" s="141"/>
      <c r="Q56" s="141"/>
      <c r="R56" s="141"/>
      <c r="S56" s="141"/>
      <c r="T56" s="141"/>
      <c r="U56" s="141"/>
      <c r="V56" s="136"/>
      <c r="W56" s="136"/>
      <c r="X56" s="136"/>
      <c r="Y56" s="136"/>
      <c r="Z56" s="141"/>
      <c r="AA56" s="141"/>
      <c r="AB56" s="141"/>
      <c r="AC56" s="141"/>
      <c r="AD56" s="141"/>
      <c r="AE56" s="141"/>
      <c r="AF56" s="141"/>
    </row>
    <row r="57" spans="1:32" ht="26.25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41"/>
      <c r="P57" s="141"/>
      <c r="Q57" s="141"/>
      <c r="R57" s="141"/>
      <c r="S57" s="141"/>
      <c r="T57" s="141"/>
      <c r="U57" s="141"/>
      <c r="V57" s="136"/>
      <c r="W57" s="136"/>
      <c r="X57" s="136"/>
      <c r="Y57" s="136"/>
      <c r="Z57" s="141"/>
      <c r="AA57" s="141"/>
      <c r="AB57" s="141"/>
      <c r="AC57" s="141"/>
      <c r="AD57" s="141"/>
      <c r="AE57" s="141"/>
      <c r="AF57" s="141"/>
    </row>
    <row r="58" spans="1:32" ht="28.5" x14ac:dyDescent="0.45">
      <c r="O58" s="142"/>
      <c r="P58" s="142"/>
      <c r="Q58" s="142"/>
      <c r="R58" s="142"/>
      <c r="S58" s="142"/>
      <c r="T58" s="42"/>
      <c r="U58" s="143"/>
      <c r="V58" s="136"/>
      <c r="W58" s="136"/>
      <c r="X58" s="136"/>
      <c r="Y58" s="136"/>
      <c r="Z58" s="79"/>
      <c r="AA58" s="79"/>
      <c r="AB58" s="79"/>
      <c r="AC58" s="79"/>
      <c r="AD58" s="79"/>
      <c r="AE58" s="42"/>
      <c r="AF58" s="42"/>
    </row>
    <row r="59" spans="1:32" ht="28.5" x14ac:dyDescent="0.45">
      <c r="O59" s="142"/>
      <c r="P59" s="144"/>
      <c r="Q59" s="145"/>
      <c r="R59" s="142"/>
      <c r="S59" s="142"/>
      <c r="T59" s="77"/>
      <c r="U59" s="143"/>
      <c r="V59" s="136"/>
      <c r="W59" s="136"/>
      <c r="X59" s="136"/>
      <c r="Y59" s="136"/>
      <c r="Z59" s="79"/>
      <c r="AA59" s="146"/>
      <c r="AB59" s="80"/>
      <c r="AC59" s="79"/>
      <c r="AD59" s="79"/>
      <c r="AE59" s="77"/>
      <c r="AF59" s="42"/>
    </row>
    <row r="60" spans="1:32" ht="28.5" x14ac:dyDescent="0.45">
      <c r="O60" s="142"/>
      <c r="P60" s="142"/>
      <c r="Q60" s="142"/>
      <c r="R60" s="142"/>
      <c r="S60" s="142"/>
      <c r="T60" s="42"/>
      <c r="U60" s="42"/>
      <c r="V60" s="76"/>
      <c r="W60" s="76"/>
      <c r="X60" s="76"/>
      <c r="Y60" s="76"/>
      <c r="Z60" s="142"/>
      <c r="AA60" s="142"/>
      <c r="AB60" s="142"/>
      <c r="AC60" s="142"/>
      <c r="AD60" s="142"/>
      <c r="AE60" s="42"/>
      <c r="AF60" s="42"/>
    </row>
    <row r="61" spans="1:32" ht="28.5" x14ac:dyDescent="0.45">
      <c r="O61" s="142"/>
      <c r="P61" s="144"/>
      <c r="Q61" s="145"/>
      <c r="R61" s="142"/>
      <c r="S61" s="142"/>
      <c r="T61" s="77"/>
      <c r="U61" s="42"/>
      <c r="V61" s="76"/>
      <c r="W61" s="76"/>
      <c r="X61" s="76"/>
      <c r="Y61" s="76"/>
      <c r="Z61" s="142"/>
      <c r="AA61" s="144"/>
      <c r="AB61" s="145"/>
      <c r="AC61" s="142"/>
      <c r="AD61" s="142"/>
      <c r="AE61" s="77"/>
      <c r="AF61" s="42"/>
    </row>
    <row r="62" spans="1:32" ht="28.5" x14ac:dyDescent="0.45">
      <c r="O62" s="142"/>
      <c r="P62" s="142"/>
      <c r="Q62" s="142"/>
      <c r="R62" s="142"/>
      <c r="S62" s="142"/>
      <c r="T62" s="42"/>
      <c r="U62" s="42"/>
      <c r="V62" s="76"/>
      <c r="W62" s="76"/>
      <c r="X62" s="76"/>
      <c r="Y62" s="76"/>
      <c r="Z62" s="142"/>
      <c r="AA62" s="142"/>
      <c r="AB62" s="142"/>
      <c r="AC62" s="142"/>
      <c r="AD62" s="142"/>
      <c r="AE62" s="42"/>
      <c r="AF62" s="42"/>
    </row>
    <row r="63" spans="1:32" ht="28.5" x14ac:dyDescent="0.45">
      <c r="O63" s="142"/>
      <c r="P63" s="142"/>
      <c r="Q63" s="142"/>
      <c r="R63" s="142"/>
      <c r="S63" s="142"/>
      <c r="T63" s="42"/>
      <c r="U63" s="42"/>
      <c r="V63" s="76"/>
      <c r="W63" s="76"/>
      <c r="X63" s="76"/>
      <c r="Y63" s="76"/>
      <c r="Z63" s="142"/>
      <c r="AA63" s="142"/>
      <c r="AB63" s="142"/>
      <c r="AC63" s="142"/>
      <c r="AD63" s="142"/>
      <c r="AE63" s="42"/>
      <c r="AF63" s="42"/>
    </row>
  </sheetData>
  <mergeCells count="6">
    <mergeCell ref="X29:AD31"/>
    <mergeCell ref="R12:AA13"/>
    <mergeCell ref="R14:AA15"/>
    <mergeCell ref="M18:S20"/>
    <mergeCell ref="X18:AD20"/>
    <mergeCell ref="M29:S3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rgb="FFFF0000"/>
  </sheetPr>
  <dimension ref="A1:BB57"/>
  <sheetViews>
    <sheetView showGridLines="0" showRowColHeaders="0" zoomScale="40" zoomScaleNormal="40" workbookViewId="0"/>
  </sheetViews>
  <sheetFormatPr defaultRowHeight="15" x14ac:dyDescent="0.25"/>
  <cols>
    <col min="6" max="6" width="23.5703125" bestFit="1" customWidth="1"/>
    <col min="10" max="10" width="34.7109375" customWidth="1"/>
    <col min="11" max="11" width="8.85546875" customWidth="1"/>
    <col min="19" max="19" width="47.7109375" bestFit="1" customWidth="1"/>
    <col min="21" max="21" width="11.42578125" customWidth="1"/>
    <col min="23" max="23" width="47.42578125" customWidth="1"/>
  </cols>
  <sheetData>
    <row r="1" spans="1:54" s="100" customFormat="1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  <c r="BB1" s="101"/>
    </row>
    <row r="2" spans="1:54" s="100" customFormat="1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  <c r="BA2" s="101"/>
      <c r="BB2" s="101"/>
    </row>
    <row r="3" spans="1:54" ht="61.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</row>
    <row r="4" spans="1:54" ht="46.15" customHeight="1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9" customHeight="1" x14ac:dyDescent="0.25"/>
    <row r="9" spans="1:54" ht="28.9" customHeight="1" x14ac:dyDescent="0.25">
      <c r="E9" s="41"/>
      <c r="F9" s="41"/>
      <c r="G9" s="41"/>
      <c r="H9" s="41"/>
      <c r="I9" s="41"/>
      <c r="J9" s="41"/>
      <c r="K9" s="41"/>
    </row>
    <row r="10" spans="1:54" ht="28.9" customHeight="1" x14ac:dyDescent="0.25">
      <c r="E10" s="41"/>
      <c r="F10" s="41"/>
      <c r="G10" s="41"/>
      <c r="H10" s="41"/>
      <c r="I10" s="41"/>
      <c r="J10" s="41"/>
      <c r="K10" s="41"/>
    </row>
    <row r="11" spans="1:54" ht="28.9" customHeight="1" x14ac:dyDescent="0.25">
      <c r="E11" s="41"/>
      <c r="F11" s="41"/>
      <c r="G11" s="41"/>
      <c r="H11" s="41"/>
      <c r="I11" s="41"/>
      <c r="J11" s="41"/>
      <c r="K11" s="41"/>
    </row>
    <row r="12" spans="1:54" ht="28.9" customHeight="1" x14ac:dyDescent="0.45">
      <c r="E12" s="142"/>
      <c r="F12" s="142"/>
      <c r="G12" s="142"/>
      <c r="H12" s="142"/>
      <c r="I12" s="142"/>
      <c r="J12" s="42"/>
      <c r="K12" s="42"/>
      <c r="R12" s="100"/>
      <c r="S12" s="100"/>
      <c r="T12" s="100"/>
      <c r="U12" s="100"/>
      <c r="V12" s="100"/>
      <c r="W12" s="100"/>
      <c r="X12" s="100"/>
    </row>
    <row r="13" spans="1:54" ht="28.9" customHeight="1" x14ac:dyDescent="0.45">
      <c r="E13" s="142"/>
      <c r="F13" s="148"/>
      <c r="G13" s="145"/>
      <c r="H13" s="142"/>
      <c r="I13" s="142"/>
      <c r="J13" s="46"/>
      <c r="K13" s="42"/>
      <c r="R13" s="100"/>
      <c r="S13" s="100"/>
      <c r="T13" s="100"/>
      <c r="U13" s="100"/>
      <c r="V13" s="100"/>
      <c r="W13" s="100"/>
      <c r="X13" s="100"/>
    </row>
    <row r="14" spans="1:54" ht="28.9" customHeight="1" x14ac:dyDescent="0.45">
      <c r="E14" s="142"/>
      <c r="F14" s="142"/>
      <c r="G14" s="142"/>
      <c r="H14" s="142"/>
      <c r="I14" s="142"/>
      <c r="J14" s="42"/>
      <c r="K14" s="42"/>
      <c r="R14" s="100"/>
      <c r="S14" s="100"/>
      <c r="T14" s="100"/>
      <c r="U14" s="100"/>
      <c r="V14" s="100"/>
      <c r="W14" s="100"/>
      <c r="X14" s="100"/>
    </row>
    <row r="15" spans="1:54" ht="28.9" customHeight="1" thickBot="1" x14ac:dyDescent="0.5">
      <c r="E15" s="142"/>
      <c r="F15" s="148"/>
      <c r="G15" s="145"/>
      <c r="H15" s="142"/>
      <c r="I15" s="142"/>
      <c r="J15" s="46"/>
      <c r="K15" s="42"/>
      <c r="R15" s="100"/>
      <c r="S15" s="100"/>
      <c r="T15" s="100"/>
      <c r="U15" s="100"/>
      <c r="V15" s="100"/>
      <c r="W15" s="100"/>
      <c r="X15" s="100"/>
    </row>
    <row r="16" spans="1:54" ht="28.9" customHeight="1" x14ac:dyDescent="0.45">
      <c r="E16" s="142"/>
      <c r="F16" s="142"/>
      <c r="G16" s="142"/>
      <c r="H16" s="142"/>
      <c r="I16" s="142"/>
      <c r="J16" s="42"/>
      <c r="K16" s="42"/>
      <c r="R16" s="478" t="s">
        <v>27</v>
      </c>
      <c r="S16" s="479"/>
      <c r="T16" s="479"/>
      <c r="U16" s="479"/>
      <c r="V16" s="479"/>
      <c r="W16" s="479"/>
      <c r="X16" s="480"/>
    </row>
    <row r="17" spans="5:24" ht="28.9" customHeight="1" x14ac:dyDescent="0.45">
      <c r="E17" s="142"/>
      <c r="F17" s="142"/>
      <c r="G17" s="142"/>
      <c r="H17" s="142"/>
      <c r="I17" s="142"/>
      <c r="J17" s="42"/>
      <c r="K17" s="42"/>
      <c r="R17" s="481"/>
      <c r="S17" s="482"/>
      <c r="T17" s="482"/>
      <c r="U17" s="482"/>
      <c r="V17" s="482"/>
      <c r="W17" s="482"/>
      <c r="X17" s="483"/>
    </row>
    <row r="18" spans="5:24" ht="28.9" customHeight="1" thickBot="1" x14ac:dyDescent="0.5">
      <c r="E18" s="42"/>
      <c r="F18" s="42"/>
      <c r="G18" s="42"/>
      <c r="H18" s="42"/>
      <c r="I18" s="42"/>
      <c r="J18" s="42"/>
      <c r="K18" s="42"/>
      <c r="R18" s="484"/>
      <c r="S18" s="485"/>
      <c r="T18" s="485"/>
      <c r="U18" s="485"/>
      <c r="V18" s="485"/>
      <c r="W18" s="485"/>
      <c r="X18" s="486"/>
    </row>
    <row r="19" spans="5:24" ht="28.9" customHeight="1" x14ac:dyDescent="0.45">
      <c r="E19" s="42"/>
      <c r="F19" s="42"/>
      <c r="G19" s="42"/>
      <c r="H19" s="42"/>
      <c r="I19" s="42"/>
      <c r="J19" s="42"/>
      <c r="K19" s="42"/>
      <c r="R19" s="17" t="s">
        <v>13</v>
      </c>
      <c r="S19" s="43" t="s">
        <v>13</v>
      </c>
      <c r="T19" s="43" t="s">
        <v>13</v>
      </c>
      <c r="U19" s="43" t="s">
        <v>13</v>
      </c>
      <c r="V19" s="43" t="s">
        <v>13</v>
      </c>
      <c r="W19" s="45" t="s">
        <v>13</v>
      </c>
      <c r="X19" s="128" t="s">
        <v>13</v>
      </c>
    </row>
    <row r="20" spans="5:24" ht="28.9" customHeight="1" x14ac:dyDescent="0.45">
      <c r="E20" s="42"/>
      <c r="F20" s="42"/>
      <c r="G20" s="42"/>
      <c r="H20" s="42"/>
      <c r="I20" s="42"/>
      <c r="J20" s="42"/>
      <c r="K20" s="42"/>
      <c r="R20" s="17" t="s">
        <v>13</v>
      </c>
      <c r="S20" s="138" t="s">
        <v>28</v>
      </c>
      <c r="T20" s="44"/>
      <c r="U20" s="43" t="s">
        <v>13</v>
      </c>
      <c r="V20" s="43" t="s">
        <v>13</v>
      </c>
      <c r="W20" s="165" t="s">
        <v>11</v>
      </c>
      <c r="X20" s="128" t="s">
        <v>13</v>
      </c>
    </row>
    <row r="21" spans="5:24" ht="28.9" customHeight="1" x14ac:dyDescent="0.45">
      <c r="E21" s="42"/>
      <c r="F21" s="42"/>
      <c r="G21" s="42"/>
      <c r="H21" s="42"/>
      <c r="I21" s="42"/>
      <c r="J21" s="42"/>
      <c r="K21" s="42"/>
      <c r="R21" s="17" t="s">
        <v>13</v>
      </c>
      <c r="S21" s="43" t="s">
        <v>13</v>
      </c>
      <c r="T21" s="43" t="s">
        <v>13</v>
      </c>
      <c r="U21" s="43" t="s">
        <v>13</v>
      </c>
      <c r="V21" s="43" t="s">
        <v>13</v>
      </c>
      <c r="W21" s="45" t="s">
        <v>13</v>
      </c>
      <c r="X21" s="13" t="s">
        <v>13</v>
      </c>
    </row>
    <row r="22" spans="5:24" ht="28.9" customHeight="1" x14ac:dyDescent="0.45">
      <c r="R22" s="17" t="s">
        <v>13</v>
      </c>
      <c r="S22" s="138" t="s">
        <v>29</v>
      </c>
      <c r="T22" s="44"/>
      <c r="U22" s="43" t="s">
        <v>13</v>
      </c>
      <c r="V22" s="43" t="s">
        <v>13</v>
      </c>
      <c r="W22" s="165">
        <v>100</v>
      </c>
      <c r="X22" s="128" t="s">
        <v>13</v>
      </c>
    </row>
    <row r="23" spans="5:24" ht="28.9" customHeight="1" x14ac:dyDescent="0.45">
      <c r="R23" s="17" t="s">
        <v>13</v>
      </c>
      <c r="S23" s="43" t="s">
        <v>13</v>
      </c>
      <c r="T23" s="43" t="s">
        <v>13</v>
      </c>
      <c r="U23" s="43" t="s">
        <v>13</v>
      </c>
      <c r="V23" s="43" t="s">
        <v>13</v>
      </c>
      <c r="W23" s="137" t="s">
        <v>13</v>
      </c>
      <c r="X23" s="128" t="s">
        <v>13</v>
      </c>
    </row>
    <row r="24" spans="5:24" ht="28.9" customHeight="1" x14ac:dyDescent="0.45">
      <c r="R24" s="17" t="s">
        <v>13</v>
      </c>
      <c r="S24" s="43" t="s">
        <v>13</v>
      </c>
      <c r="T24" s="43" t="s">
        <v>13</v>
      </c>
      <c r="U24" s="43" t="s">
        <v>13</v>
      </c>
      <c r="V24" s="43" t="s">
        <v>13</v>
      </c>
      <c r="W24" s="137" t="s">
        <v>13</v>
      </c>
      <c r="X24" s="128" t="s">
        <v>13</v>
      </c>
    </row>
    <row r="25" spans="5:24" ht="28.9" customHeight="1" x14ac:dyDescent="0.45">
      <c r="R25" s="17" t="s">
        <v>13</v>
      </c>
      <c r="S25" s="43" t="s">
        <v>13</v>
      </c>
      <c r="T25" s="43" t="s">
        <v>13</v>
      </c>
      <c r="U25" s="43" t="s">
        <v>13</v>
      </c>
      <c r="V25" s="43" t="s">
        <v>13</v>
      </c>
      <c r="W25" s="137" t="s">
        <v>13</v>
      </c>
      <c r="X25" s="128" t="s">
        <v>13</v>
      </c>
    </row>
    <row r="26" spans="5:24" ht="28.9" customHeight="1" x14ac:dyDescent="0.45">
      <c r="R26" s="17" t="s">
        <v>13</v>
      </c>
      <c r="S26" s="43" t="s">
        <v>13</v>
      </c>
      <c r="T26" s="43" t="s">
        <v>13</v>
      </c>
      <c r="U26" s="43" t="s">
        <v>13</v>
      </c>
      <c r="V26" s="43" t="s">
        <v>13</v>
      </c>
      <c r="W26" s="137" t="s">
        <v>13</v>
      </c>
      <c r="X26" s="128" t="s">
        <v>13</v>
      </c>
    </row>
    <row r="27" spans="5:24" ht="28.9" customHeight="1" thickBot="1" x14ac:dyDescent="0.5">
      <c r="R27" s="20" t="s">
        <v>13</v>
      </c>
      <c r="S27" s="21" t="s">
        <v>13</v>
      </c>
      <c r="T27" s="21" t="s">
        <v>13</v>
      </c>
      <c r="U27" s="21" t="s">
        <v>13</v>
      </c>
      <c r="V27" s="21" t="s">
        <v>13</v>
      </c>
      <c r="W27" s="132" t="s">
        <v>13</v>
      </c>
      <c r="X27" s="133" t="s">
        <v>13</v>
      </c>
    </row>
    <row r="28" spans="5:24" ht="28.9" customHeight="1" x14ac:dyDescent="0.25"/>
    <row r="29" spans="5:24" ht="28.9" customHeight="1" x14ac:dyDescent="0.25"/>
    <row r="30" spans="5:24" ht="28.9" customHeight="1" x14ac:dyDescent="0.25">
      <c r="E30" s="41"/>
      <c r="F30" s="41"/>
      <c r="G30" s="41"/>
      <c r="H30" s="41"/>
      <c r="I30" s="41"/>
      <c r="J30" s="41"/>
      <c r="K30" s="41"/>
    </row>
    <row r="31" spans="5:24" ht="28.9" customHeight="1" x14ac:dyDescent="0.25">
      <c r="E31" s="41"/>
      <c r="F31" s="41"/>
      <c r="G31" s="41"/>
      <c r="H31" s="41"/>
      <c r="I31" s="41"/>
      <c r="J31" s="41"/>
      <c r="K31" s="41"/>
    </row>
    <row r="32" spans="5:24" ht="28.9" customHeight="1" x14ac:dyDescent="0.25">
      <c r="E32" s="41"/>
      <c r="F32" s="41"/>
      <c r="G32" s="41"/>
      <c r="H32" s="41"/>
      <c r="I32" s="41"/>
      <c r="J32" s="41"/>
      <c r="K32" s="41"/>
    </row>
    <row r="33" spans="5:11" ht="28.9" customHeight="1" x14ac:dyDescent="0.45">
      <c r="E33" s="142"/>
      <c r="F33" s="142"/>
      <c r="G33" s="142"/>
      <c r="H33" s="142"/>
      <c r="I33" s="142"/>
      <c r="J33" s="42"/>
      <c r="K33" s="42"/>
    </row>
    <row r="34" spans="5:11" ht="28.9" customHeight="1" x14ac:dyDescent="0.45">
      <c r="E34" s="142"/>
      <c r="F34" s="148"/>
      <c r="G34" s="145"/>
      <c r="H34" s="142"/>
      <c r="I34" s="142"/>
      <c r="J34" s="46"/>
      <c r="K34" s="42"/>
    </row>
    <row r="35" spans="5:11" ht="28.9" customHeight="1" x14ac:dyDescent="0.45">
      <c r="E35" s="142"/>
      <c r="F35" s="142"/>
      <c r="G35" s="142"/>
      <c r="H35" s="142"/>
      <c r="I35" s="142"/>
      <c r="J35" s="42"/>
      <c r="K35" s="42"/>
    </row>
    <row r="36" spans="5:11" ht="28.9" customHeight="1" x14ac:dyDescent="0.45">
      <c r="E36" s="142"/>
      <c r="F36" s="148"/>
      <c r="G36" s="145"/>
      <c r="H36" s="142"/>
      <c r="I36" s="142"/>
      <c r="J36" s="46"/>
      <c r="K36" s="42"/>
    </row>
    <row r="37" spans="5:11" ht="28.9" customHeight="1" x14ac:dyDescent="0.45">
      <c r="E37" s="142"/>
      <c r="F37" s="142"/>
      <c r="G37" s="142"/>
      <c r="H37" s="142"/>
      <c r="I37" s="142"/>
      <c r="J37" s="42"/>
      <c r="K37" s="42"/>
    </row>
    <row r="38" spans="5:11" ht="28.9" customHeight="1" x14ac:dyDescent="0.45">
      <c r="E38" s="142"/>
      <c r="F38" s="148"/>
      <c r="G38" s="142"/>
      <c r="H38" s="142"/>
      <c r="I38" s="142"/>
      <c r="J38" s="42"/>
      <c r="K38" s="42"/>
    </row>
    <row r="39" spans="5:11" ht="28.9" customHeight="1" x14ac:dyDescent="0.45">
      <c r="E39" s="142"/>
      <c r="F39" s="142"/>
      <c r="G39" s="142"/>
      <c r="H39" s="142"/>
      <c r="I39" s="142"/>
      <c r="J39" s="42"/>
      <c r="K39" s="42"/>
    </row>
    <row r="40" spans="5:11" ht="28.9" customHeight="1" x14ac:dyDescent="0.45">
      <c r="E40" s="142"/>
      <c r="F40" s="148"/>
      <c r="G40" s="145"/>
      <c r="H40" s="142"/>
      <c r="I40" s="142"/>
      <c r="J40" s="46"/>
      <c r="K40" s="42"/>
    </row>
    <row r="41" spans="5:11" ht="28.9" customHeight="1" x14ac:dyDescent="0.25"/>
    <row r="42" spans="5:11" ht="28.9" customHeight="1" x14ac:dyDescent="0.25"/>
    <row r="43" spans="5:11" ht="28.9" customHeight="1" x14ac:dyDescent="0.25"/>
    <row r="44" spans="5:11" ht="28.9" customHeight="1" x14ac:dyDescent="0.25"/>
    <row r="45" spans="5:11" ht="28.9" customHeight="1" x14ac:dyDescent="0.25"/>
    <row r="46" spans="5:11" ht="28.9" customHeight="1" x14ac:dyDescent="0.25"/>
    <row r="47" spans="5:11" ht="28.9" customHeight="1" x14ac:dyDescent="0.25"/>
    <row r="48" spans="5:11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</sheetData>
  <mergeCells count="1">
    <mergeCell ref="R16:X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PRODUÇÃO_REQUISIÇÕES!$Q$14:$Q$17</xm:f>
          </x14:formula1>
          <xm:sqref>W20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3">
    <tabColor rgb="FFFF0000"/>
  </sheetPr>
  <dimension ref="A1:BB69"/>
  <sheetViews>
    <sheetView showGridLines="0" showRowColHeaders="0" topLeftCell="A22" zoomScale="40" zoomScaleNormal="40" workbookViewId="0">
      <selection activeCell="AE21" sqref="AE21"/>
    </sheetView>
  </sheetViews>
  <sheetFormatPr defaultColWidth="8.85546875" defaultRowHeight="15" x14ac:dyDescent="0.25"/>
  <cols>
    <col min="1" max="5" width="8.85546875" style="82"/>
    <col min="6" max="6" width="23.5703125" style="82" bestFit="1" customWidth="1"/>
    <col min="7" max="9" width="8.85546875" style="82"/>
    <col min="10" max="10" width="34.7109375" style="82" customWidth="1"/>
    <col min="11" max="11" width="8.85546875" style="82" customWidth="1"/>
    <col min="12" max="19" width="8.85546875" style="82"/>
    <col min="20" max="20" width="47.7109375" style="82" bestFit="1" customWidth="1"/>
    <col min="21" max="21" width="8.85546875" style="82"/>
    <col min="22" max="22" width="11.42578125" style="82" customWidth="1"/>
    <col min="23" max="23" width="8.85546875" style="82"/>
    <col min="24" max="24" width="47.42578125" style="82" customWidth="1"/>
    <col min="25" max="16384" width="8.85546875" style="82"/>
  </cols>
  <sheetData>
    <row r="1" spans="1:54" s="100" customFormat="1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  <c r="BB1" s="101"/>
    </row>
    <row r="2" spans="1:54" s="100" customFormat="1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  <c r="BA2" s="101"/>
      <c r="BB2" s="101"/>
    </row>
    <row r="3" spans="1:54" ht="61.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</row>
    <row r="4" spans="1:54" ht="46.15" customHeight="1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9" customHeight="1" x14ac:dyDescent="0.25"/>
    <row r="9" spans="1:54" ht="28.9" customHeight="1" x14ac:dyDescent="0.25">
      <c r="E9" s="499"/>
      <c r="F9" s="499"/>
      <c r="G9" s="499"/>
      <c r="H9" s="499"/>
      <c r="I9" s="499"/>
      <c r="J9" s="499"/>
      <c r="K9" s="499"/>
    </row>
    <row r="10" spans="1:54" ht="28.9" customHeight="1" thickBot="1" x14ac:dyDescent="0.3">
      <c r="E10" s="499"/>
      <c r="F10" s="499"/>
      <c r="G10" s="499"/>
      <c r="H10" s="499"/>
      <c r="I10" s="499"/>
      <c r="J10" s="499"/>
      <c r="K10" s="499"/>
    </row>
    <row r="11" spans="1:54" ht="28.9" customHeight="1" x14ac:dyDescent="0.25">
      <c r="E11" s="499"/>
      <c r="F11" s="499"/>
      <c r="G11" s="499"/>
      <c r="H11" s="499"/>
      <c r="I11" s="499"/>
      <c r="J11" s="499"/>
      <c r="K11" s="499"/>
      <c r="S11" s="478" t="s">
        <v>751</v>
      </c>
      <c r="T11" s="479"/>
      <c r="U11" s="479"/>
      <c r="V11" s="479"/>
      <c r="W11" s="479"/>
      <c r="X11" s="479"/>
      <c r="Y11" s="480"/>
    </row>
    <row r="12" spans="1:54" ht="28.9" customHeight="1" x14ac:dyDescent="0.45">
      <c r="E12" s="142"/>
      <c r="F12" s="142"/>
      <c r="G12" s="142"/>
      <c r="H12" s="142"/>
      <c r="I12" s="142"/>
      <c r="J12" s="42"/>
      <c r="K12" s="42"/>
      <c r="S12" s="481"/>
      <c r="T12" s="482"/>
      <c r="U12" s="482"/>
      <c r="V12" s="482"/>
      <c r="W12" s="482"/>
      <c r="X12" s="482"/>
      <c r="Y12" s="483"/>
    </row>
    <row r="13" spans="1:54" ht="28.9" customHeight="1" x14ac:dyDescent="0.45">
      <c r="E13" s="142"/>
      <c r="F13" s="148"/>
      <c r="G13" s="145"/>
      <c r="H13" s="142"/>
      <c r="I13" s="142"/>
      <c r="J13" s="46"/>
      <c r="K13" s="42"/>
      <c r="S13" s="481"/>
      <c r="T13" s="482"/>
      <c r="U13" s="482"/>
      <c r="V13" s="482"/>
      <c r="W13" s="482"/>
      <c r="X13" s="482"/>
      <c r="Y13" s="483"/>
    </row>
    <row r="14" spans="1:54" ht="28.9" customHeight="1" x14ac:dyDescent="0.45">
      <c r="E14" s="142"/>
      <c r="F14" s="142"/>
      <c r="G14" s="142"/>
      <c r="H14" s="142"/>
      <c r="I14" s="142"/>
      <c r="J14" s="42"/>
      <c r="K14" s="42"/>
      <c r="S14" s="17" t="s">
        <v>13</v>
      </c>
      <c r="T14" s="43" t="s">
        <v>13</v>
      </c>
      <c r="U14" s="43" t="s">
        <v>13</v>
      </c>
      <c r="V14" s="43" t="s">
        <v>13</v>
      </c>
      <c r="W14" s="43" t="s">
        <v>13</v>
      </c>
      <c r="X14" s="45" t="s">
        <v>13</v>
      </c>
      <c r="Y14" s="128" t="s">
        <v>13</v>
      </c>
    </row>
    <row r="15" spans="1:54" ht="28.9" customHeight="1" x14ac:dyDescent="0.45">
      <c r="E15" s="142"/>
      <c r="F15" s="148"/>
      <c r="G15" s="145"/>
      <c r="H15" s="142"/>
      <c r="I15" s="142"/>
      <c r="J15" s="46"/>
      <c r="K15" s="42"/>
      <c r="S15" s="17" t="s">
        <v>13</v>
      </c>
      <c r="T15" s="138" t="s">
        <v>28</v>
      </c>
      <c r="U15" s="44"/>
      <c r="V15" s="43" t="s">
        <v>13</v>
      </c>
      <c r="W15" s="43" t="s">
        <v>13</v>
      </c>
      <c r="X15" s="165" t="s">
        <v>9</v>
      </c>
      <c r="Y15" s="128" t="s">
        <v>13</v>
      </c>
    </row>
    <row r="16" spans="1:54" ht="28.9" customHeight="1" x14ac:dyDescent="0.45">
      <c r="E16" s="142"/>
      <c r="F16" s="142"/>
      <c r="G16" s="142"/>
      <c r="H16" s="142"/>
      <c r="I16" s="142"/>
      <c r="J16" s="42"/>
      <c r="K16" s="42"/>
      <c r="S16" s="17" t="s">
        <v>13</v>
      </c>
      <c r="T16" s="43" t="s">
        <v>13</v>
      </c>
      <c r="U16" s="43" t="s">
        <v>13</v>
      </c>
      <c r="V16" s="43" t="s">
        <v>13</v>
      </c>
      <c r="W16" s="43" t="s">
        <v>13</v>
      </c>
      <c r="X16" s="45" t="s">
        <v>13</v>
      </c>
      <c r="Y16" s="13" t="s">
        <v>13</v>
      </c>
    </row>
    <row r="17" spans="5:25" ht="28.9" customHeight="1" x14ac:dyDescent="0.45">
      <c r="E17" s="142"/>
      <c r="F17" s="148"/>
      <c r="G17" s="142"/>
      <c r="H17" s="142"/>
      <c r="I17" s="142"/>
      <c r="J17" s="42"/>
      <c r="K17" s="42"/>
      <c r="S17" s="17" t="s">
        <v>13</v>
      </c>
      <c r="T17" s="138" t="s">
        <v>29</v>
      </c>
      <c r="U17" s="44"/>
      <c r="V17" s="43" t="s">
        <v>13</v>
      </c>
      <c r="W17" s="43" t="s">
        <v>13</v>
      </c>
      <c r="X17" s="123"/>
      <c r="Y17" s="128" t="s">
        <v>13</v>
      </c>
    </row>
    <row r="18" spans="5:25" ht="28.9" customHeight="1" x14ac:dyDescent="0.45">
      <c r="E18" s="142"/>
      <c r="F18" s="142"/>
      <c r="G18" s="142"/>
      <c r="H18" s="142"/>
      <c r="I18" s="142"/>
      <c r="J18" s="42"/>
      <c r="K18" s="42"/>
      <c r="S18" s="17" t="s">
        <v>13</v>
      </c>
      <c r="T18" s="43" t="s">
        <v>13</v>
      </c>
      <c r="U18" s="43" t="s">
        <v>13</v>
      </c>
      <c r="V18" s="43" t="s">
        <v>13</v>
      </c>
      <c r="W18" s="43" t="s">
        <v>13</v>
      </c>
      <c r="X18" s="137" t="s">
        <v>13</v>
      </c>
      <c r="Y18" s="128" t="s">
        <v>13</v>
      </c>
    </row>
    <row r="19" spans="5:25" ht="28.9" customHeight="1" x14ac:dyDescent="0.45">
      <c r="E19" s="142"/>
      <c r="F19" s="148"/>
      <c r="G19" s="145"/>
      <c r="H19" s="142"/>
      <c r="I19" s="142"/>
      <c r="J19" s="46"/>
      <c r="K19" s="42"/>
      <c r="S19" s="17" t="s">
        <v>13</v>
      </c>
      <c r="T19" s="149" t="s">
        <v>30</v>
      </c>
      <c r="U19" s="43" t="s">
        <v>13</v>
      </c>
      <c r="V19" s="43" t="s">
        <v>13</v>
      </c>
      <c r="W19" s="43" t="s">
        <v>13</v>
      </c>
      <c r="X19" s="123"/>
      <c r="Y19" s="128" t="s">
        <v>13</v>
      </c>
    </row>
    <row r="20" spans="5:25" ht="28.9" customHeight="1" x14ac:dyDescent="0.45">
      <c r="E20" s="42"/>
      <c r="F20" s="42"/>
      <c r="G20" s="42"/>
      <c r="H20" s="42"/>
      <c r="I20" s="42"/>
      <c r="J20" s="42"/>
      <c r="K20" s="42"/>
      <c r="S20" s="17" t="s">
        <v>13</v>
      </c>
      <c r="T20" s="43" t="s">
        <v>13</v>
      </c>
      <c r="U20" s="43" t="s">
        <v>13</v>
      </c>
      <c r="V20" s="43" t="s">
        <v>13</v>
      </c>
      <c r="W20" s="43" t="s">
        <v>13</v>
      </c>
      <c r="X20" s="137" t="s">
        <v>13</v>
      </c>
      <c r="Y20" s="128" t="s">
        <v>13</v>
      </c>
    </row>
    <row r="21" spans="5:25" ht="28.9" customHeight="1" thickBot="1" x14ac:dyDescent="0.5">
      <c r="E21" s="42"/>
      <c r="F21" s="42"/>
      <c r="G21" s="42"/>
      <c r="H21" s="42"/>
      <c r="I21" s="42"/>
      <c r="J21" s="42"/>
      <c r="K21" s="42"/>
      <c r="S21" s="20" t="s">
        <v>13</v>
      </c>
      <c r="T21" s="21" t="s">
        <v>13</v>
      </c>
      <c r="U21" s="21" t="s">
        <v>13</v>
      </c>
      <c r="V21" s="21" t="s">
        <v>13</v>
      </c>
      <c r="W21" s="21" t="s">
        <v>13</v>
      </c>
      <c r="X21" s="132" t="s">
        <v>13</v>
      </c>
      <c r="Y21" s="133" t="s">
        <v>13</v>
      </c>
    </row>
    <row r="22" spans="5:25" ht="28.9" customHeight="1" x14ac:dyDescent="0.45">
      <c r="S22" s="142" t="s">
        <v>13</v>
      </c>
      <c r="T22" s="142" t="s">
        <v>13</v>
      </c>
      <c r="U22" s="142" t="s">
        <v>13</v>
      </c>
      <c r="V22" s="142" t="s">
        <v>13</v>
      </c>
      <c r="W22" s="142" t="s">
        <v>13</v>
      </c>
      <c r="X22" s="143" t="s">
        <v>13</v>
      </c>
      <c r="Y22" s="143" t="s">
        <v>13</v>
      </c>
    </row>
    <row r="23" spans="5:25" ht="28.9" customHeight="1" x14ac:dyDescent="0.25"/>
    <row r="24" spans="5:25" ht="28.9" customHeight="1" x14ac:dyDescent="0.25"/>
    <row r="25" spans="5:25" ht="28.9" customHeight="1" x14ac:dyDescent="0.25"/>
    <row r="26" spans="5:25" ht="28.9" customHeight="1" x14ac:dyDescent="0.25"/>
    <row r="27" spans="5:25" ht="28.9" customHeight="1" x14ac:dyDescent="0.25"/>
    <row r="28" spans="5:25" ht="28.9" customHeight="1" x14ac:dyDescent="0.25"/>
    <row r="29" spans="5:25" ht="28.9" customHeight="1" x14ac:dyDescent="0.25"/>
    <row r="30" spans="5:25" ht="28.9" customHeight="1" x14ac:dyDescent="0.25"/>
    <row r="31" spans="5:25" ht="28.9" customHeight="1" x14ac:dyDescent="0.25"/>
    <row r="32" spans="5:25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  <row r="67" ht="28.9" customHeight="1" x14ac:dyDescent="0.25"/>
    <row r="68" ht="28.9" customHeight="1" x14ac:dyDescent="0.25"/>
    <row r="69" ht="28.9" customHeight="1" x14ac:dyDescent="0.25"/>
  </sheetData>
  <mergeCells count="2">
    <mergeCell ref="E9:K11"/>
    <mergeCell ref="S11:Y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PRODUÇÃO_REQUISIÇÕES!$Q$14:$Q$17</xm:f>
          </x14:formula1>
          <xm:sqref>X15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>
    <tabColor rgb="FFFFC000"/>
  </sheetPr>
  <dimension ref="A1:AY67"/>
  <sheetViews>
    <sheetView zoomScale="40" zoomScaleNormal="40" workbookViewId="0"/>
  </sheetViews>
  <sheetFormatPr defaultColWidth="8.85546875" defaultRowHeight="15" x14ac:dyDescent="0.25"/>
  <cols>
    <col min="1" max="4" width="8.85546875" style="100"/>
    <col min="5" max="5" width="5.7109375" style="100" bestFit="1" customWidth="1"/>
    <col min="6" max="6" width="29.85546875" style="100" bestFit="1" customWidth="1"/>
    <col min="7" max="7" width="49.85546875" style="100" customWidth="1"/>
    <col min="8" max="8" width="30.42578125" style="100" bestFit="1" customWidth="1"/>
    <col min="9" max="9" width="11.28515625" style="100" bestFit="1" customWidth="1"/>
    <col min="10" max="10" width="29.85546875" style="100" bestFit="1" customWidth="1"/>
    <col min="11" max="11" width="49.85546875" style="100" bestFit="1" customWidth="1"/>
    <col min="12" max="12" width="30.42578125" style="100" bestFit="1" customWidth="1"/>
    <col min="13" max="13" width="25.140625" style="100" bestFit="1" customWidth="1"/>
    <col min="14" max="14" width="51.28515625" style="100" bestFit="1" customWidth="1"/>
    <col min="15" max="16" width="41.7109375" style="100" bestFit="1" customWidth="1"/>
    <col min="17" max="16384" width="8.85546875" style="100"/>
  </cols>
  <sheetData>
    <row r="1" spans="1:51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9" customHeight="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</row>
    <row r="9" spans="1:51" ht="28.9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</row>
    <row r="10" spans="1:51" ht="28.9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</row>
    <row r="11" spans="1:51" ht="28.9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</row>
    <row r="12" spans="1:51" ht="28.9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</row>
    <row r="13" spans="1:51" ht="28.9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</row>
    <row r="14" spans="1:51" ht="28.9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</row>
    <row r="15" spans="1:51" ht="28.9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</row>
    <row r="16" spans="1:51" ht="28.9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</row>
    <row r="17" spans="1:28" ht="28.9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</row>
    <row r="18" spans="1:28" ht="28.9" customHeight="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</row>
    <row r="19" spans="1:28" ht="28.9" customHeigh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</row>
    <row r="20" spans="1:28" ht="28.9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</row>
    <row r="21" spans="1:28" ht="28.9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</row>
    <row r="22" spans="1:28" ht="28.9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</row>
    <row r="23" spans="1:28" ht="28.9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</row>
    <row r="24" spans="1:28" ht="28.9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</row>
    <row r="25" spans="1:28" ht="28.9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</row>
    <row r="26" spans="1:28" ht="28.9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</row>
    <row r="27" spans="1:28" ht="28.9" customHeight="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</row>
    <row r="28" spans="1:28" ht="28.9" customHeight="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</row>
    <row r="29" spans="1:28" ht="28.9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</row>
    <row r="30" spans="1:28" ht="28.9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</row>
    <row r="31" spans="1:28" ht="28.9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</row>
    <row r="32" spans="1:28" ht="28.9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</row>
    <row r="33" spans="1:28" ht="28.9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</row>
    <row r="34" spans="1:28" ht="28.9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</row>
    <row r="35" spans="1:28" ht="28.9" customHeight="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</row>
    <row r="36" spans="1:28" ht="28.9" customHeight="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</row>
    <row r="37" spans="1:28" ht="28.9" customHeight="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</row>
    <row r="38" spans="1:28" ht="28.9" customHeight="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</row>
    <row r="39" spans="1:28" ht="28.9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</row>
    <row r="40" spans="1:28" ht="28.9" customHeight="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</row>
    <row r="41" spans="1:28" ht="28.9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</row>
    <row r="42" spans="1:28" ht="28.9" customHeight="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</row>
    <row r="43" spans="1:28" ht="28.9" customHeight="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</row>
    <row r="44" spans="1:28" ht="28.9" customHeight="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</row>
    <row r="45" spans="1:28" ht="28.9" customHeight="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</row>
    <row r="46" spans="1:28" ht="28.9" customHeight="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</row>
    <row r="47" spans="1:28" ht="28.9" customHeight="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</row>
    <row r="48" spans="1:28" ht="28.9" customHeight="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</row>
    <row r="49" spans="1:28" ht="28.9" customHeight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</row>
    <row r="50" spans="1:28" ht="28.9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</row>
    <row r="51" spans="1:28" ht="28.9" customHeight="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</row>
    <row r="52" spans="1:28" ht="28.9" customHeight="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</row>
    <row r="53" spans="1:28" ht="28.9" customHeight="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</row>
    <row r="54" spans="1:28" ht="28.9" customHeight="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</row>
    <row r="55" spans="1:28" ht="28.9" customHeight="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</row>
    <row r="56" spans="1:28" ht="28.9" customHeight="1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</row>
    <row r="57" spans="1:28" ht="28.9" customHeight="1" x14ac:dyDescent="0.25"/>
    <row r="58" spans="1:28" ht="28.9" customHeight="1" x14ac:dyDescent="0.25"/>
    <row r="59" spans="1:28" ht="28.9" customHeight="1" x14ac:dyDescent="0.25"/>
    <row r="60" spans="1:28" ht="28.9" customHeight="1" x14ac:dyDescent="0.25"/>
    <row r="61" spans="1:28" ht="28.9" customHeight="1" x14ac:dyDescent="0.25"/>
    <row r="62" spans="1:28" ht="28.9" customHeight="1" x14ac:dyDescent="0.25"/>
    <row r="63" spans="1:28" ht="28.9" customHeight="1" x14ac:dyDescent="0.25"/>
    <row r="64" spans="1:28" ht="28.9" customHeight="1" x14ac:dyDescent="0.25"/>
    <row r="65" ht="28.9" customHeight="1" x14ac:dyDescent="0.25"/>
    <row r="66" ht="28.9" customHeight="1" x14ac:dyDescent="0.25"/>
    <row r="67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tabColor rgb="FFFFC000"/>
  </sheetPr>
  <dimension ref="A1:AY67"/>
  <sheetViews>
    <sheetView zoomScale="40" zoomScaleNormal="40" workbookViewId="0">
      <selection activeCell="J13" sqref="J13"/>
    </sheetView>
  </sheetViews>
  <sheetFormatPr defaultRowHeight="15" x14ac:dyDescent="0.25"/>
  <cols>
    <col min="5" max="5" width="5.7109375" bestFit="1" customWidth="1"/>
    <col min="6" max="6" width="29.85546875" bestFit="1" customWidth="1"/>
    <col min="7" max="7" width="49.85546875" customWidth="1"/>
    <col min="8" max="8" width="30.42578125" bestFit="1" customWidth="1"/>
    <col min="9" max="9" width="11.28515625" bestFit="1" customWidth="1"/>
    <col min="10" max="10" width="29.85546875" bestFit="1" customWidth="1"/>
    <col min="11" max="11" width="49.85546875" bestFit="1" customWidth="1"/>
    <col min="12" max="12" width="30.42578125" bestFit="1" customWidth="1"/>
    <col min="13" max="13" width="25.140625" bestFit="1" customWidth="1"/>
    <col min="14" max="14" width="51.28515625" bestFit="1" customWidth="1"/>
    <col min="15" max="16" width="41.7109375" bestFit="1" customWidth="1"/>
  </cols>
  <sheetData>
    <row r="1" spans="1:51" s="100" customFormat="1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s="100" customFormat="1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1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s="100" customFormat="1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>
      <c r="I12" s="151" t="s">
        <v>398</v>
      </c>
      <c r="J12" s="151" t="s">
        <v>32</v>
      </c>
      <c r="K12" s="151" t="s">
        <v>33</v>
      </c>
      <c r="L12" s="151" t="s">
        <v>34</v>
      </c>
      <c r="M12" s="151" t="s">
        <v>35</v>
      </c>
      <c r="N12" s="151" t="s">
        <v>36</v>
      </c>
      <c r="O12" s="151" t="s">
        <v>37</v>
      </c>
    </row>
    <row r="13" spans="1:51" ht="28.9" customHeight="1" x14ac:dyDescent="0.25">
      <c r="I13" s="152">
        <v>1</v>
      </c>
      <c r="J13" s="152" t="s">
        <v>38</v>
      </c>
      <c r="K13" s="152" t="s">
        <v>39</v>
      </c>
      <c r="L13" s="152" t="s">
        <v>40</v>
      </c>
      <c r="M13" s="152" t="s">
        <v>41</v>
      </c>
      <c r="N13" s="152" t="s">
        <v>42</v>
      </c>
      <c r="O13" s="152" t="s">
        <v>43</v>
      </c>
    </row>
    <row r="14" spans="1:51" ht="28.9" customHeight="1" x14ac:dyDescent="0.25">
      <c r="I14" s="152">
        <f>I13+1</f>
        <v>2</v>
      </c>
      <c r="J14" s="152" t="s">
        <v>44</v>
      </c>
      <c r="K14" s="152" t="s">
        <v>45</v>
      </c>
      <c r="L14" s="152" t="s">
        <v>40</v>
      </c>
      <c r="M14" s="152" t="s">
        <v>46</v>
      </c>
      <c r="N14" s="152" t="s">
        <v>47</v>
      </c>
      <c r="O14" s="152" t="s">
        <v>48</v>
      </c>
    </row>
    <row r="15" spans="1:51" ht="28.9" customHeight="1" x14ac:dyDescent="0.25">
      <c r="I15" s="152">
        <f t="shared" ref="I15:I32" si="0">I14+1</f>
        <v>3</v>
      </c>
      <c r="J15" s="152" t="s">
        <v>49</v>
      </c>
      <c r="K15" s="152" t="s">
        <v>50</v>
      </c>
      <c r="L15" s="152" t="s">
        <v>51</v>
      </c>
      <c r="M15" s="152" t="s">
        <v>52</v>
      </c>
      <c r="N15" s="152" t="s">
        <v>53</v>
      </c>
      <c r="O15" s="152" t="s">
        <v>54</v>
      </c>
    </row>
    <row r="16" spans="1:51" ht="28.9" customHeight="1" x14ac:dyDescent="0.25">
      <c r="I16" s="152">
        <f t="shared" si="0"/>
        <v>4</v>
      </c>
      <c r="J16" s="152" t="s">
        <v>55</v>
      </c>
      <c r="K16" s="152" t="s">
        <v>56</v>
      </c>
      <c r="L16" s="152" t="s">
        <v>57</v>
      </c>
      <c r="M16" s="152" t="s">
        <v>58</v>
      </c>
      <c r="N16" s="152" t="s">
        <v>59</v>
      </c>
      <c r="O16" s="152" t="s">
        <v>60</v>
      </c>
    </row>
    <row r="17" spans="9:15" ht="28.9" customHeight="1" x14ac:dyDescent="0.25">
      <c r="I17" s="152">
        <f t="shared" si="0"/>
        <v>5</v>
      </c>
      <c r="J17" s="152" t="s">
        <v>61</v>
      </c>
      <c r="K17" s="152" t="s">
        <v>62</v>
      </c>
      <c r="L17" s="152" t="s">
        <v>63</v>
      </c>
      <c r="M17" s="152" t="s">
        <v>64</v>
      </c>
      <c r="N17" s="152" t="s">
        <v>65</v>
      </c>
      <c r="O17" s="152" t="s">
        <v>66</v>
      </c>
    </row>
    <row r="18" spans="9:15" ht="28.9" customHeight="1" x14ac:dyDescent="0.25">
      <c r="I18" s="152">
        <f t="shared" si="0"/>
        <v>6</v>
      </c>
      <c r="J18" s="152" t="s">
        <v>67</v>
      </c>
      <c r="K18" s="152" t="s">
        <v>68</v>
      </c>
      <c r="L18" s="152" t="s">
        <v>69</v>
      </c>
      <c r="M18" s="152" t="s">
        <v>70</v>
      </c>
      <c r="N18" s="152" t="s">
        <v>71</v>
      </c>
      <c r="O18" s="152" t="s">
        <v>72</v>
      </c>
    </row>
    <row r="19" spans="9:15" ht="28.9" customHeight="1" x14ac:dyDescent="0.25">
      <c r="I19" s="152">
        <f t="shared" si="0"/>
        <v>7</v>
      </c>
      <c r="J19" s="152" t="s">
        <v>73</v>
      </c>
      <c r="K19" s="152" t="s">
        <v>74</v>
      </c>
      <c r="L19" s="152" t="s">
        <v>75</v>
      </c>
      <c r="M19" s="152" t="s">
        <v>76</v>
      </c>
      <c r="N19" s="152" t="s">
        <v>77</v>
      </c>
      <c r="O19" s="152" t="s">
        <v>78</v>
      </c>
    </row>
    <row r="20" spans="9:15" ht="28.9" customHeight="1" x14ac:dyDescent="0.25">
      <c r="I20" s="152">
        <f t="shared" si="0"/>
        <v>8</v>
      </c>
      <c r="J20" s="152" t="s">
        <v>79</v>
      </c>
      <c r="K20" s="152" t="s">
        <v>80</v>
      </c>
      <c r="L20" s="152" t="s">
        <v>81</v>
      </c>
      <c r="M20" s="152" t="s">
        <v>82</v>
      </c>
      <c r="N20" s="152" t="s">
        <v>83</v>
      </c>
      <c r="O20" s="152" t="s">
        <v>84</v>
      </c>
    </row>
    <row r="21" spans="9:15" ht="28.9" customHeight="1" x14ac:dyDescent="0.25">
      <c r="I21" s="152">
        <f t="shared" si="0"/>
        <v>9</v>
      </c>
      <c r="J21" s="152" t="s">
        <v>85</v>
      </c>
      <c r="K21" s="152" t="s">
        <v>86</v>
      </c>
      <c r="L21" s="152" t="s">
        <v>87</v>
      </c>
      <c r="M21" s="152" t="s">
        <v>88</v>
      </c>
      <c r="N21" s="152" t="s">
        <v>89</v>
      </c>
      <c r="O21" s="152" t="s">
        <v>90</v>
      </c>
    </row>
    <row r="22" spans="9:15" ht="28.9" customHeight="1" x14ac:dyDescent="0.25">
      <c r="I22" s="152">
        <f t="shared" si="0"/>
        <v>10</v>
      </c>
      <c r="J22" s="152" t="s">
        <v>91</v>
      </c>
      <c r="K22" s="152" t="s">
        <v>92</v>
      </c>
      <c r="L22" s="152" t="s">
        <v>93</v>
      </c>
      <c r="M22" s="152" t="s">
        <v>94</v>
      </c>
      <c r="N22" s="152" t="s">
        <v>95</v>
      </c>
      <c r="O22" s="152" t="s">
        <v>96</v>
      </c>
    </row>
    <row r="23" spans="9:15" ht="28.9" customHeight="1" x14ac:dyDescent="0.25">
      <c r="I23" s="152">
        <f t="shared" si="0"/>
        <v>11</v>
      </c>
      <c r="J23" s="152" t="s">
        <v>97</v>
      </c>
      <c r="K23" s="152" t="s">
        <v>98</v>
      </c>
      <c r="L23" s="152" t="s">
        <v>99</v>
      </c>
      <c r="M23" s="152" t="s">
        <v>100</v>
      </c>
      <c r="N23" s="152" t="s">
        <v>101</v>
      </c>
      <c r="O23" s="152" t="s">
        <v>102</v>
      </c>
    </row>
    <row r="24" spans="9:15" ht="28.9" customHeight="1" x14ac:dyDescent="0.25">
      <c r="I24" s="152">
        <f t="shared" si="0"/>
        <v>12</v>
      </c>
      <c r="J24" s="152" t="s">
        <v>103</v>
      </c>
      <c r="K24" s="152" t="s">
        <v>104</v>
      </c>
      <c r="L24" s="152" t="s">
        <v>105</v>
      </c>
      <c r="M24" s="152" t="s">
        <v>106</v>
      </c>
      <c r="N24" s="152" t="s">
        <v>107</v>
      </c>
      <c r="O24" s="152" t="s">
        <v>108</v>
      </c>
    </row>
    <row r="25" spans="9:15" ht="28.9" customHeight="1" x14ac:dyDescent="0.25">
      <c r="I25" s="152">
        <f t="shared" si="0"/>
        <v>13</v>
      </c>
      <c r="J25" s="152" t="s">
        <v>109</v>
      </c>
      <c r="K25" s="152" t="s">
        <v>110</v>
      </c>
      <c r="L25" s="152" t="s">
        <v>111</v>
      </c>
      <c r="M25" s="152" t="s">
        <v>112</v>
      </c>
      <c r="N25" s="152" t="s">
        <v>113</v>
      </c>
      <c r="O25" s="152" t="s">
        <v>114</v>
      </c>
    </row>
    <row r="26" spans="9:15" ht="28.9" customHeight="1" x14ac:dyDescent="0.25">
      <c r="I26" s="152">
        <f t="shared" si="0"/>
        <v>14</v>
      </c>
      <c r="J26" s="152" t="s">
        <v>115</v>
      </c>
      <c r="K26" s="152" t="s">
        <v>116</v>
      </c>
      <c r="L26" s="152" t="s">
        <v>117</v>
      </c>
      <c r="M26" s="152" t="s">
        <v>118</v>
      </c>
      <c r="N26" s="152" t="s">
        <v>119</v>
      </c>
      <c r="O26" s="152" t="s">
        <v>120</v>
      </c>
    </row>
    <row r="27" spans="9:15" ht="28.9" customHeight="1" x14ac:dyDescent="0.25">
      <c r="I27" s="152">
        <f t="shared" si="0"/>
        <v>15</v>
      </c>
      <c r="J27" s="152" t="s">
        <v>121</v>
      </c>
      <c r="K27" s="152" t="s">
        <v>122</v>
      </c>
      <c r="L27" s="152" t="s">
        <v>123</v>
      </c>
      <c r="M27" s="152" t="s">
        <v>124</v>
      </c>
      <c r="N27" s="152" t="s">
        <v>125</v>
      </c>
      <c r="O27" s="152" t="s">
        <v>126</v>
      </c>
    </row>
    <row r="28" spans="9:15" ht="28.9" customHeight="1" x14ac:dyDescent="0.25">
      <c r="I28" s="152">
        <f t="shared" si="0"/>
        <v>16</v>
      </c>
      <c r="J28" s="152" t="s">
        <v>127</v>
      </c>
      <c r="K28" s="152" t="s">
        <v>128</v>
      </c>
      <c r="L28" s="152" t="s">
        <v>129</v>
      </c>
      <c r="M28" s="152" t="s">
        <v>130</v>
      </c>
      <c r="N28" s="152" t="s">
        <v>131</v>
      </c>
      <c r="O28" s="152" t="s">
        <v>102</v>
      </c>
    </row>
    <row r="29" spans="9:15" ht="28.9" customHeight="1" x14ac:dyDescent="0.25">
      <c r="I29" s="152">
        <f t="shared" si="0"/>
        <v>17</v>
      </c>
      <c r="J29" s="152" t="s">
        <v>132</v>
      </c>
      <c r="K29" s="152" t="s">
        <v>133</v>
      </c>
      <c r="L29" s="152" t="s">
        <v>134</v>
      </c>
      <c r="M29" s="152" t="s">
        <v>135</v>
      </c>
      <c r="N29" s="152" t="s">
        <v>136</v>
      </c>
      <c r="O29" s="152" t="s">
        <v>108</v>
      </c>
    </row>
    <row r="30" spans="9:15" ht="28.9" customHeight="1" x14ac:dyDescent="0.25">
      <c r="I30" s="152">
        <f t="shared" si="0"/>
        <v>18</v>
      </c>
      <c r="J30" s="152" t="s">
        <v>137</v>
      </c>
      <c r="K30" s="152" t="s">
        <v>138</v>
      </c>
      <c r="L30" s="152" t="s">
        <v>139</v>
      </c>
      <c r="M30" s="152" t="s">
        <v>140</v>
      </c>
      <c r="N30" s="152" t="s">
        <v>141</v>
      </c>
      <c r="O30" s="152" t="s">
        <v>142</v>
      </c>
    </row>
    <row r="31" spans="9:15" ht="28.9" customHeight="1" x14ac:dyDescent="0.25">
      <c r="I31" s="152">
        <f t="shared" si="0"/>
        <v>19</v>
      </c>
      <c r="J31" s="152" t="s">
        <v>143</v>
      </c>
      <c r="K31" s="152" t="s">
        <v>144</v>
      </c>
      <c r="L31" s="152" t="s">
        <v>145</v>
      </c>
      <c r="M31" s="152" t="s">
        <v>146</v>
      </c>
      <c r="N31" s="152" t="s">
        <v>147</v>
      </c>
      <c r="O31" s="152" t="s">
        <v>96</v>
      </c>
    </row>
    <row r="32" spans="9:15" ht="28.9" customHeight="1" x14ac:dyDescent="0.25">
      <c r="I32" s="152">
        <f t="shared" si="0"/>
        <v>20</v>
      </c>
      <c r="J32" s="152" t="s">
        <v>148</v>
      </c>
      <c r="K32" s="152" t="s">
        <v>149</v>
      </c>
      <c r="L32" s="152" t="s">
        <v>150</v>
      </c>
      <c r="M32" s="152" t="s">
        <v>151</v>
      </c>
      <c r="N32" s="152" t="s">
        <v>152</v>
      </c>
      <c r="O32" s="152" t="s">
        <v>78</v>
      </c>
    </row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  <row r="67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9">
    <tabColor rgb="FFFFC000"/>
  </sheetPr>
  <dimension ref="A1:AY66"/>
  <sheetViews>
    <sheetView zoomScale="40" zoomScaleNormal="40" workbookViewId="0">
      <selection activeCell="H36" sqref="H36"/>
    </sheetView>
  </sheetViews>
  <sheetFormatPr defaultColWidth="8.85546875" defaultRowHeight="15" x14ac:dyDescent="0.25"/>
  <cols>
    <col min="1" max="4" width="8.85546875" style="100"/>
    <col min="5" max="5" width="4.5703125" style="100" bestFit="1" customWidth="1"/>
    <col min="6" max="6" width="21.85546875" style="100" bestFit="1" customWidth="1"/>
    <col min="7" max="7" width="26" style="100" bestFit="1" customWidth="1"/>
    <col min="8" max="8" width="19.42578125" style="100" bestFit="1" customWidth="1"/>
    <col min="9" max="9" width="12.140625" style="100" bestFit="1" customWidth="1"/>
    <col min="10" max="10" width="12.7109375" style="100" bestFit="1" customWidth="1"/>
    <col min="11" max="11" width="5.7109375" style="100" bestFit="1" customWidth="1"/>
    <col min="12" max="12" width="31.7109375" style="100" bestFit="1" customWidth="1"/>
    <col min="13" max="13" width="26.5703125" style="100" bestFit="1" customWidth="1"/>
    <col min="14" max="14" width="44.28515625" style="100" bestFit="1" customWidth="1"/>
    <col min="15" max="15" width="28.7109375" style="100" bestFit="1" customWidth="1"/>
    <col min="16" max="16" width="32.7109375" style="100" bestFit="1" customWidth="1"/>
    <col min="17" max="17" width="37.28515625" style="100" bestFit="1" customWidth="1"/>
    <col min="18" max="18" width="30.42578125" style="100" bestFit="1" customWidth="1"/>
    <col min="19" max="16384" width="8.85546875" style="100"/>
  </cols>
  <sheetData>
    <row r="1" spans="1:51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x14ac:dyDescent="0.25">
      <c r="K13" s="151" t="s">
        <v>31</v>
      </c>
      <c r="L13" s="154" t="s">
        <v>153</v>
      </c>
      <c r="M13" s="154" t="s">
        <v>154</v>
      </c>
      <c r="N13" s="155" t="s">
        <v>155</v>
      </c>
      <c r="O13" s="154" t="s">
        <v>156</v>
      </c>
      <c r="P13" s="154" t="s">
        <v>157</v>
      </c>
      <c r="Q13" s="154" t="s">
        <v>158</v>
      </c>
      <c r="R13" s="154" t="s">
        <v>159</v>
      </c>
    </row>
    <row r="14" spans="1:51" ht="28.9" customHeight="1" x14ac:dyDescent="0.25">
      <c r="K14" s="152">
        <v>1</v>
      </c>
      <c r="L14" s="152" t="s">
        <v>160</v>
      </c>
      <c r="M14" s="152" t="s">
        <v>161</v>
      </c>
      <c r="N14" s="153">
        <v>10000</v>
      </c>
      <c r="O14" s="152" t="s">
        <v>162</v>
      </c>
      <c r="P14" s="152" t="s">
        <v>163</v>
      </c>
      <c r="Q14" s="152" t="s">
        <v>41</v>
      </c>
      <c r="R14" s="152" t="s">
        <v>164</v>
      </c>
    </row>
    <row r="15" spans="1:51" ht="28.9" customHeight="1" x14ac:dyDescent="0.25">
      <c r="K15" s="152">
        <f>K14+1</f>
        <v>2</v>
      </c>
      <c r="L15" s="152" t="s">
        <v>165</v>
      </c>
      <c r="M15" s="152" t="s">
        <v>166</v>
      </c>
      <c r="N15" s="153">
        <v>2000</v>
      </c>
      <c r="O15" s="152" t="s">
        <v>167</v>
      </c>
      <c r="P15" s="152" t="s">
        <v>168</v>
      </c>
      <c r="Q15" s="152" t="s">
        <v>169</v>
      </c>
      <c r="R15" s="152" t="s">
        <v>170</v>
      </c>
    </row>
    <row r="16" spans="1:51" ht="28.9" customHeight="1" x14ac:dyDescent="0.25">
      <c r="K16" s="152">
        <f t="shared" ref="K16:K33" si="0">K15+1</f>
        <v>3</v>
      </c>
      <c r="L16" s="152" t="s">
        <v>171</v>
      </c>
      <c r="M16" s="152" t="s">
        <v>161</v>
      </c>
      <c r="N16" s="153">
        <v>15000</v>
      </c>
      <c r="O16" s="152" t="s">
        <v>172</v>
      </c>
      <c r="P16" s="152" t="s">
        <v>173</v>
      </c>
      <c r="Q16" s="152" t="s">
        <v>174</v>
      </c>
      <c r="R16" s="152" t="s">
        <v>175</v>
      </c>
    </row>
    <row r="17" spans="11:18" ht="28.9" customHeight="1" x14ac:dyDescent="0.25">
      <c r="K17" s="152">
        <f t="shared" si="0"/>
        <v>4</v>
      </c>
      <c r="L17" s="152" t="s">
        <v>176</v>
      </c>
      <c r="M17" s="152" t="s">
        <v>177</v>
      </c>
      <c r="N17" s="153">
        <v>1200</v>
      </c>
      <c r="O17" s="152" t="s">
        <v>178</v>
      </c>
      <c r="P17" s="152" t="s">
        <v>179</v>
      </c>
      <c r="Q17" s="152" t="s">
        <v>58</v>
      </c>
      <c r="R17" s="152" t="s">
        <v>164</v>
      </c>
    </row>
    <row r="18" spans="11:18" ht="28.9" customHeight="1" x14ac:dyDescent="0.25">
      <c r="K18" s="152">
        <f t="shared" si="0"/>
        <v>5</v>
      </c>
      <c r="L18" s="152" t="s">
        <v>180</v>
      </c>
      <c r="M18" s="152" t="s">
        <v>161</v>
      </c>
      <c r="N18" s="153">
        <v>12500</v>
      </c>
      <c r="O18" s="152" t="s">
        <v>181</v>
      </c>
      <c r="P18" s="152" t="s">
        <v>61</v>
      </c>
      <c r="Q18" s="152" t="s">
        <v>182</v>
      </c>
      <c r="R18" s="152" t="s">
        <v>164</v>
      </c>
    </row>
    <row r="19" spans="11:18" ht="28.9" customHeight="1" x14ac:dyDescent="0.25">
      <c r="K19" s="152">
        <f t="shared" si="0"/>
        <v>6</v>
      </c>
      <c r="L19" s="152" t="s">
        <v>183</v>
      </c>
      <c r="M19" s="152" t="s">
        <v>161</v>
      </c>
      <c r="N19" s="153">
        <v>8000</v>
      </c>
      <c r="O19" s="152" t="s">
        <v>184</v>
      </c>
      <c r="P19" s="152" t="s">
        <v>185</v>
      </c>
      <c r="Q19" s="152" t="s">
        <v>186</v>
      </c>
      <c r="R19" s="152" t="s">
        <v>175</v>
      </c>
    </row>
    <row r="20" spans="11:18" ht="28.9" customHeight="1" x14ac:dyDescent="0.25">
      <c r="K20" s="152">
        <f t="shared" si="0"/>
        <v>7</v>
      </c>
      <c r="L20" s="152" t="s">
        <v>187</v>
      </c>
      <c r="M20" s="152" t="s">
        <v>166</v>
      </c>
      <c r="N20" s="153">
        <v>2500</v>
      </c>
      <c r="O20" s="152" t="s">
        <v>188</v>
      </c>
      <c r="P20" s="152" t="s">
        <v>189</v>
      </c>
      <c r="Q20" s="152" t="s">
        <v>190</v>
      </c>
      <c r="R20" s="152" t="s">
        <v>170</v>
      </c>
    </row>
    <row r="21" spans="11:18" ht="28.9" customHeight="1" x14ac:dyDescent="0.25">
      <c r="K21" s="152">
        <f t="shared" si="0"/>
        <v>8</v>
      </c>
      <c r="L21" s="152" t="s">
        <v>191</v>
      </c>
      <c r="M21" s="152" t="s">
        <v>177</v>
      </c>
      <c r="N21" s="153">
        <v>1800</v>
      </c>
      <c r="O21" s="152" t="s">
        <v>192</v>
      </c>
      <c r="P21" s="152" t="s">
        <v>193</v>
      </c>
      <c r="Q21" s="152" t="s">
        <v>82</v>
      </c>
      <c r="R21" s="152" t="s">
        <v>164</v>
      </c>
    </row>
    <row r="22" spans="11:18" ht="28.9" customHeight="1" x14ac:dyDescent="0.25">
      <c r="K22" s="152">
        <f t="shared" si="0"/>
        <v>9</v>
      </c>
      <c r="L22" s="152" t="s">
        <v>194</v>
      </c>
      <c r="M22" s="152" t="s">
        <v>161</v>
      </c>
      <c r="N22" s="153">
        <v>10500</v>
      </c>
      <c r="O22" s="152" t="s">
        <v>195</v>
      </c>
      <c r="P22" s="152" t="s">
        <v>85</v>
      </c>
      <c r="Q22" s="152" t="s">
        <v>88</v>
      </c>
      <c r="R22" s="152" t="s">
        <v>164</v>
      </c>
    </row>
    <row r="23" spans="11:18" ht="28.9" customHeight="1" x14ac:dyDescent="0.25">
      <c r="K23" s="152">
        <f t="shared" si="0"/>
        <v>10</v>
      </c>
      <c r="L23" s="152" t="s">
        <v>196</v>
      </c>
      <c r="M23" s="152" t="s">
        <v>166</v>
      </c>
      <c r="N23" s="153">
        <v>2200</v>
      </c>
      <c r="O23" s="152" t="s">
        <v>197</v>
      </c>
      <c r="P23" s="152" t="s">
        <v>198</v>
      </c>
      <c r="Q23" s="152" t="s">
        <v>94</v>
      </c>
      <c r="R23" s="152" t="s">
        <v>170</v>
      </c>
    </row>
    <row r="24" spans="11:18" ht="28.9" customHeight="1" x14ac:dyDescent="0.25">
      <c r="K24" s="152">
        <f t="shared" si="0"/>
        <v>11</v>
      </c>
      <c r="L24" s="152" t="s">
        <v>199</v>
      </c>
      <c r="M24" s="152" t="s">
        <v>161</v>
      </c>
      <c r="N24" s="153">
        <v>14000</v>
      </c>
      <c r="O24" s="152" t="s">
        <v>200</v>
      </c>
      <c r="P24" s="152" t="s">
        <v>97</v>
      </c>
      <c r="Q24" s="152" t="s">
        <v>100</v>
      </c>
      <c r="R24" s="152" t="s">
        <v>164</v>
      </c>
    </row>
    <row r="25" spans="11:18" ht="28.9" customHeight="1" x14ac:dyDescent="0.25">
      <c r="K25" s="152">
        <f t="shared" si="0"/>
        <v>12</v>
      </c>
      <c r="L25" s="152" t="s">
        <v>201</v>
      </c>
      <c r="M25" s="152" t="s">
        <v>177</v>
      </c>
      <c r="N25" s="153">
        <v>1000</v>
      </c>
      <c r="O25" s="152" t="s">
        <v>202</v>
      </c>
      <c r="P25" s="152" t="s">
        <v>203</v>
      </c>
      <c r="Q25" s="152" t="s">
        <v>106</v>
      </c>
      <c r="R25" s="152" t="s">
        <v>175</v>
      </c>
    </row>
    <row r="26" spans="11:18" ht="28.9" customHeight="1" x14ac:dyDescent="0.25">
      <c r="K26" s="152">
        <f t="shared" si="0"/>
        <v>13</v>
      </c>
      <c r="L26" s="152" t="s">
        <v>204</v>
      </c>
      <c r="M26" s="152" t="s">
        <v>161</v>
      </c>
      <c r="N26" s="153">
        <v>13000</v>
      </c>
      <c r="O26" s="152" t="s">
        <v>205</v>
      </c>
      <c r="P26" s="152" t="s">
        <v>109</v>
      </c>
      <c r="Q26" s="152" t="s">
        <v>112</v>
      </c>
      <c r="R26" s="152" t="s">
        <v>164</v>
      </c>
    </row>
    <row r="27" spans="11:18" ht="28.9" customHeight="1" x14ac:dyDescent="0.25">
      <c r="K27" s="152">
        <f t="shared" si="0"/>
        <v>14</v>
      </c>
      <c r="L27" s="152" t="s">
        <v>206</v>
      </c>
      <c r="M27" s="152" t="s">
        <v>166</v>
      </c>
      <c r="N27" s="153">
        <v>1900</v>
      </c>
      <c r="O27" s="152" t="s">
        <v>207</v>
      </c>
      <c r="P27" s="152" t="s">
        <v>115</v>
      </c>
      <c r="Q27" s="152" t="s">
        <v>118</v>
      </c>
      <c r="R27" s="152" t="s">
        <v>170</v>
      </c>
    </row>
    <row r="28" spans="11:18" ht="28.9" customHeight="1" x14ac:dyDescent="0.25">
      <c r="K28" s="152">
        <f t="shared" si="0"/>
        <v>15</v>
      </c>
      <c r="L28" s="152" t="s">
        <v>208</v>
      </c>
      <c r="M28" s="152" t="s">
        <v>161</v>
      </c>
      <c r="N28" s="153">
        <v>16000</v>
      </c>
      <c r="O28" s="152" t="s">
        <v>209</v>
      </c>
      <c r="P28" s="152" t="s">
        <v>121</v>
      </c>
      <c r="Q28" s="152" t="s">
        <v>124</v>
      </c>
      <c r="R28" s="152" t="s">
        <v>164</v>
      </c>
    </row>
    <row r="29" spans="11:18" ht="28.9" customHeight="1" x14ac:dyDescent="0.25">
      <c r="K29" s="152">
        <f t="shared" si="0"/>
        <v>16</v>
      </c>
      <c r="L29" s="152" t="s">
        <v>210</v>
      </c>
      <c r="M29" s="152" t="s">
        <v>177</v>
      </c>
      <c r="N29" s="153">
        <v>1500</v>
      </c>
      <c r="O29" s="152" t="s">
        <v>211</v>
      </c>
      <c r="P29" s="152" t="s">
        <v>127</v>
      </c>
      <c r="Q29" s="152" t="s">
        <v>130</v>
      </c>
      <c r="R29" s="152" t="s">
        <v>164</v>
      </c>
    </row>
    <row r="30" spans="11:18" ht="28.9" customHeight="1" x14ac:dyDescent="0.25">
      <c r="K30" s="152">
        <f t="shared" si="0"/>
        <v>17</v>
      </c>
      <c r="L30" s="152" t="s">
        <v>212</v>
      </c>
      <c r="M30" s="152" t="s">
        <v>166</v>
      </c>
      <c r="N30" s="153">
        <v>2300</v>
      </c>
      <c r="O30" s="152" t="s">
        <v>213</v>
      </c>
      <c r="P30" s="152" t="s">
        <v>132</v>
      </c>
      <c r="Q30" s="152" t="s">
        <v>135</v>
      </c>
      <c r="R30" s="152" t="s">
        <v>175</v>
      </c>
    </row>
    <row r="31" spans="11:18" ht="28.9" customHeight="1" x14ac:dyDescent="0.25">
      <c r="K31" s="152">
        <f t="shared" si="0"/>
        <v>18</v>
      </c>
      <c r="L31" s="152" t="s">
        <v>214</v>
      </c>
      <c r="M31" s="152" t="s">
        <v>161</v>
      </c>
      <c r="N31" s="153">
        <v>11000</v>
      </c>
      <c r="O31" s="152" t="s">
        <v>215</v>
      </c>
      <c r="P31" s="152" t="s">
        <v>137</v>
      </c>
      <c r="Q31" s="152" t="s">
        <v>140</v>
      </c>
      <c r="R31" s="152" t="s">
        <v>164</v>
      </c>
    </row>
    <row r="32" spans="11:18" ht="28.9" customHeight="1" x14ac:dyDescent="0.25">
      <c r="K32" s="152">
        <f t="shared" si="0"/>
        <v>19</v>
      </c>
      <c r="L32" s="152" t="s">
        <v>216</v>
      </c>
      <c r="M32" s="152" t="s">
        <v>166</v>
      </c>
      <c r="N32" s="153">
        <v>1700</v>
      </c>
      <c r="O32" s="152" t="s">
        <v>217</v>
      </c>
      <c r="P32" s="152" t="s">
        <v>143</v>
      </c>
      <c r="Q32" s="152" t="s">
        <v>146</v>
      </c>
      <c r="R32" s="152" t="s">
        <v>170</v>
      </c>
    </row>
    <row r="33" spans="11:18" ht="28.9" customHeight="1" x14ac:dyDescent="0.25">
      <c r="K33" s="152">
        <f t="shared" si="0"/>
        <v>20</v>
      </c>
      <c r="L33" s="152" t="s">
        <v>218</v>
      </c>
      <c r="M33" s="152" t="s">
        <v>177</v>
      </c>
      <c r="N33" s="153">
        <v>1300</v>
      </c>
      <c r="O33" s="152" t="s">
        <v>219</v>
      </c>
      <c r="P33" s="152" t="s">
        <v>148</v>
      </c>
      <c r="Q33" s="152" t="s">
        <v>151</v>
      </c>
      <c r="R33" s="152" t="s">
        <v>164</v>
      </c>
    </row>
    <row r="34" spans="11:18" ht="28.9" customHeight="1" x14ac:dyDescent="0.25"/>
    <row r="35" spans="11:18" ht="28.9" customHeight="1" x14ac:dyDescent="0.25"/>
    <row r="36" spans="11:18" ht="28.9" customHeight="1" x14ac:dyDescent="0.25"/>
    <row r="37" spans="11:18" ht="28.9" customHeight="1" x14ac:dyDescent="0.25"/>
    <row r="38" spans="11:18" ht="28.9" customHeight="1" x14ac:dyDescent="0.25"/>
    <row r="39" spans="11:18" ht="28.9" customHeight="1" x14ac:dyDescent="0.25"/>
    <row r="40" spans="11:18" ht="28.9" customHeight="1" x14ac:dyDescent="0.25"/>
    <row r="41" spans="11:18" ht="28.9" customHeight="1" x14ac:dyDescent="0.25"/>
    <row r="42" spans="11:18" ht="28.9" customHeight="1" x14ac:dyDescent="0.25"/>
    <row r="43" spans="11:18" ht="28.9" customHeight="1" x14ac:dyDescent="0.25"/>
    <row r="44" spans="11:18" ht="28.9" customHeight="1" x14ac:dyDescent="0.25"/>
    <row r="45" spans="11:18" ht="28.9" customHeight="1" x14ac:dyDescent="0.25"/>
    <row r="46" spans="11:18" ht="28.9" customHeight="1" x14ac:dyDescent="0.25"/>
    <row r="47" spans="11:18" ht="28.9" customHeight="1" x14ac:dyDescent="0.25"/>
    <row r="48" spans="11:1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0">
    <tabColor rgb="FFFFC000"/>
  </sheetPr>
  <dimension ref="A1:AY66"/>
  <sheetViews>
    <sheetView zoomScale="40" zoomScaleNormal="40" workbookViewId="0">
      <selection activeCell="AB22" sqref="AB22"/>
    </sheetView>
  </sheetViews>
  <sheetFormatPr defaultColWidth="8.85546875" defaultRowHeight="15" x14ac:dyDescent="0.25"/>
  <cols>
    <col min="1" max="4" width="8.85546875" style="100"/>
    <col min="5" max="5" width="4.5703125" style="100" bestFit="1" customWidth="1"/>
    <col min="6" max="6" width="21.85546875" style="100" bestFit="1" customWidth="1"/>
    <col min="7" max="7" width="26" style="100" bestFit="1" customWidth="1"/>
    <col min="8" max="8" width="19.42578125" style="100" bestFit="1" customWidth="1"/>
    <col min="9" max="9" width="12.140625" style="100" bestFit="1" customWidth="1"/>
    <col min="10" max="10" width="12.7109375" style="100" bestFit="1" customWidth="1"/>
    <col min="11" max="11" width="5.140625" style="100" bestFit="1" customWidth="1"/>
    <col min="12" max="12" width="27.7109375" style="100" bestFit="1" customWidth="1"/>
    <col min="13" max="13" width="24.28515625" style="100" bestFit="1" customWidth="1"/>
    <col min="14" max="14" width="29.85546875" style="100" bestFit="1" customWidth="1"/>
    <col min="15" max="15" width="52.28515625" style="100" bestFit="1" customWidth="1"/>
    <col min="16" max="16" width="27.7109375" style="100" bestFit="1" customWidth="1"/>
    <col min="17" max="17" width="20.42578125" style="100" bestFit="1" customWidth="1"/>
    <col min="18" max="18" width="36" style="100" bestFit="1" customWidth="1"/>
    <col min="19" max="19" width="31.5703125" style="100" bestFit="1" customWidth="1"/>
    <col min="20" max="16384" width="8.85546875" style="100"/>
  </cols>
  <sheetData>
    <row r="1" spans="1:51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x14ac:dyDescent="0.25">
      <c r="K13" s="151" t="s">
        <v>220</v>
      </c>
      <c r="L13" s="151" t="s">
        <v>221</v>
      </c>
      <c r="M13" s="155" t="s">
        <v>222</v>
      </c>
      <c r="N13" s="151" t="s">
        <v>32</v>
      </c>
      <c r="O13" s="151" t="s">
        <v>223</v>
      </c>
      <c r="P13" s="151" t="s">
        <v>224</v>
      </c>
      <c r="Q13" s="151" t="s">
        <v>225</v>
      </c>
      <c r="R13" s="151" t="s">
        <v>226</v>
      </c>
      <c r="S13" s="151" t="s">
        <v>227</v>
      </c>
    </row>
    <row r="14" spans="1:51" ht="28.9" customHeight="1" x14ac:dyDescent="0.25">
      <c r="K14" s="152">
        <v>1</v>
      </c>
      <c r="L14" s="156">
        <v>45604</v>
      </c>
      <c r="M14" s="157">
        <v>0.33333333333333331</v>
      </c>
      <c r="N14" s="152" t="s">
        <v>38</v>
      </c>
      <c r="O14" s="152" t="s">
        <v>228</v>
      </c>
      <c r="P14" s="152" t="s">
        <v>229</v>
      </c>
      <c r="Q14" s="152">
        <v>10</v>
      </c>
      <c r="R14" s="152" t="s">
        <v>161</v>
      </c>
      <c r="S14" s="152" t="s">
        <v>230</v>
      </c>
    </row>
    <row r="15" spans="1:51" ht="28.9" customHeight="1" x14ac:dyDescent="0.25">
      <c r="K15" s="152">
        <f>K14+1</f>
        <v>2</v>
      </c>
      <c r="L15" s="156">
        <v>45604</v>
      </c>
      <c r="M15" s="157">
        <v>0.39583333333333331</v>
      </c>
      <c r="N15" s="152" t="s">
        <v>44</v>
      </c>
      <c r="O15" s="152" t="s">
        <v>231</v>
      </c>
      <c r="P15" s="152" t="s">
        <v>232</v>
      </c>
      <c r="Q15" s="152">
        <v>2</v>
      </c>
      <c r="R15" s="152" t="s">
        <v>166</v>
      </c>
      <c r="S15" s="152" t="s">
        <v>233</v>
      </c>
    </row>
    <row r="16" spans="1:51" ht="28.9" customHeight="1" x14ac:dyDescent="0.25">
      <c r="K16" s="152">
        <f t="shared" ref="K16:K33" si="0">K15+1</f>
        <v>3</v>
      </c>
      <c r="L16" s="156">
        <v>45604</v>
      </c>
      <c r="M16" s="157">
        <v>0.32291666666666669</v>
      </c>
      <c r="N16" s="152" t="s">
        <v>49</v>
      </c>
      <c r="O16" s="152" t="s">
        <v>234</v>
      </c>
      <c r="P16" s="152" t="s">
        <v>235</v>
      </c>
      <c r="Q16" s="152">
        <v>50</v>
      </c>
      <c r="R16" s="152" t="s">
        <v>177</v>
      </c>
      <c r="S16" s="152" t="s">
        <v>230</v>
      </c>
    </row>
    <row r="17" spans="11:19" ht="28.9" customHeight="1" x14ac:dyDescent="0.25">
      <c r="K17" s="152">
        <f t="shared" si="0"/>
        <v>4</v>
      </c>
      <c r="L17" s="156">
        <v>45604</v>
      </c>
      <c r="M17" s="157">
        <v>0.41666666666666669</v>
      </c>
      <c r="N17" s="152" t="s">
        <v>55</v>
      </c>
      <c r="O17" s="152" t="s">
        <v>236</v>
      </c>
      <c r="P17" s="152" t="s">
        <v>237</v>
      </c>
      <c r="Q17" s="152">
        <v>15</v>
      </c>
      <c r="R17" s="152" t="s">
        <v>161</v>
      </c>
      <c r="S17" s="152" t="s">
        <v>230</v>
      </c>
    </row>
    <row r="18" spans="11:19" ht="28.9" customHeight="1" x14ac:dyDescent="0.25">
      <c r="K18" s="152">
        <f t="shared" si="0"/>
        <v>5</v>
      </c>
      <c r="L18" s="156">
        <v>45604</v>
      </c>
      <c r="M18" s="157">
        <v>0.34375</v>
      </c>
      <c r="N18" s="152" t="s">
        <v>61</v>
      </c>
      <c r="O18" s="152" t="s">
        <v>238</v>
      </c>
      <c r="P18" s="152" t="s">
        <v>229</v>
      </c>
      <c r="Q18" s="152">
        <v>100</v>
      </c>
      <c r="R18" s="152" t="s">
        <v>161</v>
      </c>
      <c r="S18" s="152" t="s">
        <v>239</v>
      </c>
    </row>
    <row r="19" spans="11:19" ht="28.9" customHeight="1" x14ac:dyDescent="0.25">
      <c r="K19" s="152">
        <f t="shared" si="0"/>
        <v>6</v>
      </c>
      <c r="L19" s="156">
        <v>45604</v>
      </c>
      <c r="M19" s="157">
        <v>0.375</v>
      </c>
      <c r="N19" s="152" t="s">
        <v>67</v>
      </c>
      <c r="O19" s="152" t="s">
        <v>240</v>
      </c>
      <c r="P19" s="152" t="s">
        <v>232</v>
      </c>
      <c r="Q19" s="152">
        <v>200</v>
      </c>
      <c r="R19" s="152" t="s">
        <v>166</v>
      </c>
      <c r="S19" s="152" t="s">
        <v>230</v>
      </c>
    </row>
    <row r="20" spans="11:19" ht="28.9" customHeight="1" x14ac:dyDescent="0.25">
      <c r="K20" s="152">
        <f t="shared" si="0"/>
        <v>7</v>
      </c>
      <c r="L20" s="156">
        <v>45604</v>
      </c>
      <c r="M20" s="157">
        <v>0.45833333333333331</v>
      </c>
      <c r="N20" s="152" t="s">
        <v>73</v>
      </c>
      <c r="O20" s="152" t="s">
        <v>241</v>
      </c>
      <c r="P20" s="152" t="s">
        <v>235</v>
      </c>
      <c r="Q20" s="152">
        <v>30</v>
      </c>
      <c r="R20" s="152" t="s">
        <v>177</v>
      </c>
      <c r="S20" s="152" t="s">
        <v>233</v>
      </c>
    </row>
    <row r="21" spans="11:19" ht="28.9" customHeight="1" x14ac:dyDescent="0.25">
      <c r="K21" s="152">
        <f t="shared" si="0"/>
        <v>8</v>
      </c>
      <c r="L21" s="156">
        <v>45604</v>
      </c>
      <c r="M21" s="157">
        <v>0.3125</v>
      </c>
      <c r="N21" s="152" t="s">
        <v>79</v>
      </c>
      <c r="O21" s="152" t="s">
        <v>242</v>
      </c>
      <c r="P21" s="152" t="s">
        <v>237</v>
      </c>
      <c r="Q21" s="152">
        <v>20</v>
      </c>
      <c r="R21" s="152" t="s">
        <v>161</v>
      </c>
      <c r="S21" s="152" t="s">
        <v>230</v>
      </c>
    </row>
    <row r="22" spans="11:19" ht="28.9" customHeight="1" x14ac:dyDescent="0.25">
      <c r="K22" s="152">
        <f t="shared" si="0"/>
        <v>9</v>
      </c>
      <c r="L22" s="156">
        <v>45604</v>
      </c>
      <c r="M22" s="157">
        <v>0.40625</v>
      </c>
      <c r="N22" s="152" t="s">
        <v>85</v>
      </c>
      <c r="O22" s="152" t="s">
        <v>243</v>
      </c>
      <c r="P22" s="152" t="s">
        <v>229</v>
      </c>
      <c r="Q22" s="152">
        <v>500</v>
      </c>
      <c r="R22" s="152" t="s">
        <v>161</v>
      </c>
      <c r="S22" s="152" t="s">
        <v>230</v>
      </c>
    </row>
    <row r="23" spans="11:19" ht="28.9" customHeight="1" x14ac:dyDescent="0.25">
      <c r="K23" s="152">
        <f t="shared" si="0"/>
        <v>10</v>
      </c>
      <c r="L23" s="156">
        <v>45604</v>
      </c>
      <c r="M23" s="157">
        <v>0.42708333333333331</v>
      </c>
      <c r="N23" s="152" t="s">
        <v>91</v>
      </c>
      <c r="O23" s="152" t="s">
        <v>244</v>
      </c>
      <c r="P23" s="152" t="s">
        <v>232</v>
      </c>
      <c r="Q23" s="152">
        <v>5</v>
      </c>
      <c r="R23" s="152" t="s">
        <v>166</v>
      </c>
      <c r="S23" s="152" t="s">
        <v>239</v>
      </c>
    </row>
    <row r="24" spans="11:19" ht="28.9" customHeight="1" x14ac:dyDescent="0.25">
      <c r="K24" s="152">
        <f t="shared" si="0"/>
        <v>11</v>
      </c>
      <c r="L24" s="156">
        <v>45604</v>
      </c>
      <c r="M24" s="157">
        <v>0.47916666666666669</v>
      </c>
      <c r="N24" s="152" t="s">
        <v>97</v>
      </c>
      <c r="O24" s="152" t="s">
        <v>245</v>
      </c>
      <c r="P24" s="152" t="s">
        <v>235</v>
      </c>
      <c r="Q24" s="152">
        <v>40</v>
      </c>
      <c r="R24" s="152" t="s">
        <v>161</v>
      </c>
      <c r="S24" s="152" t="s">
        <v>230</v>
      </c>
    </row>
    <row r="25" spans="11:19" ht="28.9" customHeight="1" x14ac:dyDescent="0.25">
      <c r="K25" s="152">
        <f t="shared" si="0"/>
        <v>12</v>
      </c>
      <c r="L25" s="156">
        <v>45604</v>
      </c>
      <c r="M25" s="157">
        <v>0.36458333333333331</v>
      </c>
      <c r="N25" s="152" t="s">
        <v>103</v>
      </c>
      <c r="O25" s="152" t="s">
        <v>246</v>
      </c>
      <c r="P25" s="152" t="s">
        <v>237</v>
      </c>
      <c r="Q25" s="152">
        <v>80</v>
      </c>
      <c r="R25" s="152" t="s">
        <v>177</v>
      </c>
      <c r="S25" s="152" t="s">
        <v>233</v>
      </c>
    </row>
    <row r="26" spans="11:19" ht="28.9" customHeight="1" x14ac:dyDescent="0.25">
      <c r="K26" s="152">
        <f t="shared" si="0"/>
        <v>13</v>
      </c>
      <c r="L26" s="156">
        <v>45604</v>
      </c>
      <c r="M26" s="157">
        <v>0.38541666666666669</v>
      </c>
      <c r="N26" s="152" t="s">
        <v>109</v>
      </c>
      <c r="O26" s="152" t="s">
        <v>247</v>
      </c>
      <c r="P26" s="152" t="s">
        <v>229</v>
      </c>
      <c r="Q26" s="152">
        <v>20</v>
      </c>
      <c r="R26" s="152" t="s">
        <v>161</v>
      </c>
      <c r="S26" s="152" t="s">
        <v>230</v>
      </c>
    </row>
    <row r="27" spans="11:19" ht="28.9" customHeight="1" x14ac:dyDescent="0.25">
      <c r="K27" s="152">
        <f t="shared" si="0"/>
        <v>14</v>
      </c>
      <c r="L27" s="156">
        <v>45604</v>
      </c>
      <c r="M27" s="157">
        <v>0.29166666666666669</v>
      </c>
      <c r="N27" s="152" t="s">
        <v>115</v>
      </c>
      <c r="O27" s="152" t="s">
        <v>248</v>
      </c>
      <c r="P27" s="152" t="s">
        <v>232</v>
      </c>
      <c r="Q27" s="152">
        <v>35</v>
      </c>
      <c r="R27" s="152" t="s">
        <v>166</v>
      </c>
      <c r="S27" s="152" t="s">
        <v>230</v>
      </c>
    </row>
    <row r="28" spans="11:19" ht="28.9" customHeight="1" x14ac:dyDescent="0.25">
      <c r="K28" s="152">
        <f t="shared" si="0"/>
        <v>15</v>
      </c>
      <c r="L28" s="156">
        <v>45604</v>
      </c>
      <c r="M28" s="157">
        <v>0.4375</v>
      </c>
      <c r="N28" s="152" t="s">
        <v>121</v>
      </c>
      <c r="O28" s="152" t="s">
        <v>249</v>
      </c>
      <c r="P28" s="152" t="s">
        <v>235</v>
      </c>
      <c r="Q28" s="152">
        <v>300</v>
      </c>
      <c r="R28" s="152" t="s">
        <v>161</v>
      </c>
      <c r="S28" s="152" t="s">
        <v>239</v>
      </c>
    </row>
    <row r="29" spans="11:19" ht="28.9" customHeight="1" x14ac:dyDescent="0.25">
      <c r="K29" s="152">
        <f t="shared" si="0"/>
        <v>16</v>
      </c>
      <c r="L29" s="156">
        <v>45604</v>
      </c>
      <c r="M29" s="157">
        <v>0.40972222222222221</v>
      </c>
      <c r="N29" s="152" t="s">
        <v>127</v>
      </c>
      <c r="O29" s="152" t="s">
        <v>250</v>
      </c>
      <c r="P29" s="152" t="s">
        <v>237</v>
      </c>
      <c r="Q29" s="152">
        <v>60</v>
      </c>
      <c r="R29" s="152" t="s">
        <v>177</v>
      </c>
      <c r="S29" s="152" t="s">
        <v>230</v>
      </c>
    </row>
    <row r="30" spans="11:19" ht="28.9" customHeight="1" x14ac:dyDescent="0.25">
      <c r="K30" s="152">
        <f t="shared" si="0"/>
        <v>17</v>
      </c>
      <c r="L30" s="156">
        <v>45604</v>
      </c>
      <c r="M30" s="157">
        <v>0.34722222222222221</v>
      </c>
      <c r="N30" s="152" t="s">
        <v>132</v>
      </c>
      <c r="O30" s="152" t="s">
        <v>251</v>
      </c>
      <c r="P30" s="152" t="s">
        <v>229</v>
      </c>
      <c r="Q30" s="152">
        <v>15</v>
      </c>
      <c r="R30" s="152" t="s">
        <v>166</v>
      </c>
      <c r="S30" s="152" t="s">
        <v>233</v>
      </c>
    </row>
    <row r="31" spans="11:19" ht="28.9" customHeight="1" x14ac:dyDescent="0.25">
      <c r="K31" s="152">
        <f t="shared" si="0"/>
        <v>18</v>
      </c>
      <c r="L31" s="156">
        <v>45604</v>
      </c>
      <c r="M31" s="157">
        <v>0.48958333333333331</v>
      </c>
      <c r="N31" s="152" t="s">
        <v>137</v>
      </c>
      <c r="O31" s="152" t="s">
        <v>252</v>
      </c>
      <c r="P31" s="152" t="s">
        <v>232</v>
      </c>
      <c r="Q31" s="152">
        <v>70</v>
      </c>
      <c r="R31" s="152" t="s">
        <v>161</v>
      </c>
      <c r="S31" s="152" t="s">
        <v>230</v>
      </c>
    </row>
    <row r="32" spans="11:19" ht="28.9" customHeight="1" x14ac:dyDescent="0.25">
      <c r="K32" s="152">
        <f t="shared" si="0"/>
        <v>19</v>
      </c>
      <c r="L32" s="156">
        <v>45604</v>
      </c>
      <c r="M32" s="157">
        <v>0.38194444444444442</v>
      </c>
      <c r="N32" s="152" t="s">
        <v>143</v>
      </c>
      <c r="O32" s="152" t="s">
        <v>253</v>
      </c>
      <c r="P32" s="152" t="s">
        <v>235</v>
      </c>
      <c r="Q32" s="152">
        <v>120</v>
      </c>
      <c r="R32" s="152" t="s">
        <v>166</v>
      </c>
      <c r="S32" s="152" t="s">
        <v>230</v>
      </c>
    </row>
    <row r="33" spans="11:19" ht="28.9" customHeight="1" x14ac:dyDescent="0.25">
      <c r="K33" s="152">
        <f t="shared" si="0"/>
        <v>20</v>
      </c>
      <c r="L33" s="156">
        <v>45604</v>
      </c>
      <c r="M33" s="157">
        <v>0.44444444444444442</v>
      </c>
      <c r="N33" s="152" t="s">
        <v>148</v>
      </c>
      <c r="O33" s="152" t="s">
        <v>254</v>
      </c>
      <c r="P33" s="152" t="s">
        <v>237</v>
      </c>
      <c r="Q33" s="152">
        <v>25</v>
      </c>
      <c r="R33" s="152" t="s">
        <v>177</v>
      </c>
      <c r="S33" s="152" t="s">
        <v>230</v>
      </c>
    </row>
    <row r="34" spans="11:19" ht="28.9" customHeight="1" x14ac:dyDescent="0.25"/>
    <row r="35" spans="11:19" ht="28.9" customHeight="1" x14ac:dyDescent="0.25"/>
    <row r="36" spans="11:19" ht="28.9" customHeight="1" x14ac:dyDescent="0.25"/>
    <row r="37" spans="11:19" ht="28.9" customHeight="1" x14ac:dyDescent="0.25"/>
    <row r="38" spans="11:19" ht="28.9" customHeight="1" x14ac:dyDescent="0.25"/>
    <row r="39" spans="11:19" ht="28.9" customHeight="1" x14ac:dyDescent="0.25"/>
    <row r="40" spans="11:19" ht="28.9" customHeight="1" x14ac:dyDescent="0.25"/>
    <row r="41" spans="11:19" ht="28.9" customHeight="1" x14ac:dyDescent="0.25"/>
    <row r="42" spans="11:19" ht="28.9" customHeight="1" x14ac:dyDescent="0.25"/>
    <row r="43" spans="11:19" ht="28.9" customHeight="1" x14ac:dyDescent="0.25"/>
    <row r="44" spans="11:19" ht="28.9" customHeight="1" x14ac:dyDescent="0.25"/>
    <row r="45" spans="11:19" ht="28.9" customHeight="1" x14ac:dyDescent="0.25"/>
    <row r="46" spans="11:19" ht="28.9" customHeight="1" x14ac:dyDescent="0.25"/>
    <row r="47" spans="11:19" ht="28.9" customHeight="1" x14ac:dyDescent="0.25"/>
    <row r="48" spans="11:19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1">
    <tabColor rgb="FFFFC000"/>
  </sheetPr>
  <dimension ref="A1:AY66"/>
  <sheetViews>
    <sheetView zoomScale="40" zoomScaleNormal="40" workbookViewId="0">
      <selection activeCell="T26" sqref="T26"/>
    </sheetView>
  </sheetViews>
  <sheetFormatPr defaultColWidth="8.85546875" defaultRowHeight="15" x14ac:dyDescent="0.25"/>
  <cols>
    <col min="1" max="4" width="8.85546875" style="100"/>
    <col min="5" max="5" width="4.5703125" style="100" bestFit="1" customWidth="1"/>
    <col min="6" max="6" width="21.85546875" style="100" bestFit="1" customWidth="1"/>
    <col min="7" max="7" width="26" style="100" bestFit="1" customWidth="1"/>
    <col min="8" max="8" width="19.42578125" style="100" bestFit="1" customWidth="1"/>
    <col min="9" max="9" width="12.140625" style="100" bestFit="1" customWidth="1"/>
    <col min="10" max="10" width="12.7109375" style="100" bestFit="1" customWidth="1"/>
    <col min="11" max="11" width="5.42578125" style="100" bestFit="1" customWidth="1"/>
    <col min="12" max="12" width="25.42578125" style="100" customWidth="1"/>
    <col min="13" max="13" width="26.28515625" style="100" customWidth="1"/>
    <col min="14" max="14" width="25.42578125" style="100" customWidth="1"/>
    <col min="15" max="15" width="24.28515625" style="100" customWidth="1"/>
    <col min="16" max="16" width="45.42578125" style="100" bestFit="1" customWidth="1"/>
    <col min="17" max="17" width="20.42578125" style="100" bestFit="1" customWidth="1"/>
    <col min="18" max="18" width="36" style="100" bestFit="1" customWidth="1"/>
    <col min="19" max="19" width="31.5703125" style="100" bestFit="1" customWidth="1"/>
    <col min="20" max="16384" width="8.85546875" style="100"/>
  </cols>
  <sheetData>
    <row r="1" spans="1:51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x14ac:dyDescent="0.25">
      <c r="K13" s="154" t="s">
        <v>220</v>
      </c>
      <c r="L13" s="154" t="s">
        <v>255</v>
      </c>
      <c r="M13" s="154" t="s">
        <v>256</v>
      </c>
      <c r="N13" s="154" t="s">
        <v>257</v>
      </c>
      <c r="O13" s="154" t="s">
        <v>258</v>
      </c>
      <c r="P13" s="154" t="s">
        <v>259</v>
      </c>
    </row>
    <row r="14" spans="1:51" ht="28.9" customHeight="1" x14ac:dyDescent="0.25">
      <c r="K14" s="152">
        <v>1</v>
      </c>
      <c r="L14" s="158">
        <v>50</v>
      </c>
      <c r="M14" s="153">
        <v>1000</v>
      </c>
      <c r="N14" s="159">
        <f>L14*M14</f>
        <v>50000</v>
      </c>
      <c r="O14" s="159">
        <f>L14*M14+N14</f>
        <v>100000</v>
      </c>
      <c r="P14" s="152" t="s">
        <v>260</v>
      </c>
    </row>
    <row r="15" spans="1:51" ht="28.9" customHeight="1" x14ac:dyDescent="0.25">
      <c r="K15" s="152">
        <f>K14+1</f>
        <v>2</v>
      </c>
      <c r="L15" s="158">
        <v>120</v>
      </c>
      <c r="M15" s="152">
        <v>800</v>
      </c>
      <c r="N15" s="159">
        <v>400</v>
      </c>
      <c r="O15" s="159">
        <v>600</v>
      </c>
      <c r="P15" s="152" t="s">
        <v>261</v>
      </c>
    </row>
    <row r="16" spans="1:51" ht="28.9" customHeight="1" x14ac:dyDescent="0.25">
      <c r="K16" s="152">
        <f t="shared" ref="K16:K33" si="0">K15+1</f>
        <v>3</v>
      </c>
      <c r="L16" s="158">
        <v>30</v>
      </c>
      <c r="M16" s="152">
        <v>500</v>
      </c>
      <c r="N16" s="159">
        <v>250</v>
      </c>
      <c r="O16" s="159">
        <v>400</v>
      </c>
      <c r="P16" s="152" t="s">
        <v>262</v>
      </c>
    </row>
    <row r="17" spans="11:16" ht="28.9" customHeight="1" x14ac:dyDescent="0.25">
      <c r="K17" s="152">
        <f t="shared" si="0"/>
        <v>4</v>
      </c>
      <c r="L17" s="158">
        <v>200</v>
      </c>
      <c r="M17" s="153">
        <v>1200</v>
      </c>
      <c r="N17" s="159">
        <v>600</v>
      </c>
      <c r="O17" s="159">
        <v>900</v>
      </c>
      <c r="P17" s="152" t="s">
        <v>263</v>
      </c>
    </row>
    <row r="18" spans="11:16" ht="28.9" customHeight="1" x14ac:dyDescent="0.25">
      <c r="K18" s="152">
        <f t="shared" si="0"/>
        <v>5</v>
      </c>
      <c r="L18" s="158">
        <v>15</v>
      </c>
      <c r="M18" s="153">
        <v>2000</v>
      </c>
      <c r="N18" s="159">
        <v>700</v>
      </c>
      <c r="O18" s="159">
        <v>1000</v>
      </c>
      <c r="P18" s="152" t="s">
        <v>264</v>
      </c>
    </row>
    <row r="19" spans="11:16" ht="28.9" customHeight="1" x14ac:dyDescent="0.25">
      <c r="K19" s="152">
        <f t="shared" si="0"/>
        <v>6</v>
      </c>
      <c r="L19" s="158">
        <v>80</v>
      </c>
      <c r="M19" s="153">
        <v>1500</v>
      </c>
      <c r="N19" s="159">
        <v>500</v>
      </c>
      <c r="O19" s="159">
        <v>800</v>
      </c>
      <c r="P19" s="152" t="s">
        <v>265</v>
      </c>
    </row>
    <row r="20" spans="11:16" ht="28.9" customHeight="1" x14ac:dyDescent="0.25">
      <c r="K20" s="152">
        <f t="shared" si="0"/>
        <v>7</v>
      </c>
      <c r="L20" s="158">
        <v>60</v>
      </c>
      <c r="M20" s="152">
        <v>400</v>
      </c>
      <c r="N20" s="159">
        <v>200</v>
      </c>
      <c r="O20" s="159">
        <v>300</v>
      </c>
      <c r="P20" s="152" t="s">
        <v>266</v>
      </c>
    </row>
    <row r="21" spans="11:16" ht="28.9" customHeight="1" x14ac:dyDescent="0.25">
      <c r="K21" s="152">
        <f t="shared" si="0"/>
        <v>8</v>
      </c>
      <c r="L21" s="158">
        <v>180</v>
      </c>
      <c r="M21" s="153">
        <v>2500</v>
      </c>
      <c r="N21" s="159">
        <v>800</v>
      </c>
      <c r="O21" s="159">
        <v>1200</v>
      </c>
      <c r="P21" s="152" t="s">
        <v>267</v>
      </c>
    </row>
    <row r="22" spans="11:16" ht="28.9" customHeight="1" x14ac:dyDescent="0.25">
      <c r="K22" s="152">
        <f t="shared" si="0"/>
        <v>9</v>
      </c>
      <c r="L22" s="158">
        <v>90</v>
      </c>
      <c r="M22" s="153">
        <v>1800</v>
      </c>
      <c r="N22" s="159">
        <v>550</v>
      </c>
      <c r="O22" s="159">
        <v>850</v>
      </c>
      <c r="P22" s="152" t="s">
        <v>268</v>
      </c>
    </row>
    <row r="23" spans="11:16" ht="28.9" customHeight="1" x14ac:dyDescent="0.25">
      <c r="K23" s="152">
        <f t="shared" si="0"/>
        <v>10</v>
      </c>
      <c r="L23" s="158">
        <v>40</v>
      </c>
      <c r="M23" s="152">
        <v>600</v>
      </c>
      <c r="N23" s="159">
        <v>300</v>
      </c>
      <c r="O23" s="159">
        <v>500</v>
      </c>
      <c r="P23" s="152" t="s">
        <v>269</v>
      </c>
    </row>
    <row r="24" spans="11:16" ht="28.9" customHeight="1" x14ac:dyDescent="0.25">
      <c r="K24" s="152">
        <f t="shared" si="0"/>
        <v>11</v>
      </c>
      <c r="L24" s="158">
        <v>150</v>
      </c>
      <c r="M24" s="153">
        <v>1000</v>
      </c>
      <c r="N24" s="159">
        <v>600</v>
      </c>
      <c r="O24" s="159">
        <v>950</v>
      </c>
      <c r="P24" s="152" t="s">
        <v>270</v>
      </c>
    </row>
    <row r="25" spans="11:16" ht="28.9" customHeight="1" x14ac:dyDescent="0.25">
      <c r="K25" s="152">
        <f t="shared" si="0"/>
        <v>12</v>
      </c>
      <c r="L25" s="158">
        <v>20</v>
      </c>
      <c r="M25" s="152">
        <v>700</v>
      </c>
      <c r="N25" s="159">
        <v>250</v>
      </c>
      <c r="O25" s="159">
        <v>400</v>
      </c>
      <c r="P25" s="152" t="s">
        <v>271</v>
      </c>
    </row>
    <row r="26" spans="11:16" ht="28.9" customHeight="1" x14ac:dyDescent="0.25">
      <c r="K26" s="152">
        <f t="shared" si="0"/>
        <v>13</v>
      </c>
      <c r="L26" s="158">
        <v>170</v>
      </c>
      <c r="M26" s="153">
        <v>2000</v>
      </c>
      <c r="N26" s="159">
        <v>750</v>
      </c>
      <c r="O26" s="159">
        <v>1150</v>
      </c>
      <c r="P26" s="152" t="s">
        <v>272</v>
      </c>
    </row>
    <row r="27" spans="11:16" ht="28.9" customHeight="1" x14ac:dyDescent="0.25">
      <c r="K27" s="152">
        <f t="shared" si="0"/>
        <v>14</v>
      </c>
      <c r="L27" s="158">
        <v>35</v>
      </c>
      <c r="M27" s="152">
        <v>900</v>
      </c>
      <c r="N27" s="159">
        <v>350</v>
      </c>
      <c r="O27" s="159">
        <v>550</v>
      </c>
      <c r="P27" s="152" t="s">
        <v>273</v>
      </c>
    </row>
    <row r="28" spans="11:16" ht="28.9" customHeight="1" x14ac:dyDescent="0.25">
      <c r="K28" s="152">
        <f t="shared" si="0"/>
        <v>15</v>
      </c>
      <c r="L28" s="158">
        <v>220</v>
      </c>
      <c r="M28" s="153">
        <v>2500</v>
      </c>
      <c r="N28" s="159">
        <v>900</v>
      </c>
      <c r="O28" s="159">
        <v>1400</v>
      </c>
      <c r="P28" s="152" t="s">
        <v>274</v>
      </c>
    </row>
    <row r="29" spans="11:16" ht="28.9" customHeight="1" x14ac:dyDescent="0.25">
      <c r="K29" s="152">
        <f t="shared" si="0"/>
        <v>16</v>
      </c>
      <c r="L29" s="158">
        <v>110</v>
      </c>
      <c r="M29" s="153">
        <v>1100</v>
      </c>
      <c r="N29" s="159">
        <v>450</v>
      </c>
      <c r="O29" s="159">
        <v>700</v>
      </c>
      <c r="P29" s="152" t="s">
        <v>275</v>
      </c>
    </row>
    <row r="30" spans="11:16" ht="28.9" customHeight="1" x14ac:dyDescent="0.25">
      <c r="K30" s="152">
        <f t="shared" si="0"/>
        <v>17</v>
      </c>
      <c r="L30" s="158">
        <v>75</v>
      </c>
      <c r="M30" s="153">
        <v>1300</v>
      </c>
      <c r="N30" s="159">
        <v>500</v>
      </c>
      <c r="O30" s="159">
        <v>750</v>
      </c>
      <c r="P30" s="152" t="s">
        <v>276</v>
      </c>
    </row>
    <row r="31" spans="11:16" ht="28.9" customHeight="1" x14ac:dyDescent="0.25">
      <c r="K31" s="152">
        <f t="shared" si="0"/>
        <v>18</v>
      </c>
      <c r="L31" s="158">
        <v>25</v>
      </c>
      <c r="M31" s="152">
        <v>950</v>
      </c>
      <c r="N31" s="159">
        <v>300</v>
      </c>
      <c r="O31" s="159">
        <v>450</v>
      </c>
      <c r="P31" s="152" t="s">
        <v>277</v>
      </c>
    </row>
    <row r="32" spans="11:16" ht="28.9" customHeight="1" x14ac:dyDescent="0.25">
      <c r="K32" s="152">
        <f t="shared" si="0"/>
        <v>19</v>
      </c>
      <c r="L32" s="158">
        <v>140</v>
      </c>
      <c r="M32" s="153">
        <v>1600</v>
      </c>
      <c r="N32" s="159">
        <v>650</v>
      </c>
      <c r="O32" s="159">
        <v>1000</v>
      </c>
      <c r="P32" s="152" t="s">
        <v>278</v>
      </c>
    </row>
    <row r="33" spans="11:16" ht="28.9" customHeight="1" x14ac:dyDescent="0.25">
      <c r="K33" s="152">
        <f t="shared" si="0"/>
        <v>20</v>
      </c>
      <c r="L33" s="158">
        <v>50</v>
      </c>
      <c r="M33" s="152">
        <v>850</v>
      </c>
      <c r="N33" s="159">
        <v>350</v>
      </c>
      <c r="O33" s="159">
        <v>550</v>
      </c>
      <c r="P33" s="152" t="s">
        <v>279</v>
      </c>
    </row>
    <row r="34" spans="11:16" ht="28.9" customHeight="1" x14ac:dyDescent="0.25"/>
    <row r="35" spans="11:16" ht="28.9" customHeight="1" x14ac:dyDescent="0.25"/>
    <row r="36" spans="11:16" ht="28.9" customHeight="1" x14ac:dyDescent="0.25"/>
    <row r="37" spans="11:16" ht="28.9" customHeight="1" x14ac:dyDescent="0.25"/>
    <row r="38" spans="11:16" ht="28.9" customHeight="1" x14ac:dyDescent="0.25"/>
    <row r="39" spans="11:16" ht="28.9" customHeight="1" x14ac:dyDescent="0.25"/>
    <row r="40" spans="11:16" ht="28.9" customHeight="1" x14ac:dyDescent="0.25"/>
    <row r="41" spans="11:16" ht="28.9" customHeight="1" x14ac:dyDescent="0.25"/>
    <row r="42" spans="11:16" ht="28.9" customHeight="1" x14ac:dyDescent="0.25"/>
    <row r="43" spans="11:16" ht="28.9" customHeight="1" x14ac:dyDescent="0.25"/>
    <row r="44" spans="11:16" ht="28.9" customHeight="1" x14ac:dyDescent="0.25"/>
    <row r="45" spans="11:16" ht="28.9" customHeight="1" x14ac:dyDescent="0.25"/>
    <row r="46" spans="11:16" ht="28.9" customHeight="1" x14ac:dyDescent="0.25"/>
    <row r="47" spans="11:16" ht="28.9" customHeight="1" x14ac:dyDescent="0.25"/>
    <row r="48" spans="11:16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2">
    <tabColor rgb="FFFFC000"/>
  </sheetPr>
  <dimension ref="A1:AY66"/>
  <sheetViews>
    <sheetView zoomScale="40" zoomScaleNormal="40" workbookViewId="0">
      <selection activeCell="P28" sqref="P28"/>
    </sheetView>
  </sheetViews>
  <sheetFormatPr defaultColWidth="8.85546875" defaultRowHeight="15" x14ac:dyDescent="0.25"/>
  <cols>
    <col min="1" max="4" width="8.85546875" style="100"/>
    <col min="5" max="5" width="4.5703125" style="100" bestFit="1" customWidth="1"/>
    <col min="6" max="6" width="21.85546875" style="100" bestFit="1" customWidth="1"/>
    <col min="7" max="7" width="26" style="100" bestFit="1" customWidth="1"/>
    <col min="8" max="8" width="19.42578125" style="100" bestFit="1" customWidth="1"/>
    <col min="9" max="9" width="12.140625" style="100" bestFit="1" customWidth="1"/>
    <col min="10" max="10" width="12.7109375" style="100" bestFit="1" customWidth="1"/>
    <col min="11" max="11" width="5.140625" style="100" bestFit="1" customWidth="1"/>
    <col min="12" max="12" width="25.42578125" style="100" customWidth="1"/>
    <col min="13" max="13" width="26.28515625" style="100" customWidth="1"/>
    <col min="14" max="14" width="25.42578125" style="100" customWidth="1"/>
    <col min="15" max="15" width="24.28515625" style="100" customWidth="1"/>
    <col min="16" max="16" width="45.42578125" style="100" bestFit="1" customWidth="1"/>
    <col min="17" max="17" width="20.42578125" style="100" bestFit="1" customWidth="1"/>
    <col min="18" max="18" width="36" style="100" bestFit="1" customWidth="1"/>
    <col min="19" max="19" width="31.5703125" style="100" bestFit="1" customWidth="1"/>
    <col min="20" max="16384" width="8.85546875" style="100"/>
  </cols>
  <sheetData>
    <row r="1" spans="1:51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x14ac:dyDescent="0.25">
      <c r="K13" s="154" t="s">
        <v>220</v>
      </c>
      <c r="L13" s="154" t="s">
        <v>255</v>
      </c>
      <c r="M13" s="154" t="s">
        <v>256</v>
      </c>
      <c r="N13" s="154" t="s">
        <v>257</v>
      </c>
      <c r="O13" s="154" t="s">
        <v>258</v>
      </c>
      <c r="P13" s="154" t="s">
        <v>259</v>
      </c>
    </row>
    <row r="14" spans="1:51" ht="28.9" customHeight="1" x14ac:dyDescent="0.25">
      <c r="K14" s="152">
        <v>1</v>
      </c>
      <c r="L14" s="158">
        <v>50</v>
      </c>
      <c r="M14" s="153">
        <v>1000</v>
      </c>
      <c r="N14" s="159">
        <f>L14*M14</f>
        <v>50000</v>
      </c>
      <c r="O14" s="159">
        <f>L14*M14+N14</f>
        <v>100000</v>
      </c>
      <c r="P14" s="152" t="s">
        <v>260</v>
      </c>
    </row>
    <row r="15" spans="1:51" ht="28.9" customHeight="1" x14ac:dyDescent="0.25">
      <c r="K15" s="152">
        <f>K14+1</f>
        <v>2</v>
      </c>
      <c r="L15" s="158">
        <v>120</v>
      </c>
      <c r="M15" s="152">
        <v>800</v>
      </c>
      <c r="N15" s="159">
        <v>400</v>
      </c>
      <c r="O15" s="159">
        <v>600</v>
      </c>
      <c r="P15" s="152" t="s">
        <v>261</v>
      </c>
    </row>
    <row r="16" spans="1:51" ht="28.9" customHeight="1" x14ac:dyDescent="0.25">
      <c r="K16" s="152">
        <f t="shared" ref="K16:K33" si="0">K15+1</f>
        <v>3</v>
      </c>
      <c r="L16" s="158">
        <v>30</v>
      </c>
      <c r="M16" s="152">
        <v>500</v>
      </c>
      <c r="N16" s="159">
        <v>250</v>
      </c>
      <c r="O16" s="159">
        <v>400</v>
      </c>
      <c r="P16" s="152" t="s">
        <v>262</v>
      </c>
    </row>
    <row r="17" spans="11:16" ht="28.9" customHeight="1" x14ac:dyDescent="0.25">
      <c r="K17" s="152">
        <f t="shared" si="0"/>
        <v>4</v>
      </c>
      <c r="L17" s="158">
        <v>200</v>
      </c>
      <c r="M17" s="153">
        <v>1200</v>
      </c>
      <c r="N17" s="159">
        <v>600</v>
      </c>
      <c r="O17" s="159">
        <v>900</v>
      </c>
      <c r="P17" s="152" t="s">
        <v>263</v>
      </c>
    </row>
    <row r="18" spans="11:16" ht="28.9" customHeight="1" x14ac:dyDescent="0.25">
      <c r="K18" s="152">
        <f t="shared" si="0"/>
        <v>5</v>
      </c>
      <c r="L18" s="158">
        <v>15</v>
      </c>
      <c r="M18" s="153">
        <v>2000</v>
      </c>
      <c r="N18" s="159">
        <v>700</v>
      </c>
      <c r="O18" s="159">
        <v>1000</v>
      </c>
      <c r="P18" s="152" t="s">
        <v>264</v>
      </c>
    </row>
    <row r="19" spans="11:16" ht="28.9" customHeight="1" x14ac:dyDescent="0.25">
      <c r="K19" s="152">
        <f t="shared" si="0"/>
        <v>6</v>
      </c>
      <c r="L19" s="158">
        <v>80</v>
      </c>
      <c r="M19" s="153">
        <v>1500</v>
      </c>
      <c r="N19" s="159">
        <v>500</v>
      </c>
      <c r="O19" s="159">
        <v>800</v>
      </c>
      <c r="P19" s="152" t="s">
        <v>265</v>
      </c>
    </row>
    <row r="20" spans="11:16" ht="28.9" customHeight="1" x14ac:dyDescent="0.25">
      <c r="K20" s="152">
        <f t="shared" si="0"/>
        <v>7</v>
      </c>
      <c r="L20" s="158">
        <v>60</v>
      </c>
      <c r="M20" s="152">
        <v>400</v>
      </c>
      <c r="N20" s="159">
        <v>200</v>
      </c>
      <c r="O20" s="159">
        <v>300</v>
      </c>
      <c r="P20" s="152" t="s">
        <v>266</v>
      </c>
    </row>
    <row r="21" spans="11:16" ht="28.9" customHeight="1" x14ac:dyDescent="0.25">
      <c r="K21" s="152">
        <f t="shared" si="0"/>
        <v>8</v>
      </c>
      <c r="L21" s="158">
        <v>180</v>
      </c>
      <c r="M21" s="153">
        <v>2500</v>
      </c>
      <c r="N21" s="159">
        <v>800</v>
      </c>
      <c r="O21" s="159">
        <v>1200</v>
      </c>
      <c r="P21" s="152" t="s">
        <v>267</v>
      </c>
    </row>
    <row r="22" spans="11:16" ht="28.9" customHeight="1" x14ac:dyDescent="0.25">
      <c r="K22" s="152">
        <f t="shared" si="0"/>
        <v>9</v>
      </c>
      <c r="L22" s="158">
        <v>90</v>
      </c>
      <c r="M22" s="153">
        <v>1800</v>
      </c>
      <c r="N22" s="159">
        <v>550</v>
      </c>
      <c r="O22" s="159">
        <v>850</v>
      </c>
      <c r="P22" s="152" t="s">
        <v>268</v>
      </c>
    </row>
    <row r="23" spans="11:16" ht="28.9" customHeight="1" x14ac:dyDescent="0.25">
      <c r="K23" s="152">
        <f t="shared" si="0"/>
        <v>10</v>
      </c>
      <c r="L23" s="158">
        <v>40</v>
      </c>
      <c r="M23" s="152">
        <v>600</v>
      </c>
      <c r="N23" s="159">
        <v>300</v>
      </c>
      <c r="O23" s="159">
        <v>500</v>
      </c>
      <c r="P23" s="152" t="s">
        <v>269</v>
      </c>
    </row>
    <row r="24" spans="11:16" ht="28.9" customHeight="1" x14ac:dyDescent="0.25">
      <c r="K24" s="152">
        <f t="shared" si="0"/>
        <v>11</v>
      </c>
      <c r="L24" s="158">
        <v>150</v>
      </c>
      <c r="M24" s="153">
        <v>1000</v>
      </c>
      <c r="N24" s="159">
        <v>600</v>
      </c>
      <c r="O24" s="159">
        <v>950</v>
      </c>
      <c r="P24" s="152" t="s">
        <v>270</v>
      </c>
    </row>
    <row r="25" spans="11:16" ht="28.9" customHeight="1" x14ac:dyDescent="0.25">
      <c r="K25" s="152">
        <f t="shared" si="0"/>
        <v>12</v>
      </c>
      <c r="L25" s="158">
        <v>20</v>
      </c>
      <c r="M25" s="152">
        <v>700</v>
      </c>
      <c r="N25" s="159">
        <v>250</v>
      </c>
      <c r="O25" s="159">
        <v>400</v>
      </c>
      <c r="P25" s="152" t="s">
        <v>271</v>
      </c>
    </row>
    <row r="26" spans="11:16" ht="28.9" customHeight="1" x14ac:dyDescent="0.25">
      <c r="K26" s="152">
        <f t="shared" si="0"/>
        <v>13</v>
      </c>
      <c r="L26" s="158">
        <v>170</v>
      </c>
      <c r="M26" s="153">
        <v>2000</v>
      </c>
      <c r="N26" s="159">
        <v>750</v>
      </c>
      <c r="O26" s="159">
        <v>1150</v>
      </c>
      <c r="P26" s="152" t="s">
        <v>272</v>
      </c>
    </row>
    <row r="27" spans="11:16" ht="28.9" customHeight="1" x14ac:dyDescent="0.25">
      <c r="K27" s="152">
        <f t="shared" si="0"/>
        <v>14</v>
      </c>
      <c r="L27" s="158">
        <v>35</v>
      </c>
      <c r="M27" s="152">
        <v>900</v>
      </c>
      <c r="N27" s="159">
        <v>350</v>
      </c>
      <c r="O27" s="159">
        <v>550</v>
      </c>
      <c r="P27" s="152" t="s">
        <v>273</v>
      </c>
    </row>
    <row r="28" spans="11:16" ht="28.9" customHeight="1" x14ac:dyDescent="0.25">
      <c r="K28" s="152">
        <f t="shared" si="0"/>
        <v>15</v>
      </c>
      <c r="L28" s="158">
        <v>220</v>
      </c>
      <c r="M28" s="153">
        <v>2500</v>
      </c>
      <c r="N28" s="159">
        <v>900</v>
      </c>
      <c r="O28" s="159">
        <v>1400</v>
      </c>
      <c r="P28" s="152" t="s">
        <v>274</v>
      </c>
    </row>
    <row r="29" spans="11:16" ht="28.9" customHeight="1" x14ac:dyDescent="0.25">
      <c r="K29" s="152">
        <f t="shared" si="0"/>
        <v>16</v>
      </c>
      <c r="L29" s="158">
        <v>110</v>
      </c>
      <c r="M29" s="153">
        <v>1100</v>
      </c>
      <c r="N29" s="159">
        <v>450</v>
      </c>
      <c r="O29" s="159">
        <v>700</v>
      </c>
      <c r="P29" s="152" t="s">
        <v>275</v>
      </c>
    </row>
    <row r="30" spans="11:16" ht="28.9" customHeight="1" x14ac:dyDescent="0.25">
      <c r="K30" s="152">
        <f t="shared" si="0"/>
        <v>17</v>
      </c>
      <c r="L30" s="158">
        <v>75</v>
      </c>
      <c r="M30" s="153">
        <v>1300</v>
      </c>
      <c r="N30" s="159">
        <v>500</v>
      </c>
      <c r="O30" s="159">
        <v>750</v>
      </c>
      <c r="P30" s="152" t="s">
        <v>276</v>
      </c>
    </row>
    <row r="31" spans="11:16" ht="28.9" customHeight="1" x14ac:dyDescent="0.25">
      <c r="K31" s="152">
        <f t="shared" si="0"/>
        <v>18</v>
      </c>
      <c r="L31" s="158">
        <v>25</v>
      </c>
      <c r="M31" s="152">
        <v>950</v>
      </c>
      <c r="N31" s="159">
        <v>300</v>
      </c>
      <c r="O31" s="159">
        <v>450</v>
      </c>
      <c r="P31" s="152" t="s">
        <v>277</v>
      </c>
    </row>
    <row r="32" spans="11:16" ht="28.9" customHeight="1" x14ac:dyDescent="0.25">
      <c r="K32" s="152">
        <f t="shared" si="0"/>
        <v>19</v>
      </c>
      <c r="L32" s="158">
        <v>140</v>
      </c>
      <c r="M32" s="153">
        <v>1600</v>
      </c>
      <c r="N32" s="159">
        <v>650</v>
      </c>
      <c r="O32" s="159">
        <v>1000</v>
      </c>
      <c r="P32" s="152" t="s">
        <v>278</v>
      </c>
    </row>
    <row r="33" spans="11:16" ht="28.9" customHeight="1" x14ac:dyDescent="0.25">
      <c r="K33" s="152">
        <f t="shared" si="0"/>
        <v>20</v>
      </c>
      <c r="L33" s="158">
        <v>50</v>
      </c>
      <c r="M33" s="152">
        <v>850</v>
      </c>
      <c r="N33" s="159">
        <v>350</v>
      </c>
      <c r="O33" s="159">
        <v>550</v>
      </c>
      <c r="P33" s="152" t="s">
        <v>279</v>
      </c>
    </row>
    <row r="34" spans="11:16" ht="28.9" customHeight="1" x14ac:dyDescent="0.25"/>
    <row r="35" spans="11:16" ht="28.9" customHeight="1" x14ac:dyDescent="0.25"/>
    <row r="36" spans="11:16" ht="28.9" customHeight="1" x14ac:dyDescent="0.25"/>
    <row r="37" spans="11:16" ht="28.9" customHeight="1" x14ac:dyDescent="0.25"/>
    <row r="38" spans="11:16" ht="28.9" customHeight="1" x14ac:dyDescent="0.25"/>
    <row r="39" spans="11:16" ht="28.9" customHeight="1" x14ac:dyDescent="0.25"/>
    <row r="40" spans="11:16" ht="28.9" customHeight="1" x14ac:dyDescent="0.25"/>
    <row r="41" spans="11:16" ht="28.9" customHeight="1" x14ac:dyDescent="0.25"/>
    <row r="42" spans="11:16" ht="28.9" customHeight="1" x14ac:dyDescent="0.25"/>
    <row r="43" spans="11:16" ht="28.9" customHeight="1" x14ac:dyDescent="0.25"/>
    <row r="44" spans="11:16" ht="28.9" customHeight="1" x14ac:dyDescent="0.25"/>
    <row r="45" spans="11:16" ht="28.9" customHeight="1" x14ac:dyDescent="0.25"/>
    <row r="46" spans="11:16" ht="28.9" customHeight="1" x14ac:dyDescent="0.25"/>
    <row r="47" spans="11:16" ht="28.9" customHeight="1" x14ac:dyDescent="0.25"/>
    <row r="48" spans="11:16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3">
    <tabColor rgb="FFFFC000"/>
  </sheetPr>
  <dimension ref="A1:AY66"/>
  <sheetViews>
    <sheetView zoomScale="40" zoomScaleNormal="40" workbookViewId="0">
      <selection activeCell="Q25" sqref="Q25"/>
    </sheetView>
  </sheetViews>
  <sheetFormatPr defaultColWidth="8.85546875" defaultRowHeight="15" x14ac:dyDescent="0.25"/>
  <cols>
    <col min="1" max="4" width="8.85546875" style="100"/>
    <col min="5" max="5" width="4.5703125" style="100" bestFit="1" customWidth="1"/>
    <col min="6" max="6" width="21.85546875" style="100" bestFit="1" customWidth="1"/>
    <col min="7" max="7" width="26" style="100" bestFit="1" customWidth="1"/>
    <col min="8" max="8" width="19.42578125" style="100" bestFit="1" customWidth="1"/>
    <col min="9" max="9" width="12.140625" style="100" bestFit="1" customWidth="1"/>
    <col min="10" max="10" width="12.7109375" style="100" bestFit="1" customWidth="1"/>
    <col min="11" max="11" width="4.5703125" style="100" customWidth="1"/>
    <col min="12" max="12" width="25.42578125" style="100" customWidth="1"/>
    <col min="13" max="13" width="26.28515625" style="100" customWidth="1"/>
    <col min="14" max="14" width="25.42578125" style="100" customWidth="1"/>
    <col min="15" max="15" width="24.28515625" style="100" customWidth="1"/>
    <col min="16" max="16" width="45.42578125" style="100" customWidth="1"/>
    <col min="17" max="17" width="20.42578125" style="100" bestFit="1" customWidth="1"/>
    <col min="18" max="18" width="36" style="100" bestFit="1" customWidth="1"/>
    <col min="19" max="19" width="31.5703125" style="100" bestFit="1" customWidth="1"/>
    <col min="20" max="16384" width="8.85546875" style="100"/>
  </cols>
  <sheetData>
    <row r="1" spans="1:51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x14ac:dyDescent="0.25">
      <c r="K13" s="154" t="s">
        <v>220</v>
      </c>
      <c r="L13" s="154" t="s">
        <v>255</v>
      </c>
      <c r="M13" s="154" t="s">
        <v>256</v>
      </c>
      <c r="N13" s="154" t="s">
        <v>257</v>
      </c>
      <c r="O13" s="154" t="s">
        <v>258</v>
      </c>
      <c r="P13" s="154" t="s">
        <v>259</v>
      </c>
    </row>
    <row r="14" spans="1:51" ht="28.9" customHeight="1" x14ac:dyDescent="0.25">
      <c r="K14" s="152">
        <v>1</v>
      </c>
      <c r="L14" s="158">
        <v>50</v>
      </c>
      <c r="M14" s="153">
        <v>1000</v>
      </c>
      <c r="N14" s="159">
        <f>L14*M14</f>
        <v>50000</v>
      </c>
      <c r="O14" s="159">
        <f>L14*M14+N14</f>
        <v>100000</v>
      </c>
      <c r="P14" s="152" t="s">
        <v>260</v>
      </c>
    </row>
    <row r="15" spans="1:51" ht="28.9" customHeight="1" x14ac:dyDescent="0.25">
      <c r="K15" s="152">
        <f>K14+1</f>
        <v>2</v>
      </c>
      <c r="L15" s="158">
        <v>120</v>
      </c>
      <c r="M15" s="152">
        <v>800</v>
      </c>
      <c r="N15" s="159">
        <v>400</v>
      </c>
      <c r="O15" s="159">
        <v>600</v>
      </c>
      <c r="P15" s="152" t="s">
        <v>261</v>
      </c>
    </row>
    <row r="16" spans="1:51" ht="28.9" customHeight="1" x14ac:dyDescent="0.25">
      <c r="K16" s="152">
        <f t="shared" ref="K16:K33" si="0">K15+1</f>
        <v>3</v>
      </c>
      <c r="L16" s="158">
        <v>30</v>
      </c>
      <c r="M16" s="152">
        <v>500</v>
      </c>
      <c r="N16" s="159">
        <v>250</v>
      </c>
      <c r="O16" s="159">
        <v>400</v>
      </c>
      <c r="P16" s="152" t="s">
        <v>262</v>
      </c>
    </row>
    <row r="17" spans="11:16" ht="28.9" customHeight="1" x14ac:dyDescent="0.25">
      <c r="K17" s="152">
        <f t="shared" si="0"/>
        <v>4</v>
      </c>
      <c r="L17" s="158">
        <v>200</v>
      </c>
      <c r="M17" s="153">
        <v>1200</v>
      </c>
      <c r="N17" s="159">
        <v>600</v>
      </c>
      <c r="O17" s="159">
        <v>900</v>
      </c>
      <c r="P17" s="152" t="s">
        <v>263</v>
      </c>
    </row>
    <row r="18" spans="11:16" ht="28.9" customHeight="1" x14ac:dyDescent="0.25">
      <c r="K18" s="152">
        <f t="shared" si="0"/>
        <v>5</v>
      </c>
      <c r="L18" s="158">
        <v>15</v>
      </c>
      <c r="M18" s="153">
        <v>2000</v>
      </c>
      <c r="N18" s="159">
        <v>700</v>
      </c>
      <c r="O18" s="159">
        <v>1000</v>
      </c>
      <c r="P18" s="152" t="s">
        <v>264</v>
      </c>
    </row>
    <row r="19" spans="11:16" ht="28.9" customHeight="1" x14ac:dyDescent="0.25">
      <c r="K19" s="152">
        <f t="shared" si="0"/>
        <v>6</v>
      </c>
      <c r="L19" s="158">
        <v>80</v>
      </c>
      <c r="M19" s="153">
        <v>1500</v>
      </c>
      <c r="N19" s="159">
        <v>500</v>
      </c>
      <c r="O19" s="159">
        <v>800</v>
      </c>
      <c r="P19" s="152" t="s">
        <v>265</v>
      </c>
    </row>
    <row r="20" spans="11:16" ht="28.9" customHeight="1" x14ac:dyDescent="0.25">
      <c r="K20" s="152">
        <f t="shared" si="0"/>
        <v>7</v>
      </c>
      <c r="L20" s="158">
        <v>60</v>
      </c>
      <c r="M20" s="152">
        <v>400</v>
      </c>
      <c r="N20" s="159">
        <v>200</v>
      </c>
      <c r="O20" s="159">
        <v>300</v>
      </c>
      <c r="P20" s="152" t="s">
        <v>266</v>
      </c>
    </row>
    <row r="21" spans="11:16" ht="28.9" customHeight="1" x14ac:dyDescent="0.25">
      <c r="K21" s="152">
        <f t="shared" si="0"/>
        <v>8</v>
      </c>
      <c r="L21" s="158">
        <v>180</v>
      </c>
      <c r="M21" s="153">
        <v>2500</v>
      </c>
      <c r="N21" s="159">
        <v>800</v>
      </c>
      <c r="O21" s="159">
        <v>1200</v>
      </c>
      <c r="P21" s="152" t="s">
        <v>267</v>
      </c>
    </row>
    <row r="22" spans="11:16" ht="28.9" customHeight="1" x14ac:dyDescent="0.25">
      <c r="K22" s="152">
        <f t="shared" si="0"/>
        <v>9</v>
      </c>
      <c r="L22" s="158">
        <v>90</v>
      </c>
      <c r="M22" s="153">
        <v>1800</v>
      </c>
      <c r="N22" s="159">
        <v>550</v>
      </c>
      <c r="O22" s="159">
        <v>850</v>
      </c>
      <c r="P22" s="152" t="s">
        <v>268</v>
      </c>
    </row>
    <row r="23" spans="11:16" ht="28.9" customHeight="1" x14ac:dyDescent="0.25">
      <c r="K23" s="152">
        <f t="shared" si="0"/>
        <v>10</v>
      </c>
      <c r="L23" s="158">
        <v>40</v>
      </c>
      <c r="M23" s="152">
        <v>600</v>
      </c>
      <c r="N23" s="159">
        <v>300</v>
      </c>
      <c r="O23" s="159">
        <v>500</v>
      </c>
      <c r="P23" s="152" t="s">
        <v>269</v>
      </c>
    </row>
    <row r="24" spans="11:16" ht="28.9" customHeight="1" x14ac:dyDescent="0.25">
      <c r="K24" s="152">
        <f t="shared" si="0"/>
        <v>11</v>
      </c>
      <c r="L24" s="158">
        <v>150</v>
      </c>
      <c r="M24" s="153">
        <v>1000</v>
      </c>
      <c r="N24" s="159">
        <v>600</v>
      </c>
      <c r="O24" s="159">
        <v>950</v>
      </c>
      <c r="P24" s="152" t="s">
        <v>270</v>
      </c>
    </row>
    <row r="25" spans="11:16" ht="28.9" customHeight="1" x14ac:dyDescent="0.25">
      <c r="K25" s="152">
        <f t="shared" si="0"/>
        <v>12</v>
      </c>
      <c r="L25" s="158">
        <v>20</v>
      </c>
      <c r="M25" s="152">
        <v>700</v>
      </c>
      <c r="N25" s="159">
        <v>250</v>
      </c>
      <c r="O25" s="159">
        <v>400</v>
      </c>
      <c r="P25" s="152" t="s">
        <v>271</v>
      </c>
    </row>
    <row r="26" spans="11:16" ht="28.9" customHeight="1" x14ac:dyDescent="0.25">
      <c r="K26" s="152">
        <f t="shared" si="0"/>
        <v>13</v>
      </c>
      <c r="L26" s="158">
        <v>170</v>
      </c>
      <c r="M26" s="153">
        <v>2000</v>
      </c>
      <c r="N26" s="159">
        <v>750</v>
      </c>
      <c r="O26" s="159">
        <v>1150</v>
      </c>
      <c r="P26" s="152" t="s">
        <v>272</v>
      </c>
    </row>
    <row r="27" spans="11:16" ht="28.9" customHeight="1" x14ac:dyDescent="0.25">
      <c r="K27" s="152">
        <f t="shared" si="0"/>
        <v>14</v>
      </c>
      <c r="L27" s="158">
        <v>35</v>
      </c>
      <c r="M27" s="152">
        <v>900</v>
      </c>
      <c r="N27" s="159">
        <v>350</v>
      </c>
      <c r="O27" s="159">
        <v>550</v>
      </c>
      <c r="P27" s="152" t="s">
        <v>273</v>
      </c>
    </row>
    <row r="28" spans="11:16" ht="28.9" customHeight="1" x14ac:dyDescent="0.25">
      <c r="K28" s="152">
        <f t="shared" si="0"/>
        <v>15</v>
      </c>
      <c r="L28" s="158">
        <v>220</v>
      </c>
      <c r="M28" s="153">
        <v>2500</v>
      </c>
      <c r="N28" s="159">
        <v>900</v>
      </c>
      <c r="O28" s="159">
        <v>1400</v>
      </c>
      <c r="P28" s="152" t="s">
        <v>274</v>
      </c>
    </row>
    <row r="29" spans="11:16" ht="28.9" customHeight="1" x14ac:dyDescent="0.25">
      <c r="K29" s="152">
        <f t="shared" si="0"/>
        <v>16</v>
      </c>
      <c r="L29" s="158">
        <v>110</v>
      </c>
      <c r="M29" s="153">
        <v>1100</v>
      </c>
      <c r="N29" s="159">
        <v>450</v>
      </c>
      <c r="O29" s="159">
        <v>700</v>
      </c>
      <c r="P29" s="152" t="s">
        <v>275</v>
      </c>
    </row>
    <row r="30" spans="11:16" ht="28.9" customHeight="1" x14ac:dyDescent="0.25">
      <c r="K30" s="152">
        <f t="shared" si="0"/>
        <v>17</v>
      </c>
      <c r="L30" s="158">
        <v>75</v>
      </c>
      <c r="M30" s="153">
        <v>1300</v>
      </c>
      <c r="N30" s="159">
        <v>500</v>
      </c>
      <c r="O30" s="159">
        <v>750</v>
      </c>
      <c r="P30" s="152" t="s">
        <v>276</v>
      </c>
    </row>
    <row r="31" spans="11:16" ht="28.9" customHeight="1" x14ac:dyDescent="0.25">
      <c r="K31" s="152">
        <f t="shared" si="0"/>
        <v>18</v>
      </c>
      <c r="L31" s="158">
        <v>25</v>
      </c>
      <c r="M31" s="152">
        <v>950</v>
      </c>
      <c r="N31" s="159">
        <v>300</v>
      </c>
      <c r="O31" s="159">
        <v>450</v>
      </c>
      <c r="P31" s="152" t="s">
        <v>277</v>
      </c>
    </row>
    <row r="32" spans="11:16" ht="28.9" customHeight="1" x14ac:dyDescent="0.25">
      <c r="K32" s="152">
        <f t="shared" si="0"/>
        <v>19</v>
      </c>
      <c r="L32" s="158">
        <v>140</v>
      </c>
      <c r="M32" s="153">
        <v>1600</v>
      </c>
      <c r="N32" s="159">
        <v>650</v>
      </c>
      <c r="O32" s="159">
        <v>1000</v>
      </c>
      <c r="P32" s="152" t="s">
        <v>278</v>
      </c>
    </row>
    <row r="33" spans="11:16" ht="28.9" customHeight="1" x14ac:dyDescent="0.25">
      <c r="K33" s="152">
        <f t="shared" si="0"/>
        <v>20</v>
      </c>
      <c r="L33" s="158">
        <v>50</v>
      </c>
      <c r="M33" s="152">
        <v>850</v>
      </c>
      <c r="N33" s="159">
        <v>350</v>
      </c>
      <c r="O33" s="159">
        <v>550</v>
      </c>
      <c r="P33" s="152" t="s">
        <v>279</v>
      </c>
    </row>
    <row r="34" spans="11:16" ht="28.9" customHeight="1" x14ac:dyDescent="0.25"/>
    <row r="35" spans="11:16" ht="28.9" customHeight="1" x14ac:dyDescent="0.25"/>
    <row r="36" spans="11:16" ht="28.9" customHeight="1" x14ac:dyDescent="0.25"/>
    <row r="37" spans="11:16" ht="28.9" customHeight="1" x14ac:dyDescent="0.25"/>
    <row r="38" spans="11:16" ht="28.9" customHeight="1" x14ac:dyDescent="0.25"/>
    <row r="39" spans="11:16" ht="28.9" customHeight="1" x14ac:dyDescent="0.25"/>
    <row r="40" spans="11:16" ht="28.9" customHeight="1" x14ac:dyDescent="0.25"/>
    <row r="41" spans="11:16" ht="28.9" customHeight="1" x14ac:dyDescent="0.25"/>
    <row r="42" spans="11:16" ht="28.9" customHeight="1" x14ac:dyDescent="0.25"/>
    <row r="43" spans="11:16" ht="28.9" customHeight="1" x14ac:dyDescent="0.25"/>
    <row r="44" spans="11:16" ht="28.9" customHeight="1" x14ac:dyDescent="0.25"/>
    <row r="45" spans="11:16" ht="28.9" customHeight="1" x14ac:dyDescent="0.25"/>
    <row r="46" spans="11:16" ht="28.9" customHeight="1" x14ac:dyDescent="0.25"/>
    <row r="47" spans="11:16" ht="28.9" customHeight="1" x14ac:dyDescent="0.25"/>
    <row r="48" spans="11:16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4">
    <tabColor rgb="FFFFC000"/>
  </sheetPr>
  <dimension ref="A1:AY66"/>
  <sheetViews>
    <sheetView zoomScale="40" zoomScaleNormal="40" workbookViewId="0">
      <selection activeCell="O13" sqref="O13"/>
    </sheetView>
  </sheetViews>
  <sheetFormatPr defaultColWidth="8.85546875" defaultRowHeight="15" x14ac:dyDescent="0.25"/>
  <cols>
    <col min="1" max="4" width="8.85546875" style="100"/>
    <col min="5" max="5" width="4.5703125" style="100" bestFit="1" customWidth="1"/>
    <col min="6" max="6" width="21.85546875" style="100" bestFit="1" customWidth="1"/>
    <col min="7" max="7" width="26" style="100" bestFit="1" customWidth="1"/>
    <col min="8" max="8" width="19.42578125" style="100" bestFit="1" customWidth="1"/>
    <col min="9" max="9" width="12.140625" style="100" bestFit="1" customWidth="1"/>
    <col min="10" max="10" width="12.7109375" style="100" bestFit="1" customWidth="1"/>
    <col min="11" max="11" width="4.5703125" style="100" customWidth="1"/>
    <col min="12" max="12" width="25.42578125" style="100" customWidth="1"/>
    <col min="13" max="13" width="26.28515625" style="100" customWidth="1"/>
    <col min="14" max="14" width="25.42578125" style="100" customWidth="1"/>
    <col min="15" max="15" width="24.28515625" style="100" customWidth="1"/>
    <col min="16" max="16" width="45.42578125" style="100" customWidth="1"/>
    <col min="17" max="17" width="20.42578125" style="100" bestFit="1" customWidth="1"/>
    <col min="18" max="18" width="36" style="100" bestFit="1" customWidth="1"/>
    <col min="19" max="19" width="31.5703125" style="100" bestFit="1" customWidth="1"/>
    <col min="20" max="16384" width="8.85546875" style="100"/>
  </cols>
  <sheetData>
    <row r="1" spans="1:51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x14ac:dyDescent="0.25">
      <c r="K13" s="154" t="s">
        <v>220</v>
      </c>
      <c r="L13" s="154" t="s">
        <v>255</v>
      </c>
      <c r="M13" s="154" t="s">
        <v>256</v>
      </c>
      <c r="N13" s="154" t="s">
        <v>257</v>
      </c>
      <c r="O13" s="154" t="s">
        <v>258</v>
      </c>
      <c r="P13" s="154" t="s">
        <v>259</v>
      </c>
    </row>
    <row r="14" spans="1:51" ht="28.9" customHeight="1" x14ac:dyDescent="0.25">
      <c r="K14" s="152">
        <v>1</v>
      </c>
      <c r="L14" s="158">
        <v>50</v>
      </c>
      <c r="M14" s="153">
        <v>1000</v>
      </c>
      <c r="N14" s="159">
        <f>L14*M14</f>
        <v>50000</v>
      </c>
      <c r="O14" s="159">
        <f>L14*M14+N14</f>
        <v>100000</v>
      </c>
      <c r="P14" s="152" t="s">
        <v>260</v>
      </c>
    </row>
    <row r="15" spans="1:51" ht="28.9" customHeight="1" x14ac:dyDescent="0.25">
      <c r="K15" s="152">
        <f>K14+1</f>
        <v>2</v>
      </c>
      <c r="L15" s="158">
        <v>120</v>
      </c>
      <c r="M15" s="152">
        <v>800</v>
      </c>
      <c r="N15" s="159">
        <v>400</v>
      </c>
      <c r="O15" s="159">
        <v>600</v>
      </c>
      <c r="P15" s="152" t="s">
        <v>261</v>
      </c>
    </row>
    <row r="16" spans="1:51" ht="28.9" customHeight="1" x14ac:dyDescent="0.25">
      <c r="K16" s="152">
        <f t="shared" ref="K16:K33" si="0">K15+1</f>
        <v>3</v>
      </c>
      <c r="L16" s="158">
        <v>30</v>
      </c>
      <c r="M16" s="152">
        <v>500</v>
      </c>
      <c r="N16" s="159">
        <v>250</v>
      </c>
      <c r="O16" s="159">
        <v>400</v>
      </c>
      <c r="P16" s="152" t="s">
        <v>262</v>
      </c>
    </row>
    <row r="17" spans="11:16" ht="28.9" customHeight="1" x14ac:dyDescent="0.25">
      <c r="K17" s="152">
        <f t="shared" si="0"/>
        <v>4</v>
      </c>
      <c r="L17" s="158">
        <v>200</v>
      </c>
      <c r="M17" s="153">
        <v>1200</v>
      </c>
      <c r="N17" s="159">
        <v>600</v>
      </c>
      <c r="O17" s="159">
        <v>900</v>
      </c>
      <c r="P17" s="152" t="s">
        <v>263</v>
      </c>
    </row>
    <row r="18" spans="11:16" ht="28.9" customHeight="1" x14ac:dyDescent="0.25">
      <c r="K18" s="152">
        <f t="shared" si="0"/>
        <v>5</v>
      </c>
      <c r="L18" s="158">
        <v>15</v>
      </c>
      <c r="M18" s="153">
        <v>2000</v>
      </c>
      <c r="N18" s="159">
        <v>700</v>
      </c>
      <c r="O18" s="159">
        <v>1000</v>
      </c>
      <c r="P18" s="152" t="s">
        <v>264</v>
      </c>
    </row>
    <row r="19" spans="11:16" ht="28.9" customHeight="1" x14ac:dyDescent="0.25">
      <c r="K19" s="152">
        <f t="shared" si="0"/>
        <v>6</v>
      </c>
      <c r="L19" s="158">
        <v>80</v>
      </c>
      <c r="M19" s="153">
        <v>1500</v>
      </c>
      <c r="N19" s="159">
        <v>500</v>
      </c>
      <c r="O19" s="159">
        <v>800</v>
      </c>
      <c r="P19" s="152" t="s">
        <v>265</v>
      </c>
    </row>
    <row r="20" spans="11:16" ht="28.9" customHeight="1" x14ac:dyDescent="0.25">
      <c r="K20" s="152">
        <f t="shared" si="0"/>
        <v>7</v>
      </c>
      <c r="L20" s="158">
        <v>60</v>
      </c>
      <c r="M20" s="152">
        <v>400</v>
      </c>
      <c r="N20" s="159">
        <v>200</v>
      </c>
      <c r="O20" s="159">
        <v>300</v>
      </c>
      <c r="P20" s="152" t="s">
        <v>266</v>
      </c>
    </row>
    <row r="21" spans="11:16" ht="28.9" customHeight="1" x14ac:dyDescent="0.25">
      <c r="K21" s="152">
        <f t="shared" si="0"/>
        <v>8</v>
      </c>
      <c r="L21" s="158">
        <v>180</v>
      </c>
      <c r="M21" s="153">
        <v>2500</v>
      </c>
      <c r="N21" s="159">
        <v>800</v>
      </c>
      <c r="O21" s="159">
        <v>1200</v>
      </c>
      <c r="P21" s="152" t="s">
        <v>267</v>
      </c>
    </row>
    <row r="22" spans="11:16" ht="28.9" customHeight="1" x14ac:dyDescent="0.25">
      <c r="K22" s="152">
        <f t="shared" si="0"/>
        <v>9</v>
      </c>
      <c r="L22" s="158">
        <v>90</v>
      </c>
      <c r="M22" s="153">
        <v>1800</v>
      </c>
      <c r="N22" s="159">
        <v>550</v>
      </c>
      <c r="O22" s="159">
        <v>850</v>
      </c>
      <c r="P22" s="152" t="s">
        <v>268</v>
      </c>
    </row>
    <row r="23" spans="11:16" ht="28.9" customHeight="1" x14ac:dyDescent="0.25">
      <c r="K23" s="152">
        <f t="shared" si="0"/>
        <v>10</v>
      </c>
      <c r="L23" s="158">
        <v>40</v>
      </c>
      <c r="M23" s="152">
        <v>600</v>
      </c>
      <c r="N23" s="159">
        <v>300</v>
      </c>
      <c r="O23" s="159">
        <v>500</v>
      </c>
      <c r="P23" s="152" t="s">
        <v>269</v>
      </c>
    </row>
    <row r="24" spans="11:16" ht="28.9" customHeight="1" x14ac:dyDescent="0.25">
      <c r="K24" s="152">
        <f t="shared" si="0"/>
        <v>11</v>
      </c>
      <c r="L24" s="158">
        <v>150</v>
      </c>
      <c r="M24" s="153">
        <v>1000</v>
      </c>
      <c r="N24" s="159">
        <v>600</v>
      </c>
      <c r="O24" s="159">
        <v>950</v>
      </c>
      <c r="P24" s="152" t="s">
        <v>270</v>
      </c>
    </row>
    <row r="25" spans="11:16" ht="28.9" customHeight="1" x14ac:dyDescent="0.25">
      <c r="K25" s="152">
        <f t="shared" si="0"/>
        <v>12</v>
      </c>
      <c r="L25" s="158">
        <v>20</v>
      </c>
      <c r="M25" s="152">
        <v>700</v>
      </c>
      <c r="N25" s="159">
        <v>250</v>
      </c>
      <c r="O25" s="159">
        <v>400</v>
      </c>
      <c r="P25" s="152" t="s">
        <v>271</v>
      </c>
    </row>
    <row r="26" spans="11:16" ht="28.9" customHeight="1" x14ac:dyDescent="0.25">
      <c r="K26" s="152">
        <f t="shared" si="0"/>
        <v>13</v>
      </c>
      <c r="L26" s="158">
        <v>170</v>
      </c>
      <c r="M26" s="153">
        <v>2000</v>
      </c>
      <c r="N26" s="159">
        <v>750</v>
      </c>
      <c r="O26" s="159">
        <v>1150</v>
      </c>
      <c r="P26" s="152" t="s">
        <v>272</v>
      </c>
    </row>
    <row r="27" spans="11:16" ht="28.9" customHeight="1" x14ac:dyDescent="0.25">
      <c r="K27" s="152">
        <f t="shared" si="0"/>
        <v>14</v>
      </c>
      <c r="L27" s="158">
        <v>35</v>
      </c>
      <c r="M27" s="152">
        <v>900</v>
      </c>
      <c r="N27" s="159">
        <v>350</v>
      </c>
      <c r="O27" s="159">
        <v>550</v>
      </c>
      <c r="P27" s="152" t="s">
        <v>273</v>
      </c>
    </row>
    <row r="28" spans="11:16" ht="28.9" customHeight="1" x14ac:dyDescent="0.25">
      <c r="K28" s="152">
        <f t="shared" si="0"/>
        <v>15</v>
      </c>
      <c r="L28" s="158">
        <v>220</v>
      </c>
      <c r="M28" s="153">
        <v>2500</v>
      </c>
      <c r="N28" s="159">
        <v>900</v>
      </c>
      <c r="O28" s="159">
        <v>1400</v>
      </c>
      <c r="P28" s="152" t="s">
        <v>274</v>
      </c>
    </row>
    <row r="29" spans="11:16" ht="28.9" customHeight="1" x14ac:dyDescent="0.25">
      <c r="K29" s="152">
        <f t="shared" si="0"/>
        <v>16</v>
      </c>
      <c r="L29" s="158">
        <v>110</v>
      </c>
      <c r="M29" s="153">
        <v>1100</v>
      </c>
      <c r="N29" s="159">
        <v>450</v>
      </c>
      <c r="O29" s="159">
        <v>700</v>
      </c>
      <c r="P29" s="152" t="s">
        <v>275</v>
      </c>
    </row>
    <row r="30" spans="11:16" ht="28.9" customHeight="1" x14ac:dyDescent="0.25">
      <c r="K30" s="152">
        <f t="shared" si="0"/>
        <v>17</v>
      </c>
      <c r="L30" s="158">
        <v>75</v>
      </c>
      <c r="M30" s="153">
        <v>1300</v>
      </c>
      <c r="N30" s="159">
        <v>500</v>
      </c>
      <c r="O30" s="159">
        <v>750</v>
      </c>
      <c r="P30" s="152" t="s">
        <v>276</v>
      </c>
    </row>
    <row r="31" spans="11:16" ht="28.9" customHeight="1" x14ac:dyDescent="0.25">
      <c r="K31" s="152">
        <f t="shared" si="0"/>
        <v>18</v>
      </c>
      <c r="L31" s="158">
        <v>25</v>
      </c>
      <c r="M31" s="152">
        <v>950</v>
      </c>
      <c r="N31" s="159">
        <v>300</v>
      </c>
      <c r="O31" s="159">
        <v>450</v>
      </c>
      <c r="P31" s="152" t="s">
        <v>277</v>
      </c>
    </row>
    <row r="32" spans="11:16" ht="28.9" customHeight="1" x14ac:dyDescent="0.25">
      <c r="K32" s="152">
        <f t="shared" si="0"/>
        <v>19</v>
      </c>
      <c r="L32" s="158">
        <v>140</v>
      </c>
      <c r="M32" s="153">
        <v>1600</v>
      </c>
      <c r="N32" s="159">
        <v>650</v>
      </c>
      <c r="O32" s="159">
        <v>1000</v>
      </c>
      <c r="P32" s="152" t="s">
        <v>278</v>
      </c>
    </row>
    <row r="33" spans="11:16" ht="28.9" customHeight="1" x14ac:dyDescent="0.25">
      <c r="K33" s="152">
        <f t="shared" si="0"/>
        <v>20</v>
      </c>
      <c r="L33" s="158">
        <v>50</v>
      </c>
      <c r="M33" s="152">
        <v>850</v>
      </c>
      <c r="N33" s="159">
        <v>350</v>
      </c>
      <c r="O33" s="159">
        <v>550</v>
      </c>
      <c r="P33" s="152" t="s">
        <v>279</v>
      </c>
    </row>
    <row r="34" spans="11:16" ht="28.9" customHeight="1" x14ac:dyDescent="0.25"/>
    <row r="35" spans="11:16" ht="28.9" customHeight="1" x14ac:dyDescent="0.25"/>
    <row r="36" spans="11:16" ht="28.9" customHeight="1" x14ac:dyDescent="0.25"/>
    <row r="37" spans="11:16" ht="28.9" customHeight="1" x14ac:dyDescent="0.25"/>
    <row r="38" spans="11:16" ht="28.9" customHeight="1" x14ac:dyDescent="0.25"/>
    <row r="39" spans="11:16" ht="28.9" customHeight="1" x14ac:dyDescent="0.25"/>
    <row r="40" spans="11:16" ht="28.9" customHeight="1" x14ac:dyDescent="0.25"/>
    <row r="41" spans="11:16" ht="28.9" customHeight="1" x14ac:dyDescent="0.25"/>
    <row r="42" spans="11:16" ht="28.9" customHeight="1" x14ac:dyDescent="0.25"/>
    <row r="43" spans="11:16" ht="28.9" customHeight="1" x14ac:dyDescent="0.25"/>
    <row r="44" spans="11:16" ht="28.9" customHeight="1" x14ac:dyDescent="0.25"/>
    <row r="45" spans="11:16" ht="28.9" customHeight="1" x14ac:dyDescent="0.25"/>
    <row r="46" spans="11:16" ht="28.9" customHeight="1" x14ac:dyDescent="0.25"/>
    <row r="47" spans="11:16" ht="28.9" customHeight="1" x14ac:dyDescent="0.25"/>
    <row r="48" spans="11:16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0">
    <tabColor rgb="FFC00000"/>
  </sheetPr>
  <dimension ref="A1:AY66"/>
  <sheetViews>
    <sheetView zoomScale="40" zoomScaleNormal="40" workbookViewId="0"/>
  </sheetViews>
  <sheetFormatPr defaultColWidth="8.85546875" defaultRowHeight="15" x14ac:dyDescent="0.25"/>
  <cols>
    <col min="1" max="4" width="8.85546875" style="100"/>
    <col min="5" max="5" width="4.5703125" style="100" bestFit="1" customWidth="1"/>
    <col min="6" max="6" width="21.85546875" style="100" bestFit="1" customWidth="1"/>
    <col min="7" max="7" width="26" style="100" bestFit="1" customWidth="1"/>
    <col min="8" max="8" width="19.42578125" style="100" bestFit="1" customWidth="1"/>
    <col min="9" max="9" width="12.140625" style="100" bestFit="1" customWidth="1"/>
    <col min="10" max="10" width="12.7109375" style="100" bestFit="1" customWidth="1"/>
    <col min="11" max="11" width="4.5703125" style="100" customWidth="1"/>
    <col min="12" max="12" width="25.42578125" style="100" customWidth="1"/>
    <col min="13" max="13" width="26.28515625" style="100" customWidth="1"/>
    <col min="14" max="14" width="2.7109375" style="100" bestFit="1" customWidth="1"/>
    <col min="15" max="15" width="47.7109375" style="100" customWidth="1"/>
    <col min="16" max="16" width="2.7109375" style="100" bestFit="1" customWidth="1"/>
    <col min="17" max="17" width="20.42578125" style="100" bestFit="1" customWidth="1"/>
    <col min="18" max="18" width="2.7109375" style="100" bestFit="1" customWidth="1"/>
    <col min="19" max="19" width="46.85546875" style="100" customWidth="1"/>
    <col min="20" max="23" width="8.85546875" style="100"/>
    <col min="24" max="24" width="23.42578125" style="100" bestFit="1" customWidth="1"/>
    <col min="25" max="25" width="2.7109375" style="100" bestFit="1" customWidth="1"/>
    <col min="26" max="26" width="51.140625" style="100" customWidth="1"/>
    <col min="27" max="16384" width="8.85546875" style="100"/>
  </cols>
  <sheetData>
    <row r="1" spans="1:51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9" customHeight="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</row>
    <row r="9" spans="1:51" ht="28.9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</row>
    <row r="10" spans="1:51" ht="28.9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</row>
    <row r="11" spans="1:51" ht="28.9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</row>
    <row r="12" spans="1:51" ht="28.9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</row>
    <row r="13" spans="1:51" ht="28.9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</row>
    <row r="14" spans="1:51" ht="28.9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</row>
    <row r="15" spans="1:51" ht="28.9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</row>
    <row r="16" spans="1:51" ht="28.9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</row>
    <row r="17" spans="1:42" ht="28.9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</row>
    <row r="18" spans="1:42" ht="28.9" customHeight="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</row>
    <row r="19" spans="1:42" ht="28.9" customHeigh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</row>
    <row r="20" spans="1:42" ht="28.9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</row>
    <row r="21" spans="1:42" ht="28.9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</row>
    <row r="22" spans="1:42" ht="28.9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</row>
    <row r="23" spans="1:42" ht="28.9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</row>
    <row r="24" spans="1:42" ht="28.9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</row>
    <row r="25" spans="1:42" ht="28.9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</row>
    <row r="26" spans="1:42" ht="28.9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</row>
    <row r="27" spans="1:42" ht="28.9" customHeight="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</row>
    <row r="28" spans="1:42" ht="28.9" customHeight="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</row>
    <row r="29" spans="1:42" ht="28.9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</row>
    <row r="30" spans="1:42" ht="28.9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</row>
    <row r="31" spans="1:42" ht="28.9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</row>
    <row r="32" spans="1:42" ht="28.9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</row>
    <row r="33" spans="1:42" ht="28.9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</row>
    <row r="34" spans="1:42" ht="28.9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</row>
    <row r="35" spans="1:42" ht="28.9" customHeight="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</row>
    <row r="36" spans="1:42" ht="28.9" customHeight="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</row>
    <row r="37" spans="1:42" ht="28.9" customHeight="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</row>
    <row r="38" spans="1:42" ht="28.9" customHeight="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</row>
    <row r="39" spans="1:42" ht="28.9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</row>
    <row r="40" spans="1:42" ht="28.9" customHeight="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</row>
    <row r="41" spans="1:42" ht="28.9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</row>
    <row r="42" spans="1:42" ht="28.9" customHeight="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</row>
    <row r="43" spans="1:42" ht="28.9" customHeight="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</row>
    <row r="44" spans="1:42" ht="28.9" customHeight="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</row>
    <row r="45" spans="1:42" ht="28.9" customHeight="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</row>
    <row r="46" spans="1:42" ht="28.9" customHeight="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</row>
    <row r="47" spans="1:42" ht="28.9" customHeight="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</row>
    <row r="48" spans="1:42" ht="28.9" customHeight="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</row>
    <row r="49" spans="1:42" ht="28.9" customHeight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</row>
    <row r="50" spans="1:42" ht="28.9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</row>
    <row r="51" spans="1:42" ht="28.9" customHeight="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</row>
    <row r="52" spans="1:42" ht="28.9" customHeight="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</row>
    <row r="53" spans="1:42" ht="28.9" customHeight="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</row>
    <row r="54" spans="1:42" ht="28.9" customHeight="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</row>
    <row r="55" spans="1:42" ht="28.9" customHeight="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</row>
    <row r="56" spans="1:42" ht="28.9" customHeight="1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</row>
    <row r="57" spans="1:42" ht="28.9" customHeight="1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</row>
    <row r="58" spans="1:42" ht="28.9" customHeight="1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</row>
    <row r="59" spans="1:42" ht="28.9" customHeight="1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</row>
    <row r="60" spans="1:42" ht="28.9" customHeight="1" x14ac:dyDescent="0.25"/>
    <row r="61" spans="1:42" ht="28.9" customHeight="1" x14ac:dyDescent="0.25"/>
    <row r="62" spans="1:42" ht="28.9" customHeight="1" x14ac:dyDescent="0.25"/>
    <row r="63" spans="1:42" ht="28.9" customHeight="1" x14ac:dyDescent="0.25"/>
    <row r="64" spans="1:42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5">
    <tabColor rgb="FFC00000"/>
  </sheetPr>
  <dimension ref="A1:AY66"/>
  <sheetViews>
    <sheetView zoomScale="40" zoomScaleNormal="40" workbookViewId="0">
      <selection activeCell="S33" sqref="S33"/>
    </sheetView>
  </sheetViews>
  <sheetFormatPr defaultColWidth="8.85546875" defaultRowHeight="15" x14ac:dyDescent="0.25"/>
  <cols>
    <col min="1" max="4" width="8.85546875" style="100"/>
    <col min="5" max="5" width="4.5703125" style="100" bestFit="1" customWidth="1"/>
    <col min="6" max="6" width="21.85546875" style="100" bestFit="1" customWidth="1"/>
    <col min="7" max="7" width="26" style="100" bestFit="1" customWidth="1"/>
    <col min="8" max="8" width="19.42578125" style="100" bestFit="1" customWidth="1"/>
    <col min="9" max="9" width="12.140625" style="100" bestFit="1" customWidth="1"/>
    <col min="10" max="10" width="12.7109375" style="100" bestFit="1" customWidth="1"/>
    <col min="11" max="11" width="4.5703125" style="100" customWidth="1"/>
    <col min="12" max="12" width="25.42578125" style="100" customWidth="1"/>
    <col min="13" max="13" width="26.28515625" style="100" customWidth="1"/>
    <col min="14" max="14" width="2.7109375" style="100" bestFit="1" customWidth="1"/>
    <col min="15" max="15" width="47.7109375" style="100" customWidth="1"/>
    <col min="16" max="16" width="2.7109375" style="100" bestFit="1" customWidth="1"/>
    <col min="17" max="17" width="20.42578125" style="100" bestFit="1" customWidth="1"/>
    <col min="18" max="18" width="2.7109375" style="100" bestFit="1" customWidth="1"/>
    <col min="19" max="19" width="46.85546875" style="100" customWidth="1"/>
    <col min="20" max="23" width="8.85546875" style="100"/>
    <col min="24" max="24" width="23.42578125" style="100" bestFit="1" customWidth="1"/>
    <col min="25" max="25" width="2.7109375" style="100" bestFit="1" customWidth="1"/>
    <col min="26" max="26" width="51.140625" style="100" customWidth="1"/>
    <col min="27" max="16384" width="8.85546875" style="100"/>
  </cols>
  <sheetData>
    <row r="1" spans="1:51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thickBot="1" x14ac:dyDescent="0.3"/>
    <row r="14" spans="1:51" ht="28.9" customHeight="1" x14ac:dyDescent="0.25">
      <c r="N14" s="478" t="s">
        <v>280</v>
      </c>
      <c r="O14" s="479"/>
      <c r="P14" s="479"/>
      <c r="Q14" s="479"/>
      <c r="R14" s="479"/>
      <c r="S14" s="479"/>
      <c r="T14" s="480"/>
      <c r="W14" s="500" t="s">
        <v>281</v>
      </c>
      <c r="X14" s="501"/>
      <c r="Y14" s="501"/>
      <c r="Z14" s="501"/>
      <c r="AA14" s="502"/>
    </row>
    <row r="15" spans="1:51" ht="28.9" customHeight="1" x14ac:dyDescent="0.25">
      <c r="N15" s="481"/>
      <c r="O15" s="482"/>
      <c r="P15" s="482"/>
      <c r="Q15" s="482"/>
      <c r="R15" s="482"/>
      <c r="S15" s="482"/>
      <c r="T15" s="483"/>
      <c r="W15" s="503"/>
      <c r="X15" s="504"/>
      <c r="Y15" s="504"/>
      <c r="Z15" s="504"/>
      <c r="AA15" s="505"/>
    </row>
    <row r="16" spans="1:51" ht="28.9" customHeight="1" x14ac:dyDescent="0.25">
      <c r="N16" s="481"/>
      <c r="O16" s="482"/>
      <c r="P16" s="482"/>
      <c r="Q16" s="482"/>
      <c r="R16" s="482"/>
      <c r="S16" s="482"/>
      <c r="T16" s="483"/>
      <c r="W16" s="503"/>
      <c r="X16" s="504"/>
      <c r="Y16" s="504"/>
      <c r="Z16" s="504"/>
      <c r="AA16" s="505"/>
    </row>
    <row r="17" spans="14:27" ht="28.9" customHeight="1" x14ac:dyDescent="0.45">
      <c r="N17" s="17" t="s">
        <v>13</v>
      </c>
      <c r="O17" s="43" t="s">
        <v>13</v>
      </c>
      <c r="P17" s="43" t="s">
        <v>13</v>
      </c>
      <c r="Q17" s="43" t="s">
        <v>13</v>
      </c>
      <c r="R17" s="43" t="s">
        <v>13</v>
      </c>
      <c r="S17" s="45" t="s">
        <v>13</v>
      </c>
      <c r="T17" s="128" t="s">
        <v>13</v>
      </c>
      <c r="W17" s="29" t="s">
        <v>13</v>
      </c>
      <c r="X17" s="26" t="s">
        <v>13</v>
      </c>
      <c r="Y17" s="27" t="s">
        <v>13</v>
      </c>
      <c r="Z17" s="27" t="s">
        <v>13</v>
      </c>
      <c r="AA17" s="30" t="s">
        <v>13</v>
      </c>
    </row>
    <row r="18" spans="14:27" ht="28.9" customHeight="1" x14ac:dyDescent="0.45">
      <c r="N18" s="17" t="s">
        <v>13</v>
      </c>
      <c r="O18" s="138" t="s">
        <v>3</v>
      </c>
      <c r="P18" s="44"/>
      <c r="Q18" s="43" t="s">
        <v>13</v>
      </c>
      <c r="R18" s="43" t="s">
        <v>13</v>
      </c>
      <c r="S18" s="412">
        <v>1</v>
      </c>
      <c r="T18" s="128" t="s">
        <v>13</v>
      </c>
      <c r="W18" s="29" t="s">
        <v>13</v>
      </c>
      <c r="X18" s="164" t="s">
        <v>282</v>
      </c>
      <c r="Y18" s="28"/>
      <c r="Z18" s="102"/>
      <c r="AA18" s="31" t="s">
        <v>13</v>
      </c>
    </row>
    <row r="19" spans="14:27" ht="28.9" customHeight="1" x14ac:dyDescent="0.45">
      <c r="N19" s="17" t="s">
        <v>13</v>
      </c>
      <c r="O19" s="43" t="s">
        <v>13</v>
      </c>
      <c r="P19" s="43" t="s">
        <v>13</v>
      </c>
      <c r="Q19" s="43" t="s">
        <v>13</v>
      </c>
      <c r="R19" s="43" t="s">
        <v>13</v>
      </c>
      <c r="S19" s="413" t="s">
        <v>13</v>
      </c>
      <c r="T19" s="13" t="s">
        <v>13</v>
      </c>
      <c r="W19" s="29" t="s">
        <v>13</v>
      </c>
      <c r="X19" s="83"/>
      <c r="Y19" s="27"/>
      <c r="Z19" s="27"/>
      <c r="AA19" s="30" t="s">
        <v>13</v>
      </c>
    </row>
    <row r="20" spans="14:27" ht="28.9" customHeight="1" x14ac:dyDescent="0.45">
      <c r="N20" s="17" t="s">
        <v>13</v>
      </c>
      <c r="O20" s="160" t="s">
        <v>4</v>
      </c>
      <c r="P20" s="44"/>
      <c r="Q20" s="43" t="s">
        <v>13</v>
      </c>
      <c r="R20" s="43" t="s">
        <v>13</v>
      </c>
      <c r="S20" s="412">
        <v>1</v>
      </c>
      <c r="T20" s="128" t="s">
        <v>13</v>
      </c>
      <c r="W20" s="29" t="s">
        <v>13</v>
      </c>
      <c r="X20" s="164" t="s">
        <v>283</v>
      </c>
      <c r="Y20" s="28"/>
      <c r="Z20" s="102"/>
      <c r="AA20" s="31" t="s">
        <v>13</v>
      </c>
    </row>
    <row r="21" spans="14:27" ht="28.9" customHeight="1" x14ac:dyDescent="0.45">
      <c r="N21" s="17" t="s">
        <v>13</v>
      </c>
      <c r="O21" s="161"/>
      <c r="P21" s="43" t="s">
        <v>13</v>
      </c>
      <c r="Q21" s="43" t="s">
        <v>13</v>
      </c>
      <c r="R21" s="43" t="s">
        <v>13</v>
      </c>
      <c r="S21" s="413" t="s">
        <v>13</v>
      </c>
      <c r="T21" s="128" t="s">
        <v>13</v>
      </c>
      <c r="W21" s="29" t="s">
        <v>13</v>
      </c>
      <c r="X21" s="28"/>
      <c r="Y21" s="27"/>
      <c r="Z21" s="27"/>
      <c r="AA21" s="30" t="s">
        <v>13</v>
      </c>
    </row>
    <row r="22" spans="14:27" ht="28.9" customHeight="1" x14ac:dyDescent="0.45">
      <c r="N22" s="17" t="s">
        <v>13</v>
      </c>
      <c r="O22" s="160" t="s">
        <v>5</v>
      </c>
      <c r="P22" s="43" t="s">
        <v>13</v>
      </c>
      <c r="Q22" s="43" t="s">
        <v>13</v>
      </c>
      <c r="R22" s="43" t="s">
        <v>13</v>
      </c>
      <c r="S22" s="414">
        <v>5</v>
      </c>
      <c r="T22" s="128" t="s">
        <v>13</v>
      </c>
      <c r="W22" s="29" t="s">
        <v>13</v>
      </c>
      <c r="X22" s="28"/>
      <c r="Y22" s="28"/>
      <c r="Z22" s="28"/>
      <c r="AA22" s="31" t="s">
        <v>13</v>
      </c>
    </row>
    <row r="23" spans="14:27" ht="28.9" customHeight="1" x14ac:dyDescent="0.45">
      <c r="N23" s="17" t="s">
        <v>13</v>
      </c>
      <c r="O23" s="161"/>
      <c r="P23" s="43" t="s">
        <v>13</v>
      </c>
      <c r="Q23" s="43" t="s">
        <v>13</v>
      </c>
      <c r="R23" s="43" t="s">
        <v>13</v>
      </c>
      <c r="S23" s="413" t="s">
        <v>13</v>
      </c>
      <c r="T23" s="128" t="s">
        <v>13</v>
      </c>
      <c r="W23" s="29" t="s">
        <v>13</v>
      </c>
      <c r="X23" s="28"/>
      <c r="Y23" s="27"/>
      <c r="Z23" s="27"/>
      <c r="AA23" s="30" t="s">
        <v>13</v>
      </c>
    </row>
    <row r="24" spans="14:27" ht="28.9" customHeight="1" x14ac:dyDescent="0.45">
      <c r="N24" s="17" t="s">
        <v>13</v>
      </c>
      <c r="O24" s="160" t="s">
        <v>6</v>
      </c>
      <c r="P24" s="43" t="s">
        <v>13</v>
      </c>
      <c r="Q24" s="43" t="s">
        <v>13</v>
      </c>
      <c r="R24" s="43" t="s">
        <v>13</v>
      </c>
      <c r="S24" s="414">
        <v>3</v>
      </c>
      <c r="T24" s="128" t="s">
        <v>13</v>
      </c>
      <c r="W24" s="29" t="s">
        <v>13</v>
      </c>
      <c r="X24" s="28"/>
      <c r="Y24" s="28"/>
      <c r="Z24" s="28"/>
      <c r="AA24" s="30" t="s">
        <v>13</v>
      </c>
    </row>
    <row r="25" spans="14:27" ht="28.9" customHeight="1" x14ac:dyDescent="0.45">
      <c r="N25" s="17" t="s">
        <v>13</v>
      </c>
      <c r="O25" s="161"/>
      <c r="P25" s="43" t="s">
        <v>13</v>
      </c>
      <c r="Q25" s="43" t="s">
        <v>13</v>
      </c>
      <c r="R25" s="43" t="s">
        <v>13</v>
      </c>
      <c r="S25" s="413" t="s">
        <v>13</v>
      </c>
      <c r="T25" s="128" t="s">
        <v>13</v>
      </c>
      <c r="W25" s="29" t="s">
        <v>13</v>
      </c>
      <c r="X25" s="28"/>
      <c r="Y25" s="28"/>
      <c r="Z25" s="27"/>
      <c r="AA25" s="30" t="s">
        <v>13</v>
      </c>
    </row>
    <row r="26" spans="14:27" ht="28.9" customHeight="1" x14ac:dyDescent="0.45">
      <c r="N26" s="61"/>
      <c r="O26" s="160" t="s">
        <v>7</v>
      </c>
      <c r="P26" s="72"/>
      <c r="Q26" s="72"/>
      <c r="R26" s="72"/>
      <c r="S26" s="415">
        <v>2</v>
      </c>
      <c r="T26" s="7"/>
      <c r="W26" s="29" t="s">
        <v>13</v>
      </c>
      <c r="X26" s="28"/>
      <c r="Y26" s="28"/>
      <c r="Z26" s="28"/>
      <c r="AA26" s="30" t="s">
        <v>13</v>
      </c>
    </row>
    <row r="27" spans="14:27" ht="28.9" customHeight="1" thickBot="1" x14ac:dyDescent="0.5">
      <c r="N27" s="61"/>
      <c r="O27" s="72"/>
      <c r="P27" s="72"/>
      <c r="Q27" s="72"/>
      <c r="R27" s="72"/>
      <c r="S27" s="72"/>
      <c r="T27" s="7"/>
      <c r="W27" s="32" t="s">
        <v>13</v>
      </c>
      <c r="X27" s="34" t="s">
        <v>13</v>
      </c>
      <c r="Y27" s="35" t="s">
        <v>13</v>
      </c>
      <c r="Z27" s="33" t="s">
        <v>13</v>
      </c>
      <c r="AA27" s="36" t="s">
        <v>13</v>
      </c>
    </row>
    <row r="28" spans="14:27" ht="28.9" customHeight="1" x14ac:dyDescent="0.25">
      <c r="N28" s="61"/>
      <c r="O28" s="72"/>
      <c r="P28" s="72"/>
      <c r="Q28" s="72"/>
      <c r="R28" s="72"/>
      <c r="S28" s="72"/>
      <c r="T28" s="7"/>
    </row>
    <row r="29" spans="14:27" ht="28.9" customHeight="1" x14ac:dyDescent="0.25">
      <c r="N29" s="61"/>
      <c r="O29" s="72"/>
      <c r="P29" s="72"/>
      <c r="Q29" s="72"/>
      <c r="R29" s="72"/>
      <c r="S29" s="72"/>
      <c r="T29" s="7"/>
    </row>
    <row r="30" spans="14:27" ht="28.9" customHeight="1" x14ac:dyDescent="0.25">
      <c r="N30" s="61"/>
      <c r="O30" s="72"/>
      <c r="P30" s="72"/>
      <c r="Q30" s="72"/>
      <c r="R30" s="72"/>
      <c r="S30" s="72"/>
      <c r="T30" s="7"/>
    </row>
    <row r="31" spans="14:27" ht="28.9" customHeight="1" thickBot="1" x14ac:dyDescent="0.3">
      <c r="N31" s="73"/>
      <c r="O31" s="74"/>
      <c r="P31" s="74"/>
      <c r="Q31" s="74"/>
      <c r="R31" s="74"/>
      <c r="S31" s="74"/>
      <c r="T31" s="75"/>
    </row>
    <row r="32" spans="14:27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N14:T16"/>
    <mergeCell ref="W14:AA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6">
    <tabColor rgb="FFC00000"/>
  </sheetPr>
  <dimension ref="A1:AY66"/>
  <sheetViews>
    <sheetView zoomScale="40" zoomScaleNormal="40" workbookViewId="0">
      <selection activeCell="X30" sqref="X30"/>
    </sheetView>
  </sheetViews>
  <sheetFormatPr defaultColWidth="8.85546875" defaultRowHeight="15" x14ac:dyDescent="0.25"/>
  <cols>
    <col min="1" max="4" width="8.85546875" style="100"/>
    <col min="5" max="5" width="4.5703125" style="100" bestFit="1" customWidth="1"/>
    <col min="6" max="6" width="21.85546875" style="100" bestFit="1" customWidth="1"/>
    <col min="7" max="7" width="26" style="100" bestFit="1" customWidth="1"/>
    <col min="8" max="8" width="19.42578125" style="100" bestFit="1" customWidth="1"/>
    <col min="9" max="9" width="12.140625" style="100" bestFit="1" customWidth="1"/>
    <col min="10" max="10" width="12.7109375" style="100" bestFit="1" customWidth="1"/>
    <col min="11" max="11" width="4.5703125" style="100" customWidth="1"/>
    <col min="12" max="12" width="25.42578125" style="100" customWidth="1"/>
    <col min="13" max="13" width="26.28515625" style="100" customWidth="1"/>
    <col min="14" max="14" width="2.7109375" style="100" bestFit="1" customWidth="1"/>
    <col min="15" max="15" width="47.7109375" style="100" customWidth="1"/>
    <col min="16" max="16" width="2.7109375" style="100" bestFit="1" customWidth="1"/>
    <col min="17" max="17" width="20.42578125" style="100" bestFit="1" customWidth="1"/>
    <col min="18" max="18" width="2.7109375" style="100" bestFit="1" customWidth="1"/>
    <col min="19" max="19" width="31.28515625" style="100" customWidth="1"/>
    <col min="20" max="23" width="8.85546875" style="100"/>
    <col min="24" max="24" width="23.42578125" style="100" bestFit="1" customWidth="1"/>
    <col min="25" max="25" width="2.7109375" style="100" bestFit="1" customWidth="1"/>
    <col min="26" max="26" width="51.140625" style="100" customWidth="1"/>
    <col min="27" max="16384" width="8.85546875" style="100"/>
  </cols>
  <sheetData>
    <row r="1" spans="1:51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9" customHeight="1" x14ac:dyDescent="0.25"/>
    <row r="9" spans="1:51" ht="28.9" customHeight="1" x14ac:dyDescent="0.25"/>
    <row r="10" spans="1:51" ht="28.9" customHeight="1" x14ac:dyDescent="0.25"/>
    <row r="11" spans="1:51" ht="28.9" customHeight="1" x14ac:dyDescent="0.25"/>
    <row r="12" spans="1:51" ht="28.9" customHeight="1" x14ac:dyDescent="0.25"/>
    <row r="13" spans="1:51" ht="28.9" customHeight="1" thickBot="1" x14ac:dyDescent="0.3"/>
    <row r="14" spans="1:51" ht="28.9" customHeight="1" x14ac:dyDescent="0.25">
      <c r="N14" s="478" t="s">
        <v>280</v>
      </c>
      <c r="O14" s="479"/>
      <c r="P14" s="479"/>
      <c r="Q14" s="479"/>
      <c r="R14" s="479"/>
      <c r="S14" s="479"/>
      <c r="T14" s="480"/>
    </row>
    <row r="15" spans="1:51" ht="28.9" customHeight="1" x14ac:dyDescent="0.25">
      <c r="N15" s="481"/>
      <c r="O15" s="482"/>
      <c r="P15" s="482"/>
      <c r="Q15" s="482"/>
      <c r="R15" s="482"/>
      <c r="S15" s="482"/>
      <c r="T15" s="483"/>
    </row>
    <row r="16" spans="1:51" ht="28.9" customHeight="1" x14ac:dyDescent="0.25">
      <c r="N16" s="481"/>
      <c r="O16" s="482"/>
      <c r="P16" s="482"/>
      <c r="Q16" s="482"/>
      <c r="R16" s="482"/>
      <c r="S16" s="482"/>
      <c r="T16" s="483"/>
    </row>
    <row r="17" spans="14:20" ht="28.9" customHeight="1" x14ac:dyDescent="0.45">
      <c r="N17" s="17" t="s">
        <v>13</v>
      </c>
      <c r="O17" s="43" t="s">
        <v>13</v>
      </c>
      <c r="P17" s="43" t="s">
        <v>13</v>
      </c>
      <c r="Q17" s="43" t="s">
        <v>13</v>
      </c>
      <c r="R17" s="43" t="s">
        <v>13</v>
      </c>
      <c r="S17" s="45" t="s">
        <v>13</v>
      </c>
      <c r="T17" s="128" t="s">
        <v>13</v>
      </c>
    </row>
    <row r="18" spans="14:20" ht="28.9" customHeight="1" x14ac:dyDescent="0.45">
      <c r="N18" s="17" t="s">
        <v>13</v>
      </c>
      <c r="O18" s="138" t="s">
        <v>3</v>
      </c>
      <c r="P18" s="44"/>
      <c r="Q18" s="43" t="s">
        <v>13</v>
      </c>
      <c r="R18" s="43" t="s">
        <v>13</v>
      </c>
      <c r="S18" s="123"/>
      <c r="T18" s="128" t="s">
        <v>13</v>
      </c>
    </row>
    <row r="19" spans="14:20" ht="28.9" customHeight="1" x14ac:dyDescent="0.45">
      <c r="N19" s="17" t="s">
        <v>13</v>
      </c>
      <c r="O19" s="43" t="s">
        <v>13</v>
      </c>
      <c r="P19" s="43" t="s">
        <v>13</v>
      </c>
      <c r="Q19" s="43" t="s">
        <v>13</v>
      </c>
      <c r="R19" s="43" t="s">
        <v>13</v>
      </c>
      <c r="S19" s="45" t="s">
        <v>13</v>
      </c>
      <c r="T19" s="13" t="s">
        <v>13</v>
      </c>
    </row>
    <row r="20" spans="14:20" ht="28.9" customHeight="1" x14ac:dyDescent="0.45">
      <c r="N20" s="17" t="s">
        <v>13</v>
      </c>
      <c r="O20" s="160" t="s">
        <v>4</v>
      </c>
      <c r="P20" s="44"/>
      <c r="Q20" s="43" t="s">
        <v>13</v>
      </c>
      <c r="R20" s="43" t="s">
        <v>13</v>
      </c>
      <c r="S20" s="123"/>
      <c r="T20" s="128" t="s">
        <v>13</v>
      </c>
    </row>
    <row r="21" spans="14:20" ht="28.9" customHeight="1" x14ac:dyDescent="0.45">
      <c r="N21" s="17" t="s">
        <v>13</v>
      </c>
      <c r="O21" s="161"/>
      <c r="P21" s="43" t="s">
        <v>13</v>
      </c>
      <c r="Q21" s="43" t="s">
        <v>13</v>
      </c>
      <c r="R21" s="43" t="s">
        <v>13</v>
      </c>
      <c r="S21" s="137" t="s">
        <v>13</v>
      </c>
      <c r="T21" s="128" t="s">
        <v>13</v>
      </c>
    </row>
    <row r="22" spans="14:20" ht="28.9" customHeight="1" x14ac:dyDescent="0.45">
      <c r="N22" s="17" t="s">
        <v>13</v>
      </c>
      <c r="O22" s="160" t="s">
        <v>5</v>
      </c>
      <c r="P22" s="43" t="s">
        <v>13</v>
      </c>
      <c r="Q22" s="43" t="s">
        <v>13</v>
      </c>
      <c r="R22" s="43" t="s">
        <v>13</v>
      </c>
      <c r="S22" s="162" t="s">
        <v>13</v>
      </c>
      <c r="T22" s="128" t="s">
        <v>13</v>
      </c>
    </row>
    <row r="23" spans="14:20" ht="28.9" customHeight="1" x14ac:dyDescent="0.45">
      <c r="N23" s="17" t="s">
        <v>13</v>
      </c>
      <c r="O23" s="161"/>
      <c r="P23" s="43" t="s">
        <v>13</v>
      </c>
      <c r="Q23" s="43" t="s">
        <v>13</v>
      </c>
      <c r="R23" s="43" t="s">
        <v>13</v>
      </c>
      <c r="S23" s="137" t="s">
        <v>13</v>
      </c>
      <c r="T23" s="128" t="s">
        <v>13</v>
      </c>
    </row>
    <row r="24" spans="14:20" ht="28.9" customHeight="1" x14ac:dyDescent="0.45">
      <c r="N24" s="17" t="s">
        <v>13</v>
      </c>
      <c r="O24" s="160" t="s">
        <v>6</v>
      </c>
      <c r="P24" s="43" t="s">
        <v>13</v>
      </c>
      <c r="Q24" s="43" t="s">
        <v>13</v>
      </c>
      <c r="R24" s="43" t="s">
        <v>13</v>
      </c>
      <c r="S24" s="162" t="s">
        <v>13</v>
      </c>
      <c r="T24" s="128" t="s">
        <v>13</v>
      </c>
    </row>
    <row r="25" spans="14:20" ht="28.9" customHeight="1" x14ac:dyDescent="0.45">
      <c r="N25" s="17" t="s">
        <v>13</v>
      </c>
      <c r="O25" s="161"/>
      <c r="P25" s="43" t="s">
        <v>13</v>
      </c>
      <c r="Q25" s="43" t="s">
        <v>13</v>
      </c>
      <c r="R25" s="43" t="s">
        <v>13</v>
      </c>
      <c r="S25" s="137" t="s">
        <v>13</v>
      </c>
      <c r="T25" s="128" t="s">
        <v>13</v>
      </c>
    </row>
    <row r="26" spans="14:20" ht="28.9" customHeight="1" x14ac:dyDescent="0.25">
      <c r="N26" s="61"/>
      <c r="O26" s="160" t="s">
        <v>7</v>
      </c>
      <c r="P26" s="72"/>
      <c r="Q26" s="72"/>
      <c r="R26" s="72"/>
      <c r="S26" s="163"/>
      <c r="T26" s="7"/>
    </row>
    <row r="27" spans="14:20" ht="28.9" customHeight="1" x14ac:dyDescent="0.25">
      <c r="N27" s="61"/>
      <c r="O27" s="72"/>
      <c r="P27" s="72"/>
      <c r="Q27" s="72"/>
      <c r="R27" s="72"/>
      <c r="S27" s="72"/>
      <c r="T27" s="7"/>
    </row>
    <row r="28" spans="14:20" ht="28.9" customHeight="1" x14ac:dyDescent="0.25">
      <c r="N28" s="61"/>
      <c r="O28" s="72"/>
      <c r="P28" s="72"/>
      <c r="Q28" s="72"/>
      <c r="R28" s="72"/>
      <c r="S28" s="72"/>
      <c r="T28" s="7"/>
    </row>
    <row r="29" spans="14:20" ht="28.9" customHeight="1" x14ac:dyDescent="0.25">
      <c r="N29" s="61"/>
      <c r="O29" s="72"/>
      <c r="P29" s="72"/>
      <c r="Q29" s="72"/>
      <c r="R29" s="72"/>
      <c r="S29" s="72"/>
      <c r="T29" s="7"/>
    </row>
    <row r="30" spans="14:20" ht="28.9" customHeight="1" x14ac:dyDescent="0.25">
      <c r="N30" s="61"/>
      <c r="O30" s="72"/>
      <c r="P30" s="72"/>
      <c r="Q30" s="72"/>
      <c r="R30" s="72"/>
      <c r="S30" s="72"/>
      <c r="T30" s="7"/>
    </row>
    <row r="31" spans="14:20" ht="28.9" customHeight="1" thickBot="1" x14ac:dyDescent="0.3">
      <c r="N31" s="73"/>
      <c r="O31" s="74"/>
      <c r="P31" s="74"/>
      <c r="Q31" s="74"/>
      <c r="R31" s="74"/>
      <c r="S31" s="74"/>
      <c r="T31" s="75"/>
    </row>
    <row r="32" spans="14:20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N14:T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1">
    <tabColor rgb="FF00B050"/>
  </sheetPr>
  <dimension ref="A1:AW66"/>
  <sheetViews>
    <sheetView zoomScale="40" zoomScaleNormal="40" workbookViewId="0">
      <selection activeCell="X35" sqref="X35"/>
    </sheetView>
  </sheetViews>
  <sheetFormatPr defaultColWidth="8.85546875" defaultRowHeight="15" x14ac:dyDescent="0.25"/>
  <cols>
    <col min="1" max="4" width="8.85546875" style="100"/>
    <col min="5" max="5" width="4.5703125" style="100" bestFit="1" customWidth="1"/>
    <col min="6" max="6" width="21.85546875" style="100" bestFit="1" customWidth="1"/>
    <col min="7" max="7" width="26" style="100" bestFit="1" customWidth="1"/>
    <col min="8" max="8" width="19.42578125" style="100" bestFit="1" customWidth="1"/>
    <col min="9" max="9" width="12.140625" style="100" bestFit="1" customWidth="1"/>
    <col min="10" max="10" width="12.7109375" style="100" bestFit="1" customWidth="1"/>
    <col min="11" max="11" width="4.5703125" style="100" customWidth="1"/>
    <col min="12" max="12" width="25.42578125" style="100" customWidth="1"/>
    <col min="13" max="13" width="26.28515625" style="100" customWidth="1"/>
    <col min="14" max="14" width="2.7109375" style="100" bestFit="1" customWidth="1"/>
    <col min="15" max="15" width="99.28515625" style="100" bestFit="1" customWidth="1"/>
    <col min="16" max="16" width="11.28515625" style="100" customWidth="1"/>
    <col min="17" max="17" width="56.140625" style="100" customWidth="1"/>
    <col min="18" max="21" width="8.85546875" style="100"/>
    <col min="22" max="22" width="23.42578125" style="100" bestFit="1" customWidth="1"/>
    <col min="23" max="23" width="2.7109375" style="100" bestFit="1" customWidth="1"/>
    <col min="24" max="24" width="51.140625" style="100" customWidth="1"/>
    <col min="25" max="16384" width="8.85546875" style="100"/>
  </cols>
  <sheetData>
    <row r="1" spans="1:49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9" customHeight="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</row>
    <row r="9" spans="1:49" ht="28.9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</row>
    <row r="10" spans="1:49" ht="28.9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</row>
    <row r="11" spans="1:49" ht="28.9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</row>
    <row r="12" spans="1:49" ht="28.9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</row>
    <row r="13" spans="1:49" ht="28.9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</row>
    <row r="14" spans="1:49" ht="28.9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</row>
    <row r="15" spans="1:49" ht="28.9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</row>
    <row r="16" spans="1:49" ht="28.9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</row>
    <row r="17" spans="1:37" ht="28.9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</row>
    <row r="18" spans="1:37" ht="28.9" customHeight="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</row>
    <row r="19" spans="1:37" ht="28.9" customHeigh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</row>
    <row r="20" spans="1:37" ht="28.9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</row>
    <row r="21" spans="1:37" ht="28.9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</row>
    <row r="22" spans="1:37" ht="28.9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</row>
    <row r="23" spans="1:37" ht="28.9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</row>
    <row r="24" spans="1:37" ht="28.9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</row>
    <row r="25" spans="1:37" ht="28.9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</row>
    <row r="26" spans="1:37" ht="28.9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</row>
    <row r="27" spans="1:37" ht="28.9" customHeight="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</row>
    <row r="28" spans="1:37" ht="28.9" customHeight="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</row>
    <row r="29" spans="1:37" ht="28.9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</row>
    <row r="30" spans="1:37" ht="28.9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</row>
    <row r="31" spans="1:37" ht="28.9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</row>
    <row r="32" spans="1:37" ht="28.9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</row>
    <row r="33" spans="1:37" ht="28.9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</row>
    <row r="34" spans="1:37" ht="28.9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</row>
    <row r="35" spans="1:37" ht="28.9" customHeight="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</row>
    <row r="36" spans="1:37" ht="28.9" customHeight="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</row>
    <row r="37" spans="1:37" ht="28.9" customHeight="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</row>
    <row r="38" spans="1:37" ht="28.9" customHeight="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</row>
    <row r="39" spans="1:37" ht="28.9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</row>
    <row r="40" spans="1:37" ht="28.9" customHeight="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</row>
    <row r="41" spans="1:37" ht="28.9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</row>
    <row r="42" spans="1:37" ht="28.9" customHeight="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</row>
    <row r="43" spans="1:37" ht="28.9" customHeight="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</row>
    <row r="44" spans="1:37" ht="28.9" customHeight="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</row>
    <row r="45" spans="1:37" ht="28.9" customHeight="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</row>
    <row r="46" spans="1:37" ht="28.9" customHeight="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</row>
    <row r="47" spans="1:37" ht="28.9" customHeight="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</row>
    <row r="48" spans="1:37" ht="28.9" customHeight="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</row>
    <row r="49" spans="1:37" ht="28.9" customHeight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</row>
    <row r="50" spans="1:37" ht="28.9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</row>
    <row r="51" spans="1:37" ht="28.9" customHeight="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</row>
    <row r="52" spans="1:37" ht="28.9" customHeight="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</row>
    <row r="53" spans="1:37" ht="28.9" customHeight="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</row>
    <row r="54" spans="1:37" ht="28.9" customHeight="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</row>
    <row r="55" spans="1:37" ht="28.9" customHeight="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</row>
    <row r="56" spans="1:37" ht="28.9" customHeight="1" x14ac:dyDescent="0.25"/>
    <row r="57" spans="1:37" ht="28.9" customHeight="1" x14ac:dyDescent="0.25"/>
    <row r="58" spans="1:37" ht="28.9" customHeight="1" x14ac:dyDescent="0.25"/>
    <row r="59" spans="1:37" ht="28.9" customHeight="1" x14ac:dyDescent="0.25"/>
    <row r="60" spans="1:37" ht="28.9" customHeight="1" x14ac:dyDescent="0.25"/>
    <row r="61" spans="1:37" ht="28.9" customHeight="1" x14ac:dyDescent="0.25"/>
    <row r="62" spans="1:37" ht="28.9" customHeight="1" x14ac:dyDescent="0.25"/>
    <row r="63" spans="1:37" ht="28.9" customHeight="1" x14ac:dyDescent="0.25"/>
    <row r="64" spans="1:37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7">
    <tabColor rgb="FF00B050"/>
  </sheetPr>
  <dimension ref="A1:AW66"/>
  <sheetViews>
    <sheetView zoomScale="40" zoomScaleNormal="40" workbookViewId="0">
      <selection activeCell="V24" sqref="V24"/>
    </sheetView>
  </sheetViews>
  <sheetFormatPr defaultColWidth="8.85546875" defaultRowHeight="15" x14ac:dyDescent="0.25"/>
  <cols>
    <col min="1" max="4" width="8.85546875" style="100"/>
    <col min="5" max="5" width="4.5703125" style="100" bestFit="1" customWidth="1"/>
    <col min="6" max="6" width="21.85546875" style="100" bestFit="1" customWidth="1"/>
    <col min="7" max="7" width="26" style="100" bestFit="1" customWidth="1"/>
    <col min="8" max="8" width="19.42578125" style="100" bestFit="1" customWidth="1"/>
    <col min="9" max="9" width="12.140625" style="100" bestFit="1" customWidth="1"/>
    <col min="10" max="10" width="12.7109375" style="100" bestFit="1" customWidth="1"/>
    <col min="11" max="11" width="4.5703125" style="100" customWidth="1"/>
    <col min="12" max="12" width="25.42578125" style="100" customWidth="1"/>
    <col min="13" max="13" width="26.28515625" style="100" customWidth="1"/>
    <col min="14" max="14" width="2.7109375" style="100" bestFit="1" customWidth="1"/>
    <col min="15" max="15" width="99.28515625" style="100" bestFit="1" customWidth="1"/>
    <col min="16" max="16" width="11.28515625" style="100" customWidth="1"/>
    <col min="17" max="17" width="56.140625" style="100" customWidth="1"/>
    <col min="18" max="21" width="8.85546875" style="100"/>
    <col min="22" max="22" width="23.42578125" style="100" bestFit="1" customWidth="1"/>
    <col min="23" max="23" width="2.7109375" style="100" bestFit="1" customWidth="1"/>
    <col min="24" max="24" width="51.140625" style="100" customWidth="1"/>
    <col min="25" max="16384" width="8.85546875" style="100"/>
  </cols>
  <sheetData>
    <row r="1" spans="1:49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x14ac:dyDescent="0.25"/>
    <row r="12" spans="1:49" ht="28.9" customHeight="1" x14ac:dyDescent="0.25"/>
    <row r="13" spans="1:49" ht="28.9" customHeight="1" thickBot="1" x14ac:dyDescent="0.3"/>
    <row r="14" spans="1:49" ht="28.9" customHeight="1" x14ac:dyDescent="0.25">
      <c r="N14" s="478" t="s">
        <v>652</v>
      </c>
      <c r="O14" s="479"/>
      <c r="P14" s="479"/>
      <c r="Q14" s="479"/>
      <c r="R14" s="480"/>
    </row>
    <row r="15" spans="1:49" ht="28.9" customHeight="1" x14ac:dyDescent="0.25">
      <c r="N15" s="481"/>
      <c r="O15" s="482"/>
      <c r="P15" s="482"/>
      <c r="Q15" s="482"/>
      <c r="R15" s="483"/>
    </row>
    <row r="16" spans="1:49" ht="28.9" customHeight="1" x14ac:dyDescent="0.25">
      <c r="N16" s="481"/>
      <c r="O16" s="482"/>
      <c r="P16" s="482"/>
      <c r="Q16" s="482"/>
      <c r="R16" s="483"/>
    </row>
    <row r="17" spans="14:18" ht="28.9" customHeight="1" x14ac:dyDescent="0.45">
      <c r="N17" s="17" t="s">
        <v>13</v>
      </c>
      <c r="O17" s="43" t="s">
        <v>13</v>
      </c>
      <c r="P17" s="43" t="s">
        <v>13</v>
      </c>
      <c r="Q17" s="45" t="s">
        <v>13</v>
      </c>
      <c r="R17" s="128" t="s">
        <v>13</v>
      </c>
    </row>
    <row r="18" spans="14:18" ht="28.9" customHeight="1" x14ac:dyDescent="0.45">
      <c r="N18" s="17" t="s">
        <v>13</v>
      </c>
      <c r="O18" s="138" t="s">
        <v>284</v>
      </c>
      <c r="P18" s="43" t="s">
        <v>13</v>
      </c>
      <c r="Q18" s="165"/>
      <c r="R18" s="128" t="s">
        <v>13</v>
      </c>
    </row>
    <row r="19" spans="14:18" ht="28.9" customHeight="1" x14ac:dyDescent="0.45">
      <c r="N19" s="17" t="s">
        <v>13</v>
      </c>
      <c r="O19" s="43" t="s">
        <v>13</v>
      </c>
      <c r="P19" s="43" t="s">
        <v>13</v>
      </c>
      <c r="Q19" s="45" t="s">
        <v>13</v>
      </c>
      <c r="R19" s="13" t="s">
        <v>13</v>
      </c>
    </row>
    <row r="20" spans="14:18" ht="28.9" customHeight="1" x14ac:dyDescent="0.45">
      <c r="N20" s="17" t="s">
        <v>13</v>
      </c>
      <c r="O20" s="160" t="s">
        <v>285</v>
      </c>
      <c r="P20" s="43" t="s">
        <v>13</v>
      </c>
      <c r="Q20" s="165"/>
      <c r="R20" s="128" t="s">
        <v>13</v>
      </c>
    </row>
    <row r="21" spans="14:18" ht="28.9" customHeight="1" x14ac:dyDescent="0.45">
      <c r="N21" s="17" t="s">
        <v>13</v>
      </c>
      <c r="O21" s="161"/>
      <c r="P21" s="43" t="s">
        <v>13</v>
      </c>
      <c r="Q21" s="137" t="s">
        <v>13</v>
      </c>
      <c r="R21" s="128" t="s">
        <v>13</v>
      </c>
    </row>
    <row r="22" spans="14:18" ht="28.9" customHeight="1" x14ac:dyDescent="0.45">
      <c r="N22" s="17" t="s">
        <v>13</v>
      </c>
      <c r="O22" s="72"/>
      <c r="P22" s="72"/>
      <c r="Q22" s="72"/>
      <c r="R22" s="128" t="s">
        <v>13</v>
      </c>
    </row>
    <row r="23" spans="14:18" ht="28.9" customHeight="1" x14ac:dyDescent="0.45">
      <c r="N23" s="17" t="s">
        <v>13</v>
      </c>
      <c r="O23" s="72"/>
      <c r="P23" s="72"/>
      <c r="Q23" s="72"/>
      <c r="R23" s="128" t="s">
        <v>13</v>
      </c>
    </row>
    <row r="24" spans="14:18" ht="28.9" customHeight="1" x14ac:dyDescent="0.45">
      <c r="N24" s="17" t="s">
        <v>13</v>
      </c>
      <c r="O24" s="72"/>
      <c r="P24" s="72"/>
      <c r="Q24" s="72"/>
      <c r="R24" s="128" t="s">
        <v>13</v>
      </c>
    </row>
    <row r="25" spans="14:18" ht="28.9" customHeight="1" x14ac:dyDescent="0.45">
      <c r="N25" s="17" t="s">
        <v>13</v>
      </c>
      <c r="O25" s="72"/>
      <c r="P25" s="72"/>
      <c r="Q25" s="72"/>
      <c r="R25" s="128" t="s">
        <v>13</v>
      </c>
    </row>
    <row r="26" spans="14:18" ht="28.9" customHeight="1" thickBot="1" x14ac:dyDescent="0.3">
      <c r="N26" s="73"/>
      <c r="O26" s="74"/>
      <c r="P26" s="74"/>
      <c r="Q26" s="74"/>
      <c r="R26" s="75"/>
    </row>
    <row r="27" spans="14:18" ht="28.9" customHeight="1" x14ac:dyDescent="0.25"/>
    <row r="28" spans="14:18" ht="28.9" customHeight="1" thickBot="1" x14ac:dyDescent="0.3"/>
    <row r="29" spans="14:18" ht="28.9" customHeight="1" x14ac:dyDescent="0.25">
      <c r="N29" s="478" t="s">
        <v>649</v>
      </c>
      <c r="O29" s="479"/>
      <c r="P29" s="479"/>
      <c r="Q29" s="479"/>
      <c r="R29" s="480"/>
    </row>
    <row r="30" spans="14:18" ht="28.9" customHeight="1" x14ac:dyDescent="0.25">
      <c r="N30" s="481"/>
      <c r="O30" s="506"/>
      <c r="P30" s="506"/>
      <c r="Q30" s="506"/>
      <c r="R30" s="483"/>
    </row>
    <row r="31" spans="14:18" ht="28.9" customHeight="1" x14ac:dyDescent="0.25">
      <c r="N31" s="481"/>
      <c r="O31" s="506"/>
      <c r="P31" s="506"/>
      <c r="Q31" s="506"/>
      <c r="R31" s="483"/>
    </row>
    <row r="32" spans="14:18" ht="28.9" customHeight="1" x14ac:dyDescent="0.45">
      <c r="N32" s="17" t="s">
        <v>13</v>
      </c>
      <c r="O32" s="19" t="s">
        <v>13</v>
      </c>
      <c r="P32" s="19" t="s">
        <v>13</v>
      </c>
      <c r="Q32" s="12" t="s">
        <v>13</v>
      </c>
      <c r="R32" s="13" t="s">
        <v>13</v>
      </c>
    </row>
    <row r="33" spans="14:18" ht="28.9" customHeight="1" x14ac:dyDescent="0.45">
      <c r="N33" s="17" t="s">
        <v>13</v>
      </c>
      <c r="O33" s="126" t="s">
        <v>650</v>
      </c>
      <c r="P33" s="19" t="s">
        <v>13</v>
      </c>
      <c r="Q33" s="165"/>
      <c r="R33" s="13" t="s">
        <v>13</v>
      </c>
    </row>
    <row r="34" spans="14:18" ht="28.9" customHeight="1" x14ac:dyDescent="0.45">
      <c r="N34" s="17" t="s">
        <v>13</v>
      </c>
      <c r="O34" s="19" t="s">
        <v>13</v>
      </c>
      <c r="P34" s="19" t="s">
        <v>13</v>
      </c>
      <c r="Q34" s="12" t="s">
        <v>13</v>
      </c>
      <c r="R34" s="13" t="s">
        <v>13</v>
      </c>
    </row>
    <row r="35" spans="14:18" ht="28.9" customHeight="1" x14ac:dyDescent="0.45">
      <c r="N35" s="17" t="s">
        <v>13</v>
      </c>
      <c r="O35" s="363" t="s">
        <v>651</v>
      </c>
      <c r="P35" s="19" t="s">
        <v>13</v>
      </c>
      <c r="Q35" s="165"/>
      <c r="R35" s="13" t="s">
        <v>13</v>
      </c>
    </row>
    <row r="36" spans="14:18" ht="28.9" customHeight="1" x14ac:dyDescent="0.45">
      <c r="N36" s="17" t="s">
        <v>13</v>
      </c>
      <c r="O36" s="364"/>
      <c r="P36" s="19" t="s">
        <v>13</v>
      </c>
      <c r="Q36" s="12" t="s">
        <v>13</v>
      </c>
      <c r="R36" s="13" t="s">
        <v>13</v>
      </c>
    </row>
    <row r="37" spans="14:18" ht="28.9" customHeight="1" x14ac:dyDescent="0.45">
      <c r="N37" s="17" t="s">
        <v>13</v>
      </c>
      <c r="O37" s="247"/>
      <c r="P37" s="247"/>
      <c r="Q37" s="247"/>
      <c r="R37" s="13" t="s">
        <v>13</v>
      </c>
    </row>
    <row r="38" spans="14:18" ht="28.9" customHeight="1" x14ac:dyDescent="0.45">
      <c r="N38" s="17" t="s">
        <v>13</v>
      </c>
      <c r="O38" s="247"/>
      <c r="P38" s="247"/>
      <c r="Q38" s="247"/>
      <c r="R38" s="13" t="s">
        <v>13</v>
      </c>
    </row>
    <row r="39" spans="14:18" ht="28.9" customHeight="1" x14ac:dyDescent="0.45">
      <c r="N39" s="17" t="s">
        <v>13</v>
      </c>
      <c r="O39" s="247"/>
      <c r="P39" s="247"/>
      <c r="Q39" s="247"/>
      <c r="R39" s="13" t="s">
        <v>13</v>
      </c>
    </row>
    <row r="40" spans="14:18" ht="28.9" customHeight="1" x14ac:dyDescent="0.45">
      <c r="N40" s="17" t="s">
        <v>13</v>
      </c>
      <c r="O40" s="247"/>
      <c r="P40" s="247"/>
      <c r="Q40" s="247"/>
      <c r="R40" s="13" t="s">
        <v>13</v>
      </c>
    </row>
    <row r="41" spans="14:18" ht="28.9" customHeight="1" thickBot="1" x14ac:dyDescent="0.3">
      <c r="N41" s="73"/>
      <c r="O41" s="74"/>
      <c r="P41" s="74"/>
      <c r="Q41" s="74"/>
      <c r="R41" s="75"/>
    </row>
    <row r="42" spans="14:18" ht="28.9" customHeight="1" x14ac:dyDescent="0.25"/>
    <row r="43" spans="14:18" ht="28.9" customHeight="1" x14ac:dyDescent="0.25"/>
    <row r="44" spans="14:18" ht="28.9" customHeight="1" x14ac:dyDescent="0.25"/>
    <row r="45" spans="14:18" ht="28.9" customHeight="1" x14ac:dyDescent="0.25"/>
    <row r="46" spans="14:18" ht="28.9" customHeight="1" x14ac:dyDescent="0.25"/>
    <row r="47" spans="14:18" ht="28.9" customHeight="1" x14ac:dyDescent="0.25"/>
    <row r="48" spans="14:1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N14:R16"/>
    <mergeCell ref="N29:R3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8">
    <tabColor rgb="FF00B050"/>
  </sheetPr>
  <dimension ref="A1:AW66"/>
  <sheetViews>
    <sheetView zoomScale="40" zoomScaleNormal="40" workbookViewId="0">
      <selection activeCell="I40" sqref="I40"/>
    </sheetView>
  </sheetViews>
  <sheetFormatPr defaultColWidth="8.85546875" defaultRowHeight="15" x14ac:dyDescent="0.25"/>
  <cols>
    <col min="1" max="4" width="8.85546875" style="100"/>
    <col min="5" max="5" width="4.5703125" style="100" bestFit="1" customWidth="1"/>
    <col min="6" max="6" width="21.85546875" style="100" bestFit="1" customWidth="1"/>
    <col min="7" max="7" width="26" style="100" bestFit="1" customWidth="1"/>
    <col min="8" max="8" width="19.42578125" style="100" bestFit="1" customWidth="1"/>
    <col min="9" max="9" width="12.140625" style="100" bestFit="1" customWidth="1"/>
    <col min="10" max="10" width="12.7109375" style="100" bestFit="1" customWidth="1"/>
    <col min="11" max="11" width="4.5703125" style="100" customWidth="1"/>
    <col min="12" max="12" width="25.42578125" style="100" customWidth="1"/>
    <col min="13" max="13" width="9" style="100" customWidth="1"/>
    <col min="14" max="14" width="30.7109375" style="100" bestFit="1" customWidth="1"/>
    <col min="15" max="15" width="29.28515625" style="100" customWidth="1"/>
    <col min="16" max="16" width="73.42578125" style="100" customWidth="1"/>
    <col min="17" max="17" width="15.5703125" style="100" customWidth="1"/>
    <col min="18" max="21" width="8.85546875" style="100"/>
    <col min="22" max="22" width="23.42578125" style="100" bestFit="1" customWidth="1"/>
    <col min="23" max="23" width="2.7109375" style="100" bestFit="1" customWidth="1"/>
    <col min="24" max="24" width="51.140625" style="100" customWidth="1"/>
    <col min="25" max="16384" width="8.85546875" style="100"/>
  </cols>
  <sheetData>
    <row r="1" spans="1:49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x14ac:dyDescent="0.25"/>
    <row r="12" spans="1:49" ht="28.9" customHeight="1" thickBot="1" x14ac:dyDescent="0.3"/>
    <row r="13" spans="1:49" ht="28.9" customHeight="1" x14ac:dyDescent="0.25">
      <c r="M13" s="507" t="s">
        <v>286</v>
      </c>
      <c r="N13" s="508"/>
      <c r="O13" s="508"/>
      <c r="P13" s="508"/>
      <c r="Q13" s="509"/>
    </row>
    <row r="14" spans="1:49" ht="28.9" customHeight="1" thickBot="1" x14ac:dyDescent="0.3">
      <c r="M14" s="510"/>
      <c r="N14" s="511"/>
      <c r="O14" s="511"/>
      <c r="P14" s="511"/>
      <c r="Q14" s="512"/>
    </row>
    <row r="15" spans="1:49" ht="28.9" customHeight="1" thickBot="1" x14ac:dyDescent="0.3">
      <c r="M15" s="8"/>
      <c r="N15" s="49"/>
      <c r="O15" s="49"/>
      <c r="P15" s="49"/>
      <c r="Q15" s="50"/>
    </row>
    <row r="16" spans="1:49" ht="28.9" customHeight="1" thickBot="1" x14ac:dyDescent="0.3">
      <c r="M16" s="8"/>
      <c r="N16" s="166" t="s">
        <v>287</v>
      </c>
      <c r="O16" s="49"/>
      <c r="P16" s="47"/>
      <c r="Q16" s="50"/>
    </row>
    <row r="17" spans="13:17" ht="28.9" customHeight="1" thickBot="1" x14ac:dyDescent="0.3">
      <c r="M17" s="8"/>
      <c r="N17" s="166"/>
      <c r="O17" s="49"/>
      <c r="P17" s="49"/>
      <c r="Q17" s="50"/>
    </row>
    <row r="18" spans="13:17" ht="28.9" customHeight="1" thickBot="1" x14ac:dyDescent="0.3">
      <c r="M18" s="8"/>
      <c r="N18" s="166" t="s">
        <v>288</v>
      </c>
      <c r="O18" s="49"/>
      <c r="P18" s="47"/>
      <c r="Q18" s="50"/>
    </row>
    <row r="19" spans="13:17" ht="28.9" customHeight="1" thickBot="1" x14ac:dyDescent="0.3">
      <c r="M19" s="8"/>
      <c r="N19" s="166"/>
      <c r="O19" s="49"/>
      <c r="P19" s="49"/>
      <c r="Q19" s="50"/>
    </row>
    <row r="20" spans="13:17" ht="28.9" customHeight="1" thickBot="1" x14ac:dyDescent="0.3">
      <c r="M20" s="8"/>
      <c r="N20" s="166" t="s">
        <v>289</v>
      </c>
      <c r="O20" s="49"/>
      <c r="P20" s="47"/>
      <c r="Q20" s="50"/>
    </row>
    <row r="21" spans="13:17" ht="28.9" customHeight="1" thickBot="1" x14ac:dyDescent="0.3">
      <c r="M21" s="8"/>
      <c r="N21" s="166"/>
      <c r="O21" s="49"/>
      <c r="P21" s="49"/>
      <c r="Q21" s="50"/>
    </row>
    <row r="22" spans="13:17" ht="28.9" customHeight="1" thickBot="1" x14ac:dyDescent="0.3">
      <c r="M22" s="8"/>
      <c r="N22" s="166" t="s">
        <v>290</v>
      </c>
      <c r="O22" s="49"/>
      <c r="P22" s="47"/>
      <c r="Q22" s="50"/>
    </row>
    <row r="23" spans="13:17" ht="28.9" customHeight="1" thickBot="1" x14ac:dyDescent="0.3">
      <c r="M23" s="8"/>
      <c r="N23" s="166"/>
      <c r="O23" s="49"/>
      <c r="P23" s="49"/>
      <c r="Q23" s="50"/>
    </row>
    <row r="24" spans="13:17" ht="28.9" customHeight="1" thickBot="1" x14ac:dyDescent="0.3">
      <c r="M24" s="8"/>
      <c r="N24" s="166" t="s">
        <v>291</v>
      </c>
      <c r="O24" s="49"/>
      <c r="P24" s="47"/>
      <c r="Q24" s="50"/>
    </row>
    <row r="25" spans="13:17" ht="28.9" customHeight="1" thickBot="1" x14ac:dyDescent="0.3">
      <c r="M25" s="8"/>
      <c r="N25" s="166"/>
      <c r="O25" s="49"/>
      <c r="P25" s="49"/>
      <c r="Q25" s="50"/>
    </row>
    <row r="26" spans="13:17" ht="28.9" customHeight="1" thickBot="1" x14ac:dyDescent="0.3">
      <c r="M26" s="8"/>
      <c r="N26" s="166" t="s">
        <v>292</v>
      </c>
      <c r="O26" s="49"/>
      <c r="P26" s="47"/>
      <c r="Q26" s="50"/>
    </row>
    <row r="27" spans="13:17" ht="28.9" customHeight="1" thickBot="1" x14ac:dyDescent="0.3">
      <c r="M27" s="8"/>
      <c r="N27" s="166"/>
      <c r="O27" s="49"/>
      <c r="P27" s="49"/>
      <c r="Q27" s="50"/>
    </row>
    <row r="28" spans="13:17" ht="28.9" customHeight="1" thickBot="1" x14ac:dyDescent="0.3">
      <c r="M28" s="8"/>
      <c r="N28" s="166" t="s">
        <v>293</v>
      </c>
      <c r="O28" s="49"/>
      <c r="P28" s="47"/>
      <c r="Q28" s="50"/>
    </row>
    <row r="29" spans="13:17" ht="28.9" customHeight="1" thickBot="1" x14ac:dyDescent="0.3">
      <c r="M29" s="8"/>
      <c r="N29" s="166"/>
      <c r="O29" s="49"/>
      <c r="P29" s="49"/>
      <c r="Q29" s="50"/>
    </row>
    <row r="30" spans="13:17" ht="28.9" customHeight="1" thickBot="1" x14ac:dyDescent="0.3">
      <c r="M30" s="8"/>
      <c r="N30" s="166" t="s">
        <v>294</v>
      </c>
      <c r="O30" s="49"/>
      <c r="P30" s="47"/>
      <c r="Q30" s="50"/>
    </row>
    <row r="31" spans="13:17" ht="28.9" customHeight="1" thickBot="1" x14ac:dyDescent="0.3">
      <c r="M31" s="8"/>
      <c r="N31" s="166"/>
      <c r="O31" s="49"/>
      <c r="P31" s="49"/>
      <c r="Q31" s="50"/>
    </row>
    <row r="32" spans="13:17" ht="28.9" customHeight="1" thickBot="1" x14ac:dyDescent="0.3">
      <c r="M32" s="8"/>
      <c r="N32" s="166" t="s">
        <v>295</v>
      </c>
      <c r="O32" s="49"/>
      <c r="P32" s="47"/>
      <c r="Q32" s="50"/>
    </row>
    <row r="33" spans="13:17" ht="28.9" customHeight="1" thickBot="1" x14ac:dyDescent="0.3">
      <c r="M33" s="8"/>
      <c r="N33" s="167"/>
      <c r="O33" s="49"/>
      <c r="P33" s="49"/>
      <c r="Q33" s="50"/>
    </row>
    <row r="34" spans="13:17" ht="28.9" customHeight="1" thickBot="1" x14ac:dyDescent="0.3">
      <c r="M34" s="8"/>
      <c r="N34" s="166" t="s">
        <v>296</v>
      </c>
      <c r="O34" s="49"/>
      <c r="P34" s="47"/>
      <c r="Q34" s="50"/>
    </row>
    <row r="35" spans="13:17" ht="28.9" customHeight="1" thickBot="1" x14ac:dyDescent="0.3">
      <c r="M35" s="8"/>
      <c r="N35" s="167"/>
      <c r="O35" s="49"/>
      <c r="P35" s="49"/>
      <c r="Q35" s="50"/>
    </row>
    <row r="36" spans="13:17" ht="28.9" customHeight="1" thickBot="1" x14ac:dyDescent="0.3">
      <c r="M36" s="8"/>
      <c r="N36" s="166" t="s">
        <v>297</v>
      </c>
      <c r="O36" s="49"/>
      <c r="P36" s="48"/>
      <c r="Q36" s="50"/>
    </row>
    <row r="37" spans="13:17" ht="28.9" customHeight="1" thickBot="1" x14ac:dyDescent="0.3">
      <c r="M37" s="8"/>
      <c r="N37" s="167"/>
      <c r="O37" s="49"/>
      <c r="P37" s="49"/>
      <c r="Q37" s="50"/>
    </row>
    <row r="38" spans="13:17" ht="28.9" customHeight="1" thickBot="1" x14ac:dyDescent="0.35">
      <c r="M38" s="8"/>
      <c r="N38" s="166" t="s">
        <v>298</v>
      </c>
      <c r="O38" s="49"/>
      <c r="P38" s="168" t="s">
        <v>300</v>
      </c>
      <c r="Q38" s="50"/>
    </row>
    <row r="39" spans="13:17" ht="28.9" customHeight="1" thickBot="1" x14ac:dyDescent="0.3">
      <c r="M39" s="8"/>
      <c r="N39" s="167"/>
      <c r="O39" s="49"/>
      <c r="P39" s="49"/>
      <c r="Q39" s="50"/>
    </row>
    <row r="40" spans="13:17" ht="28.9" customHeight="1" thickBot="1" x14ac:dyDescent="0.3">
      <c r="M40" s="8"/>
      <c r="N40" s="166" t="s">
        <v>299</v>
      </c>
      <c r="O40" s="49"/>
      <c r="P40" s="47"/>
      <c r="Q40" s="50"/>
    </row>
    <row r="41" spans="13:17" ht="28.9" customHeight="1" x14ac:dyDescent="0.25">
      <c r="M41" s="8"/>
      <c r="N41" s="49"/>
      <c r="O41" s="49"/>
      <c r="P41" s="49"/>
      <c r="Q41" s="50"/>
    </row>
    <row r="42" spans="13:17" ht="28.9" customHeight="1" x14ac:dyDescent="0.25">
      <c r="M42" s="8"/>
      <c r="N42" s="49"/>
      <c r="O42" s="49"/>
      <c r="P42" s="49"/>
      <c r="Q42" s="50"/>
    </row>
    <row r="43" spans="13:17" ht="28.9" customHeight="1" x14ac:dyDescent="0.25">
      <c r="M43" s="8"/>
      <c r="N43" s="49"/>
      <c r="O43" s="49"/>
      <c r="P43" s="49"/>
      <c r="Q43" s="50"/>
    </row>
    <row r="44" spans="13:17" ht="28.9" customHeight="1" x14ac:dyDescent="0.25">
      <c r="M44" s="8"/>
      <c r="N44" s="49"/>
      <c r="O44" s="49"/>
      <c r="P44" s="49"/>
      <c r="Q44" s="50"/>
    </row>
    <row r="45" spans="13:17" ht="28.9" customHeight="1" x14ac:dyDescent="0.25">
      <c r="M45" s="8"/>
      <c r="N45" s="49"/>
      <c r="O45" s="49"/>
      <c r="P45" s="49"/>
      <c r="Q45" s="50"/>
    </row>
    <row r="46" spans="13:17" ht="28.9" customHeight="1" thickBot="1" x14ac:dyDescent="0.3">
      <c r="M46" s="51"/>
      <c r="N46" s="52"/>
      <c r="O46" s="52"/>
      <c r="P46" s="52"/>
      <c r="Q46" s="53"/>
    </row>
    <row r="47" spans="13:17" ht="28.9" customHeight="1" x14ac:dyDescent="0.25"/>
    <row r="48" spans="13:17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M13:Q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9">
    <tabColor rgb="FF00B050"/>
  </sheetPr>
  <dimension ref="A1:AW66"/>
  <sheetViews>
    <sheetView zoomScale="40" zoomScaleNormal="40" workbookViewId="0">
      <selection activeCell="N47" sqref="N47"/>
    </sheetView>
  </sheetViews>
  <sheetFormatPr defaultColWidth="8.85546875" defaultRowHeight="15" x14ac:dyDescent="0.25"/>
  <cols>
    <col min="1" max="4" width="8.85546875" style="100"/>
    <col min="5" max="5" width="72.28515625" style="100" bestFit="1" customWidth="1"/>
    <col min="6" max="6" width="11.28515625" style="100" customWidth="1"/>
    <col min="7" max="7" width="26" style="100" bestFit="1" customWidth="1"/>
    <col min="8" max="8" width="19.42578125" style="100" bestFit="1" customWidth="1"/>
    <col min="9" max="9" width="104.28515625" style="100" bestFit="1" customWidth="1"/>
    <col min="10" max="10" width="12.7109375" style="100" customWidth="1"/>
    <col min="11" max="11" width="4.5703125" style="100" customWidth="1"/>
    <col min="12" max="12" width="25.42578125" style="100" bestFit="1" customWidth="1"/>
    <col min="13" max="13" width="29" style="100" bestFit="1" customWidth="1"/>
    <col min="14" max="14" width="47.85546875" style="100" bestFit="1" customWidth="1"/>
    <col min="15" max="15" width="29.28515625" style="100" customWidth="1"/>
    <col min="16" max="16" width="73.42578125" style="100" customWidth="1"/>
    <col min="17" max="17" width="15.5703125" style="100" customWidth="1"/>
    <col min="18" max="21" width="8.85546875" style="100"/>
    <col min="22" max="22" width="23.42578125" style="100" bestFit="1" customWidth="1"/>
    <col min="23" max="23" width="2.7109375" style="100" bestFit="1" customWidth="1"/>
    <col min="24" max="24" width="51.140625" style="100" customWidth="1"/>
    <col min="25" max="16384" width="8.85546875" style="100"/>
  </cols>
  <sheetData>
    <row r="1" spans="1:49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9" customHeight="1" x14ac:dyDescent="0.25"/>
    <row r="9" spans="1:49" ht="28.9" customHeight="1" thickBot="1" x14ac:dyDescent="0.3"/>
    <row r="10" spans="1:49" ht="28.9" customHeight="1" x14ac:dyDescent="0.25">
      <c r="D10" s="507" t="s">
        <v>301</v>
      </c>
      <c r="E10" s="508"/>
      <c r="F10" s="509"/>
      <c r="H10" s="173"/>
      <c r="I10" s="174"/>
      <c r="J10" s="174"/>
      <c r="K10" s="174"/>
      <c r="L10" s="174"/>
      <c r="M10" s="174"/>
      <c r="N10" s="174"/>
      <c r="O10" s="174"/>
      <c r="P10" s="175"/>
    </row>
    <row r="11" spans="1:49" ht="28.9" customHeight="1" x14ac:dyDescent="0.25">
      <c r="D11" s="513"/>
      <c r="E11" s="514"/>
      <c r="F11" s="515"/>
      <c r="H11" s="176"/>
      <c r="I11" s="170" t="s">
        <v>399</v>
      </c>
      <c r="J11" s="177"/>
      <c r="K11" s="177"/>
      <c r="L11" s="177"/>
      <c r="M11" s="177"/>
      <c r="N11" s="178" t="s">
        <v>306</v>
      </c>
      <c r="O11" s="177"/>
      <c r="P11" s="179"/>
    </row>
    <row r="12" spans="1:49" ht="28.9" customHeight="1" x14ac:dyDescent="0.4">
      <c r="D12" s="513"/>
      <c r="E12" s="514"/>
      <c r="F12" s="515"/>
      <c r="H12" s="176"/>
      <c r="I12" s="180" t="s">
        <v>307</v>
      </c>
      <c r="J12" s="177"/>
      <c r="K12" s="177"/>
      <c r="L12" s="177"/>
      <c r="M12" s="177"/>
      <c r="N12" s="172" t="s">
        <v>308</v>
      </c>
      <c r="O12" s="177"/>
      <c r="P12" s="179"/>
    </row>
    <row r="13" spans="1:49" ht="28.9" customHeight="1" x14ac:dyDescent="0.3">
      <c r="D13" s="65"/>
      <c r="E13" s="66"/>
      <c r="F13" s="67"/>
      <c r="H13" s="176"/>
      <c r="I13" s="180" t="s">
        <v>309</v>
      </c>
      <c r="J13" s="177"/>
      <c r="K13" s="177"/>
      <c r="L13" s="177"/>
      <c r="M13" s="177"/>
      <c r="N13" s="181"/>
      <c r="O13" s="177"/>
      <c r="P13" s="179"/>
    </row>
    <row r="14" spans="1:49" ht="28.9" customHeight="1" x14ac:dyDescent="0.25">
      <c r="D14" s="68"/>
      <c r="E14" s="169" t="s">
        <v>302</v>
      </c>
      <c r="F14" s="69"/>
      <c r="H14" s="182"/>
      <c r="I14" s="183"/>
      <c r="J14" s="183"/>
      <c r="K14" s="183"/>
      <c r="L14" s="183"/>
      <c r="M14" s="183"/>
      <c r="N14" s="183"/>
      <c r="O14" s="183"/>
      <c r="P14" s="184"/>
    </row>
    <row r="15" spans="1:49" ht="28.9" customHeight="1" thickBot="1" x14ac:dyDescent="0.3">
      <c r="D15" s="70"/>
      <c r="E15" s="71"/>
      <c r="F15" s="69"/>
      <c r="H15" s="185"/>
      <c r="I15" s="186"/>
      <c r="J15" s="186"/>
      <c r="K15" s="186"/>
      <c r="L15" s="186"/>
      <c r="M15" s="186"/>
      <c r="N15" s="186"/>
      <c r="O15" s="186"/>
      <c r="P15" s="187"/>
    </row>
    <row r="16" spans="1:49" ht="28.9" customHeight="1" thickBot="1" x14ac:dyDescent="0.45">
      <c r="D16" s="64"/>
      <c r="E16" s="37"/>
      <c r="F16" s="7"/>
      <c r="H16" s="188"/>
      <c r="I16" s="211" t="s">
        <v>310</v>
      </c>
      <c r="J16" s="189"/>
      <c r="K16" s="189"/>
      <c r="L16" s="189"/>
      <c r="M16" s="189"/>
      <c r="N16" s="171" t="s">
        <v>311</v>
      </c>
      <c r="O16" s="189"/>
      <c r="P16" s="190"/>
    </row>
    <row r="17" spans="4:16" ht="28.9" customHeight="1" x14ac:dyDescent="0.25">
      <c r="D17" s="64"/>
      <c r="E17" s="63"/>
      <c r="F17" s="7"/>
      <c r="H17" s="188"/>
      <c r="I17" s="191"/>
      <c r="J17" s="189"/>
      <c r="K17" s="189"/>
      <c r="L17" s="189"/>
      <c r="M17" s="189"/>
      <c r="N17" s="191"/>
      <c r="O17" s="189"/>
      <c r="P17" s="190"/>
    </row>
    <row r="18" spans="4:16" ht="28.9" customHeight="1" x14ac:dyDescent="0.25">
      <c r="D18" s="61"/>
      <c r="E18" s="169" t="s">
        <v>303</v>
      </c>
      <c r="F18" s="7"/>
      <c r="H18" s="188"/>
      <c r="I18" s="192"/>
      <c r="J18" s="192"/>
      <c r="K18" s="192"/>
      <c r="L18" s="192"/>
      <c r="M18" s="192"/>
      <c r="N18" s="192"/>
      <c r="O18" s="192"/>
      <c r="P18" s="193"/>
    </row>
    <row r="19" spans="4:16" ht="28.9" customHeight="1" thickBot="1" x14ac:dyDescent="0.45">
      <c r="D19" s="61"/>
      <c r="E19" s="63"/>
      <c r="F19" s="7"/>
      <c r="H19" s="194"/>
      <c r="I19" s="212" t="s">
        <v>312</v>
      </c>
      <c r="J19" s="195"/>
      <c r="K19" s="195"/>
      <c r="L19" s="215" t="s">
        <v>313</v>
      </c>
      <c r="M19" s="215" t="s">
        <v>314</v>
      </c>
      <c r="N19" s="196"/>
      <c r="O19" s="212" t="s">
        <v>315</v>
      </c>
      <c r="P19" s="196"/>
    </row>
    <row r="20" spans="4:16" ht="28.9" customHeight="1" thickBot="1" x14ac:dyDescent="0.3">
      <c r="D20" s="61"/>
      <c r="E20" s="38"/>
      <c r="F20" s="7"/>
      <c r="H20" s="197"/>
      <c r="I20" s="213" t="s">
        <v>316</v>
      </c>
      <c r="J20" s="195"/>
      <c r="K20" s="195"/>
      <c r="L20" s="198"/>
      <c r="M20" s="198"/>
      <c r="N20" s="196"/>
      <c r="O20" s="195"/>
      <c r="P20" s="196"/>
    </row>
    <row r="21" spans="4:16" ht="28.9" customHeight="1" x14ac:dyDescent="0.25">
      <c r="D21" s="61"/>
      <c r="E21" s="63"/>
      <c r="F21" s="7"/>
      <c r="H21" s="197"/>
      <c r="I21" s="214" t="s">
        <v>317</v>
      </c>
      <c r="J21" s="199"/>
      <c r="K21" s="199"/>
      <c r="L21" s="197"/>
      <c r="M21" s="197"/>
      <c r="N21" s="200"/>
      <c r="O21" s="199"/>
      <c r="P21" s="200"/>
    </row>
    <row r="22" spans="4:16" ht="28.9" customHeight="1" x14ac:dyDescent="0.25">
      <c r="D22" s="61"/>
      <c r="E22" s="169" t="s">
        <v>304</v>
      </c>
      <c r="F22" s="57"/>
      <c r="H22" s="197"/>
      <c r="I22" s="213" t="s">
        <v>318</v>
      </c>
      <c r="J22" s="195"/>
      <c r="K22" s="195"/>
      <c r="L22" s="198"/>
      <c r="M22" s="198"/>
      <c r="N22" s="196"/>
      <c r="O22" s="195"/>
      <c r="P22" s="196"/>
    </row>
    <row r="23" spans="4:16" ht="28.9" customHeight="1" thickBot="1" x14ac:dyDescent="0.3">
      <c r="D23" s="61"/>
      <c r="E23" s="62"/>
      <c r="F23" s="57"/>
      <c r="H23" s="197"/>
      <c r="I23" s="214" t="s">
        <v>319</v>
      </c>
      <c r="J23" s="199"/>
      <c r="K23" s="199"/>
      <c r="L23" s="197"/>
      <c r="M23" s="197"/>
      <c r="N23" s="200"/>
      <c r="O23" s="199"/>
      <c r="P23" s="200"/>
    </row>
    <row r="24" spans="4:16" ht="28.9" customHeight="1" thickBot="1" x14ac:dyDescent="0.3">
      <c r="D24" s="61"/>
      <c r="E24" s="54"/>
      <c r="F24" s="57"/>
      <c r="H24" s="197"/>
      <c r="I24" s="213" t="s">
        <v>320</v>
      </c>
      <c r="J24" s="195"/>
      <c r="K24" s="195"/>
      <c r="L24" s="198"/>
      <c r="M24" s="198"/>
      <c r="N24" s="196"/>
      <c r="O24" s="195"/>
      <c r="P24" s="196"/>
    </row>
    <row r="25" spans="4:16" ht="28.9" customHeight="1" x14ac:dyDescent="0.25">
      <c r="D25" s="61"/>
      <c r="E25" s="62"/>
      <c r="F25" s="57"/>
      <c r="H25" s="201"/>
      <c r="I25" s="201"/>
      <c r="J25" s="202"/>
      <c r="K25" s="202"/>
      <c r="L25" s="201"/>
      <c r="M25" s="201"/>
      <c r="N25" s="203"/>
      <c r="O25" s="202"/>
      <c r="P25" s="203"/>
    </row>
    <row r="26" spans="4:16" ht="28.9" customHeight="1" x14ac:dyDescent="0.4">
      <c r="D26" s="61"/>
      <c r="E26" s="169" t="s">
        <v>305</v>
      </c>
      <c r="F26" s="57"/>
      <c r="H26" s="197"/>
      <c r="I26" s="216" t="s">
        <v>321</v>
      </c>
      <c r="J26" s="199"/>
      <c r="K26" s="199"/>
      <c r="L26" s="199"/>
      <c r="M26" s="216" t="s">
        <v>322</v>
      </c>
      <c r="N26" s="200"/>
      <c r="O26" s="219" t="s">
        <v>323</v>
      </c>
      <c r="P26" s="200"/>
    </row>
    <row r="27" spans="4:16" ht="28.9" customHeight="1" thickBot="1" x14ac:dyDescent="0.3">
      <c r="D27" s="61"/>
      <c r="E27" s="62"/>
      <c r="F27" s="57"/>
      <c r="H27" s="197"/>
      <c r="I27" s="197"/>
      <c r="J27" s="199"/>
      <c r="K27" s="199"/>
      <c r="L27" s="199"/>
      <c r="M27" s="197"/>
      <c r="N27" s="200"/>
      <c r="O27" s="199"/>
      <c r="P27" s="200"/>
    </row>
    <row r="28" spans="4:16" ht="28.9" customHeight="1" thickBot="1" x14ac:dyDescent="0.3">
      <c r="D28" s="61"/>
      <c r="E28" s="54"/>
      <c r="F28" s="57"/>
      <c r="H28" s="197"/>
      <c r="I28" s="197"/>
      <c r="J28" s="199"/>
      <c r="K28" s="199"/>
      <c r="L28" s="199"/>
      <c r="M28" s="197"/>
      <c r="N28" s="200"/>
      <c r="O28" s="199"/>
      <c r="P28" s="200"/>
    </row>
    <row r="29" spans="4:16" ht="28.9" customHeight="1" x14ac:dyDescent="0.25">
      <c r="D29" s="55"/>
      <c r="E29" s="56"/>
      <c r="F29" s="57"/>
      <c r="H29" s="197"/>
      <c r="I29" s="197"/>
      <c r="J29" s="199"/>
      <c r="K29" s="199"/>
      <c r="L29" s="199"/>
      <c r="M29" s="197"/>
      <c r="N29" s="200"/>
      <c r="O29" s="199"/>
      <c r="P29" s="200"/>
    </row>
    <row r="30" spans="4:16" ht="28.9" customHeight="1" x14ac:dyDescent="0.25">
      <c r="D30" s="55"/>
      <c r="E30" s="56"/>
      <c r="F30" s="57"/>
      <c r="H30" s="197"/>
      <c r="I30" s="201"/>
      <c r="J30" s="202"/>
      <c r="K30" s="202"/>
      <c r="L30" s="202"/>
      <c r="M30" s="197"/>
      <c r="N30" s="200"/>
      <c r="O30" s="199"/>
      <c r="P30" s="200"/>
    </row>
    <row r="31" spans="4:16" ht="28.9" customHeight="1" x14ac:dyDescent="0.25">
      <c r="D31" s="55"/>
      <c r="E31" s="56"/>
      <c r="F31" s="57"/>
      <c r="H31" s="185"/>
      <c r="I31" s="186"/>
      <c r="J31" s="186"/>
      <c r="K31" s="186"/>
      <c r="L31" s="186"/>
      <c r="M31" s="186"/>
      <c r="N31" s="186"/>
      <c r="O31" s="186"/>
      <c r="P31" s="187"/>
    </row>
    <row r="32" spans="4:16" ht="28.9" customHeight="1" x14ac:dyDescent="0.3">
      <c r="D32" s="55"/>
      <c r="E32" s="56"/>
      <c r="F32" s="57"/>
      <c r="H32" s="188"/>
      <c r="I32" s="220" t="s">
        <v>316</v>
      </c>
      <c r="J32" s="204"/>
      <c r="K32" s="205"/>
      <c r="L32" s="205"/>
      <c r="M32" s="205"/>
      <c r="N32" s="205"/>
      <c r="O32" s="206"/>
      <c r="P32" s="190"/>
    </row>
    <row r="33" spans="1:16" ht="28.9" customHeight="1" x14ac:dyDescent="0.3">
      <c r="D33" s="55"/>
      <c r="E33" s="56"/>
      <c r="F33" s="57"/>
      <c r="H33" s="188"/>
      <c r="I33" s="220" t="s">
        <v>324</v>
      </c>
      <c r="J33" s="204"/>
      <c r="K33" s="205"/>
      <c r="L33" s="205"/>
      <c r="M33" s="205"/>
      <c r="N33" s="205"/>
      <c r="O33" s="206"/>
      <c r="P33" s="190"/>
    </row>
    <row r="34" spans="1:16" ht="28.9" customHeight="1" thickBot="1" x14ac:dyDescent="0.35">
      <c r="D34" s="58"/>
      <c r="E34" s="59"/>
      <c r="F34" s="60"/>
      <c r="H34" s="188"/>
      <c r="I34" s="220" t="s">
        <v>325</v>
      </c>
      <c r="J34" s="204"/>
      <c r="K34" s="205"/>
      <c r="L34" s="205"/>
      <c r="M34" s="205"/>
      <c r="N34" s="205"/>
      <c r="O34" s="206"/>
      <c r="P34" s="190"/>
    </row>
    <row r="35" spans="1:16" ht="28.9" customHeight="1" x14ac:dyDescent="0.3">
      <c r="H35" s="188"/>
      <c r="I35" s="220" t="s">
        <v>326</v>
      </c>
      <c r="J35" s="204"/>
      <c r="K35" s="205"/>
      <c r="L35" s="205"/>
      <c r="M35" s="205"/>
      <c r="N35" s="205"/>
      <c r="O35" s="206"/>
      <c r="P35" s="190"/>
    </row>
    <row r="36" spans="1:16" ht="28.9" customHeight="1" x14ac:dyDescent="0.25">
      <c r="H36" s="207"/>
      <c r="I36" s="192"/>
      <c r="J36" s="192"/>
      <c r="K36" s="192"/>
      <c r="L36" s="192"/>
      <c r="M36" s="192"/>
      <c r="N36" s="192"/>
      <c r="O36" s="192"/>
      <c r="P36" s="193"/>
    </row>
    <row r="37" spans="1:16" ht="28.9" customHeight="1" x14ac:dyDescent="0.25">
      <c r="H37" s="208"/>
      <c r="I37" s="209"/>
      <c r="J37" s="209"/>
      <c r="K37" s="209"/>
      <c r="L37" s="209"/>
      <c r="M37" s="209"/>
      <c r="N37" s="209"/>
      <c r="O37" s="209"/>
      <c r="P37" s="210"/>
    </row>
    <row r="38" spans="1:16" ht="28.9" customHeight="1" x14ac:dyDescent="0.35">
      <c r="H38" s="197"/>
      <c r="I38" s="218" t="s">
        <v>327</v>
      </c>
      <c r="J38" s="199"/>
      <c r="K38" s="199"/>
      <c r="L38" s="199"/>
      <c r="M38" s="199"/>
      <c r="N38" s="199"/>
      <c r="O38" s="199"/>
      <c r="P38" s="200"/>
    </row>
    <row r="39" spans="1:16" ht="28.9" customHeight="1" x14ac:dyDescent="0.25">
      <c r="H39" s="197"/>
      <c r="I39" s="199"/>
      <c r="J39" s="199"/>
      <c r="K39" s="199"/>
      <c r="L39" s="199"/>
      <c r="M39" s="199"/>
      <c r="N39" s="199"/>
      <c r="O39" s="199"/>
      <c r="P39" s="200"/>
    </row>
    <row r="40" spans="1:16" ht="28.9" customHeight="1" x14ac:dyDescent="0.25">
      <c r="H40" s="197"/>
      <c r="I40" s="202"/>
      <c r="J40" s="202"/>
      <c r="K40" s="202"/>
      <c r="L40" s="199"/>
      <c r="M40" s="202"/>
      <c r="N40" s="202"/>
      <c r="O40" s="202"/>
      <c r="P40" s="200"/>
    </row>
    <row r="41" spans="1:16" ht="28.9" customHeight="1" x14ac:dyDescent="0.3">
      <c r="H41" s="197"/>
      <c r="I41" s="217" t="s">
        <v>328</v>
      </c>
      <c r="J41" s="199"/>
      <c r="K41" s="199"/>
      <c r="L41" s="199"/>
      <c r="M41" s="221" t="s">
        <v>329</v>
      </c>
      <c r="N41" s="199"/>
      <c r="O41" s="199"/>
      <c r="P41" s="200"/>
    </row>
    <row r="42" spans="1:16" ht="28.9" customHeight="1" x14ac:dyDescent="0.25">
      <c r="H42" s="201"/>
      <c r="I42" s="202"/>
      <c r="J42" s="202"/>
      <c r="K42" s="202"/>
      <c r="L42" s="202"/>
      <c r="M42" s="202"/>
      <c r="N42" s="202"/>
      <c r="O42" s="202"/>
      <c r="P42" s="203"/>
    </row>
    <row r="43" spans="1:16" ht="28.9" customHeight="1" x14ac:dyDescent="0.25"/>
    <row r="44" spans="1:16" ht="28.9" customHeight="1" x14ac:dyDescent="0.25"/>
    <row r="45" spans="1:16" ht="28.9" customHeight="1" x14ac:dyDescent="0.25"/>
    <row r="46" spans="1:16" ht="28.9" customHeight="1" x14ac:dyDescent="0.25"/>
    <row r="47" spans="1:16" ht="28.9" customHeight="1" x14ac:dyDescent="0.25"/>
    <row r="48" spans="1:16" ht="28.9" customHeight="1" x14ac:dyDescent="0.25">
      <c r="A48" s="100" t="s">
        <v>400</v>
      </c>
    </row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D10:F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0">
    <tabColor rgb="FF00B050"/>
  </sheetPr>
  <dimension ref="A1:AW66"/>
  <sheetViews>
    <sheetView zoomScale="40" zoomScaleNormal="40" workbookViewId="0">
      <selection activeCell="I31" sqref="I31"/>
    </sheetView>
  </sheetViews>
  <sheetFormatPr defaultColWidth="8.85546875" defaultRowHeight="15" x14ac:dyDescent="0.25"/>
  <cols>
    <col min="1" max="4" width="8.85546875" style="100"/>
    <col min="5" max="5" width="72.28515625" style="100" bestFit="1" customWidth="1"/>
    <col min="6" max="6" width="23.28515625" style="100" bestFit="1" customWidth="1"/>
    <col min="7" max="7" width="26" style="100" bestFit="1" customWidth="1"/>
    <col min="8" max="8" width="25.7109375" style="100" bestFit="1" customWidth="1"/>
    <col min="9" max="9" width="22.85546875" style="100" bestFit="1" customWidth="1"/>
    <col min="10" max="10" width="27.85546875" style="100" bestFit="1" customWidth="1"/>
    <col min="11" max="11" width="36.7109375" style="100" bestFit="1" customWidth="1"/>
    <col min="12" max="12" width="25.42578125" style="100" bestFit="1" customWidth="1"/>
    <col min="13" max="13" width="29" style="100" bestFit="1" customWidth="1"/>
    <col min="14" max="14" width="47.85546875" style="100" bestFit="1" customWidth="1"/>
    <col min="15" max="15" width="29.28515625" style="100" customWidth="1"/>
    <col min="16" max="16" width="73.42578125" style="100" customWidth="1"/>
    <col min="17" max="17" width="15.5703125" style="100" customWidth="1"/>
    <col min="18" max="21" width="8.85546875" style="100"/>
    <col min="22" max="22" width="23.42578125" style="100" bestFit="1" customWidth="1"/>
    <col min="23" max="23" width="2.7109375" style="100" bestFit="1" customWidth="1"/>
    <col min="24" max="24" width="51.140625" style="100" customWidth="1"/>
    <col min="25" max="16384" width="8.85546875" style="100"/>
  </cols>
  <sheetData>
    <row r="1" spans="1:49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9" customHeight="1" x14ac:dyDescent="0.25"/>
    <row r="9" spans="1:49" ht="28.9" customHeight="1" thickBot="1" x14ac:dyDescent="0.3"/>
    <row r="10" spans="1:49" ht="28.9" customHeight="1" x14ac:dyDescent="0.35">
      <c r="E10" s="224" t="s">
        <v>330</v>
      </c>
      <c r="F10" s="225" t="s">
        <v>297</v>
      </c>
      <c r="H10" s="516" t="s">
        <v>351</v>
      </c>
      <c r="I10" s="517"/>
      <c r="J10" s="517"/>
      <c r="K10" s="518"/>
    </row>
    <row r="11" spans="1:49" ht="28.9" customHeight="1" x14ac:dyDescent="0.25">
      <c r="E11" s="222" t="s">
        <v>331</v>
      </c>
      <c r="F11" s="226">
        <v>5000</v>
      </c>
      <c r="H11" s="519" t="s">
        <v>352</v>
      </c>
      <c r="I11" s="520"/>
      <c r="J11" s="228" t="s">
        <v>353</v>
      </c>
      <c r="K11" s="229" t="s">
        <v>354</v>
      </c>
    </row>
    <row r="12" spans="1:49" ht="28.9" customHeight="1" x14ac:dyDescent="0.3">
      <c r="E12" s="222" t="s">
        <v>332</v>
      </c>
      <c r="F12" s="226">
        <v>3000</v>
      </c>
      <c r="H12" s="231" t="s">
        <v>355</v>
      </c>
      <c r="I12" s="230">
        <v>2259.1999999999998</v>
      </c>
      <c r="J12" s="232">
        <v>0</v>
      </c>
      <c r="K12" s="233">
        <v>0</v>
      </c>
    </row>
    <row r="13" spans="1:49" ht="28.9" customHeight="1" x14ac:dyDescent="0.3">
      <c r="E13" s="222" t="s">
        <v>333</v>
      </c>
      <c r="F13" s="226">
        <v>2000</v>
      </c>
      <c r="H13" s="234">
        <f>I12</f>
        <v>2259.1999999999998</v>
      </c>
      <c r="I13" s="230">
        <v>2826.65</v>
      </c>
      <c r="J13" s="235">
        <v>7.4999999999999997E-2</v>
      </c>
      <c r="K13" s="233">
        <v>164.44</v>
      </c>
    </row>
    <row r="14" spans="1:49" ht="28.9" customHeight="1" x14ac:dyDescent="0.3">
      <c r="E14" s="222" t="s">
        <v>334</v>
      </c>
      <c r="F14" s="226">
        <v>5000</v>
      </c>
      <c r="H14" s="234">
        <f>I13</f>
        <v>2826.65</v>
      </c>
      <c r="I14" s="230">
        <v>3751.05</v>
      </c>
      <c r="J14" s="235">
        <v>0.15</v>
      </c>
      <c r="K14" s="233">
        <v>381.44</v>
      </c>
    </row>
    <row r="15" spans="1:49" ht="28.9" customHeight="1" x14ac:dyDescent="0.3">
      <c r="E15" s="222" t="s">
        <v>335</v>
      </c>
      <c r="F15" s="226">
        <v>3000</v>
      </c>
      <c r="H15" s="234">
        <f>I14</f>
        <v>3751.05</v>
      </c>
      <c r="I15" s="230">
        <v>4664.68</v>
      </c>
      <c r="J15" s="235">
        <v>0.22500000000000001</v>
      </c>
      <c r="K15" s="233">
        <v>662.77</v>
      </c>
    </row>
    <row r="16" spans="1:49" ht="28.9" customHeight="1" thickBot="1" x14ac:dyDescent="0.35">
      <c r="E16" s="222" t="s">
        <v>336</v>
      </c>
      <c r="F16" s="226">
        <v>2000</v>
      </c>
      <c r="H16" s="236" t="s">
        <v>356</v>
      </c>
      <c r="I16" s="237">
        <f>I15</f>
        <v>4664.68</v>
      </c>
      <c r="J16" s="238">
        <v>0.27500000000000002</v>
      </c>
      <c r="K16" s="239">
        <v>896</v>
      </c>
    </row>
    <row r="17" spans="5:11" ht="28.9" customHeight="1" thickBot="1" x14ac:dyDescent="0.3">
      <c r="E17" s="222" t="s">
        <v>337</v>
      </c>
      <c r="F17" s="226">
        <v>5000</v>
      </c>
    </row>
    <row r="18" spans="5:11" ht="28.9" customHeight="1" x14ac:dyDescent="0.25">
      <c r="E18" s="222" t="s">
        <v>338</v>
      </c>
      <c r="F18" s="226">
        <v>3000</v>
      </c>
      <c r="H18" s="516" t="s">
        <v>315</v>
      </c>
      <c r="I18" s="517"/>
      <c r="J18" s="517"/>
      <c r="K18" s="518"/>
    </row>
    <row r="19" spans="5:11" ht="28.9" customHeight="1" x14ac:dyDescent="0.25">
      <c r="E19" s="222" t="s">
        <v>14</v>
      </c>
      <c r="F19" s="226">
        <v>5000</v>
      </c>
      <c r="H19" s="222" t="s">
        <v>319</v>
      </c>
      <c r="I19" s="232">
        <v>0.11</v>
      </c>
      <c r="J19" s="240" t="s">
        <v>319</v>
      </c>
      <c r="K19" s="241">
        <v>0.11</v>
      </c>
    </row>
    <row r="20" spans="5:11" ht="28.9" customHeight="1" x14ac:dyDescent="0.25">
      <c r="E20" s="222" t="s">
        <v>339</v>
      </c>
      <c r="F20" s="226">
        <v>3000</v>
      </c>
      <c r="H20" s="222" t="s">
        <v>357</v>
      </c>
      <c r="I20" s="240" t="s">
        <v>358</v>
      </c>
      <c r="J20" s="240" t="s">
        <v>357</v>
      </c>
      <c r="K20" s="242" t="s">
        <v>358</v>
      </c>
    </row>
    <row r="21" spans="5:11" ht="28.9" customHeight="1" thickBot="1" x14ac:dyDescent="0.3">
      <c r="E21" s="222" t="s">
        <v>340</v>
      </c>
      <c r="F21" s="226">
        <v>2000</v>
      </c>
      <c r="H21" s="223" t="s">
        <v>359</v>
      </c>
      <c r="I21" s="238">
        <v>1.4999999999999999E-2</v>
      </c>
      <c r="J21" s="243" t="s">
        <v>359</v>
      </c>
      <c r="K21" s="244">
        <v>1.4999999999999999E-2</v>
      </c>
    </row>
    <row r="22" spans="5:11" ht="28.9" customHeight="1" thickBot="1" x14ac:dyDescent="0.3">
      <c r="E22" s="222" t="s">
        <v>341</v>
      </c>
      <c r="F22" s="226">
        <v>5000</v>
      </c>
    </row>
    <row r="23" spans="5:11" ht="28.9" customHeight="1" x14ac:dyDescent="0.35">
      <c r="E23" s="222" t="s">
        <v>342</v>
      </c>
      <c r="F23" s="226">
        <v>3000</v>
      </c>
      <c r="H23" s="245" t="s">
        <v>360</v>
      </c>
    </row>
    <row r="24" spans="5:11" ht="28.9" customHeight="1" thickBot="1" x14ac:dyDescent="0.35">
      <c r="E24" s="222" t="s">
        <v>343</v>
      </c>
      <c r="F24" s="226">
        <v>2000</v>
      </c>
      <c r="H24" s="246">
        <v>0.08</v>
      </c>
    </row>
    <row r="25" spans="5:11" ht="28.9" customHeight="1" x14ac:dyDescent="0.25">
      <c r="E25" s="222" t="s">
        <v>344</v>
      </c>
      <c r="F25" s="226">
        <v>5000</v>
      </c>
    </row>
    <row r="26" spans="5:11" ht="28.9" customHeight="1" x14ac:dyDescent="0.25">
      <c r="E26" s="222" t="s">
        <v>345</v>
      </c>
      <c r="F26" s="226">
        <v>4000</v>
      </c>
    </row>
    <row r="27" spans="5:11" ht="28.9" customHeight="1" x14ac:dyDescent="0.25">
      <c r="E27" s="222" t="s">
        <v>346</v>
      </c>
      <c r="F27" s="226">
        <v>3000</v>
      </c>
    </row>
    <row r="28" spans="5:11" ht="28.9" customHeight="1" x14ac:dyDescent="0.25">
      <c r="E28" s="222" t="s">
        <v>347</v>
      </c>
      <c r="F28" s="226">
        <v>2000</v>
      </c>
    </row>
    <row r="29" spans="5:11" ht="28.9" customHeight="1" x14ac:dyDescent="0.25">
      <c r="E29" s="222" t="s">
        <v>348</v>
      </c>
      <c r="F29" s="226">
        <v>5000</v>
      </c>
    </row>
    <row r="30" spans="5:11" ht="28.9" customHeight="1" x14ac:dyDescent="0.25">
      <c r="E30" s="222" t="s">
        <v>349</v>
      </c>
      <c r="F30" s="226">
        <v>3000</v>
      </c>
    </row>
    <row r="31" spans="5:11" ht="28.9" customHeight="1" thickBot="1" x14ac:dyDescent="0.3">
      <c r="E31" s="223" t="s">
        <v>350</v>
      </c>
      <c r="F31" s="227">
        <v>2000</v>
      </c>
    </row>
    <row r="32" spans="5:11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3">
    <mergeCell ref="H10:K10"/>
    <mergeCell ref="H11:I11"/>
    <mergeCell ref="H18:K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2">
    <tabColor rgb="FF7030A0"/>
  </sheetPr>
  <dimension ref="A1:AW66"/>
  <sheetViews>
    <sheetView zoomScale="40" zoomScaleNormal="40" workbookViewId="0">
      <selection activeCell="E27" sqref="E27"/>
    </sheetView>
  </sheetViews>
  <sheetFormatPr defaultColWidth="8.85546875" defaultRowHeight="15" x14ac:dyDescent="0.25"/>
  <cols>
    <col min="1" max="4" width="8.85546875" style="100"/>
    <col min="5" max="5" width="72.28515625" style="100" bestFit="1" customWidth="1"/>
    <col min="6" max="6" width="23.28515625" style="100" bestFit="1" customWidth="1"/>
    <col min="7" max="7" width="26" style="100" bestFit="1" customWidth="1"/>
    <col min="8" max="8" width="25.7109375" style="100" bestFit="1" customWidth="1"/>
    <col min="9" max="9" width="22.85546875" style="100" bestFit="1" customWidth="1"/>
    <col min="10" max="10" width="27.85546875" style="100" bestFit="1" customWidth="1"/>
    <col min="11" max="11" width="36.7109375" style="100" bestFit="1" customWidth="1"/>
    <col min="12" max="12" width="25.42578125" style="100" bestFit="1" customWidth="1"/>
    <col min="13" max="13" width="29" style="100" bestFit="1" customWidth="1"/>
    <col min="14" max="14" width="47.85546875" style="100" bestFit="1" customWidth="1"/>
    <col min="15" max="15" width="29.28515625" style="100" customWidth="1"/>
    <col min="16" max="16" width="73.42578125" style="100" customWidth="1"/>
    <col min="17" max="17" width="15.5703125" style="100" customWidth="1"/>
    <col min="18" max="21" width="8.85546875" style="100"/>
    <col min="22" max="22" width="23.42578125" style="100" bestFit="1" customWidth="1"/>
    <col min="23" max="23" width="2.7109375" style="100" bestFit="1" customWidth="1"/>
    <col min="24" max="24" width="51.140625" style="100" customWidth="1"/>
    <col min="25" max="16384" width="8.85546875" style="100"/>
  </cols>
  <sheetData>
    <row r="1" spans="1:49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9" customHeight="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</row>
    <row r="9" spans="1:49" ht="28.9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</row>
    <row r="10" spans="1:49" ht="28.9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</row>
    <row r="11" spans="1:49" ht="28.9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</row>
    <row r="12" spans="1:49" ht="28.9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</row>
    <row r="13" spans="1:49" ht="28.9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</row>
    <row r="14" spans="1:49" ht="28.9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</row>
    <row r="15" spans="1:49" ht="28.9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</row>
    <row r="16" spans="1:49" ht="28.9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</row>
    <row r="17" spans="1:22" ht="28.9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</row>
    <row r="18" spans="1:22" ht="28.9" customHeight="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</row>
    <row r="19" spans="1:22" ht="28.9" customHeigh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</row>
    <row r="20" spans="1:22" ht="28.9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</row>
    <row r="21" spans="1:22" ht="28.9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</row>
    <row r="22" spans="1:22" ht="28.9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</row>
    <row r="23" spans="1:22" ht="28.9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</row>
    <row r="24" spans="1:22" ht="28.9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</row>
    <row r="25" spans="1:22" ht="28.9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</row>
    <row r="26" spans="1:22" ht="28.9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</row>
    <row r="27" spans="1:22" ht="28.9" customHeight="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</row>
    <row r="28" spans="1:22" ht="28.9" customHeight="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</row>
    <row r="29" spans="1:22" ht="28.9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</row>
    <row r="30" spans="1:22" ht="28.9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</row>
    <row r="31" spans="1:22" ht="28.9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</row>
    <row r="32" spans="1:22" ht="28.9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</row>
    <row r="33" spans="1:22" ht="28.9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</row>
    <row r="34" spans="1:22" ht="28.9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</row>
    <row r="35" spans="1:22" ht="28.9" customHeight="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</row>
    <row r="36" spans="1:22" ht="28.9" customHeight="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</row>
    <row r="37" spans="1:22" ht="28.9" customHeight="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</row>
    <row r="38" spans="1:22" ht="28.9" customHeight="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</row>
    <row r="39" spans="1:22" ht="28.9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</row>
    <row r="40" spans="1:22" ht="28.9" customHeight="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</row>
    <row r="41" spans="1:22" ht="28.9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</row>
    <row r="42" spans="1:22" ht="28.9" customHeight="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</row>
    <row r="43" spans="1:22" ht="28.9" customHeight="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</row>
    <row r="44" spans="1:22" ht="28.9" customHeight="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</row>
    <row r="45" spans="1:22" ht="28.9" customHeight="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</row>
    <row r="46" spans="1:22" ht="28.9" customHeight="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</row>
    <row r="47" spans="1:22" ht="28.9" customHeight="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</row>
    <row r="48" spans="1:22" ht="28.9" customHeight="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</row>
    <row r="49" spans="1:22" ht="28.9" customHeight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</row>
    <row r="50" spans="1:22" ht="28.9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</row>
    <row r="51" spans="1:22" ht="28.9" customHeight="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</row>
    <row r="52" spans="1:22" ht="28.9" customHeight="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</row>
    <row r="53" spans="1:22" ht="28.9" customHeight="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</row>
    <row r="54" spans="1:22" ht="28.9" customHeight="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</row>
    <row r="55" spans="1:22" ht="28.9" customHeight="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</row>
    <row r="56" spans="1:22" ht="28.9" customHeight="1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</row>
    <row r="57" spans="1:22" ht="28.9" customHeight="1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</row>
    <row r="58" spans="1:22" ht="28.9" customHeight="1" x14ac:dyDescent="0.25"/>
    <row r="59" spans="1:22" ht="28.9" customHeight="1" x14ac:dyDescent="0.25"/>
    <row r="60" spans="1:22" ht="28.9" customHeight="1" x14ac:dyDescent="0.25"/>
    <row r="61" spans="1:22" ht="28.9" customHeight="1" x14ac:dyDescent="0.25"/>
    <row r="62" spans="1:22" ht="28.9" customHeight="1" x14ac:dyDescent="0.25"/>
    <row r="63" spans="1:22" ht="28.9" customHeight="1" x14ac:dyDescent="0.25"/>
    <row r="64" spans="1:22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1">
    <tabColor rgb="FF7030A0"/>
  </sheetPr>
  <dimension ref="A1:AW66"/>
  <sheetViews>
    <sheetView topLeftCell="E2" zoomScale="40" zoomScaleNormal="40" workbookViewId="0">
      <selection activeCell="K15" sqref="K15"/>
    </sheetView>
  </sheetViews>
  <sheetFormatPr defaultColWidth="8.85546875" defaultRowHeight="15" x14ac:dyDescent="0.25"/>
  <cols>
    <col min="1" max="4" width="8.85546875" style="100"/>
    <col min="5" max="5" width="72.28515625" style="100" bestFit="1" customWidth="1"/>
    <col min="6" max="6" width="23.28515625" style="100" bestFit="1" customWidth="1"/>
    <col min="7" max="7" width="26" style="100" bestFit="1" customWidth="1"/>
    <col min="8" max="8" width="25.7109375" style="100" bestFit="1" customWidth="1"/>
    <col min="9" max="9" width="22.85546875" style="100" bestFit="1" customWidth="1"/>
    <col min="10" max="10" width="27.85546875" style="100" bestFit="1" customWidth="1"/>
    <col min="11" max="11" width="36.7109375" style="100" bestFit="1" customWidth="1"/>
    <col min="12" max="12" width="25.42578125" style="100" bestFit="1" customWidth="1"/>
    <col min="13" max="13" width="29" style="100" bestFit="1" customWidth="1"/>
    <col min="14" max="14" width="47.85546875" style="100" bestFit="1" customWidth="1"/>
    <col min="15" max="15" width="29.28515625" style="100" customWidth="1"/>
    <col min="16" max="16" width="73.42578125" style="100" customWidth="1"/>
    <col min="17" max="17" width="15.5703125" style="100" customWidth="1"/>
    <col min="18" max="21" width="8.85546875" style="100"/>
    <col min="22" max="22" width="23.42578125" style="100" bestFit="1" customWidth="1"/>
    <col min="23" max="23" width="2.7109375" style="100" bestFit="1" customWidth="1"/>
    <col min="24" max="24" width="51.140625" style="100" customWidth="1"/>
    <col min="25" max="16384" width="8.85546875" style="100"/>
  </cols>
  <sheetData>
    <row r="1" spans="1:49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15" customHeight="1" x14ac:dyDescent="0.25">
      <c r="A4" s="365"/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</row>
    <row r="5" spans="1:49" x14ac:dyDescent="0.25">
      <c r="A5" s="365"/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</row>
    <row r="6" spans="1:49" x14ac:dyDescent="0.25">
      <c r="A6" s="365"/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</row>
    <row r="7" spans="1:49" x14ac:dyDescent="0.25">
      <c r="A7" s="365"/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507" t="s">
        <v>402</v>
      </c>
      <c r="I12" s="508"/>
      <c r="J12" s="508"/>
      <c r="K12" s="508"/>
      <c r="L12" s="509"/>
    </row>
    <row r="13" spans="1:49" ht="28.9" customHeight="1" thickBot="1" x14ac:dyDescent="0.3">
      <c r="H13" s="510"/>
      <c r="I13" s="511"/>
      <c r="J13" s="511"/>
      <c r="K13" s="511"/>
      <c r="L13" s="512"/>
    </row>
    <row r="14" spans="1:49" ht="28.9" customHeight="1" thickBot="1" x14ac:dyDescent="0.3">
      <c r="H14" s="8"/>
      <c r="I14" s="395"/>
      <c r="J14" s="395"/>
      <c r="K14" s="395"/>
      <c r="L14" s="50"/>
    </row>
    <row r="15" spans="1:49" ht="28.9" customHeight="1" thickBot="1" x14ac:dyDescent="0.35">
      <c r="H15" s="8"/>
      <c r="I15" s="390" t="s">
        <v>362</v>
      </c>
      <c r="J15" s="396"/>
      <c r="K15" s="397"/>
      <c r="L15" s="50"/>
    </row>
    <row r="16" spans="1:49" ht="28.9" customHeight="1" thickBot="1" x14ac:dyDescent="0.3">
      <c r="H16" s="8"/>
      <c r="I16" s="390"/>
      <c r="J16" s="396"/>
      <c r="K16" s="396"/>
      <c r="L16" s="50"/>
    </row>
    <row r="17" spans="8:12" ht="28.9" customHeight="1" thickBot="1" x14ac:dyDescent="0.35">
      <c r="H17" s="8"/>
      <c r="I17" s="390" t="s">
        <v>287</v>
      </c>
      <c r="J17" s="396"/>
      <c r="K17" s="397"/>
      <c r="L17" s="50"/>
    </row>
    <row r="18" spans="8:12" ht="28.9" customHeight="1" thickBot="1" x14ac:dyDescent="0.3">
      <c r="H18" s="8"/>
      <c r="I18" s="390"/>
      <c r="J18" s="396"/>
      <c r="K18" s="396"/>
      <c r="L18" s="50"/>
    </row>
    <row r="19" spans="8:12" ht="28.9" customHeight="1" thickBot="1" x14ac:dyDescent="0.35">
      <c r="H19" s="8"/>
      <c r="I19" s="390" t="s">
        <v>293</v>
      </c>
      <c r="J19" s="396"/>
      <c r="K19" s="397"/>
      <c r="L19" s="50"/>
    </row>
    <row r="20" spans="8:12" ht="28.9" customHeight="1" thickBot="1" x14ac:dyDescent="0.3">
      <c r="H20" s="8"/>
      <c r="I20" s="390"/>
      <c r="J20" s="396"/>
      <c r="K20" s="396"/>
      <c r="L20" s="50"/>
    </row>
    <row r="21" spans="8:12" ht="28.9" customHeight="1" thickBot="1" x14ac:dyDescent="0.35">
      <c r="H21" s="8"/>
      <c r="I21" s="390" t="s">
        <v>401</v>
      </c>
      <c r="J21" s="396"/>
      <c r="K21" s="397"/>
      <c r="L21" s="50"/>
    </row>
    <row r="22" spans="8:12" ht="28.9" customHeight="1" thickBot="1" x14ac:dyDescent="0.3">
      <c r="H22" s="8"/>
      <c r="I22" s="390"/>
      <c r="J22" s="396"/>
      <c r="K22" s="396"/>
      <c r="L22" s="50"/>
    </row>
    <row r="23" spans="8:12" ht="28.9" customHeight="1" thickBot="1" x14ac:dyDescent="0.35">
      <c r="H23" s="8"/>
      <c r="I23" s="390" t="s">
        <v>406</v>
      </c>
      <c r="J23" s="396"/>
      <c r="K23" s="397"/>
      <c r="L23" s="50"/>
    </row>
    <row r="24" spans="8:12" ht="28.9" customHeight="1" thickBot="1" x14ac:dyDescent="0.3">
      <c r="H24" s="8"/>
      <c r="I24" s="390"/>
      <c r="J24" s="396"/>
      <c r="K24" s="396"/>
      <c r="L24" s="50"/>
    </row>
    <row r="25" spans="8:12" ht="28.9" customHeight="1" thickBot="1" x14ac:dyDescent="0.35">
      <c r="H25" s="8"/>
      <c r="I25" s="390" t="s">
        <v>405</v>
      </c>
      <c r="J25" s="396"/>
      <c r="K25" s="397"/>
      <c r="L25" s="50"/>
    </row>
    <row r="26" spans="8:12" ht="28.9" customHeight="1" thickBot="1" x14ac:dyDescent="0.3">
      <c r="H26" s="8"/>
      <c r="I26" s="390"/>
      <c r="J26" s="396"/>
      <c r="K26" s="396"/>
      <c r="L26" s="50"/>
    </row>
    <row r="27" spans="8:12" ht="28.9" customHeight="1" thickBot="1" x14ac:dyDescent="0.3">
      <c r="H27" s="8"/>
      <c r="I27" s="390" t="s">
        <v>294</v>
      </c>
      <c r="J27" s="396"/>
      <c r="K27" s="398"/>
      <c r="L27" s="50"/>
    </row>
    <row r="28" spans="8:12" ht="28.9" customHeight="1" x14ac:dyDescent="0.25">
      <c r="H28" s="61"/>
      <c r="I28" s="247"/>
      <c r="J28" s="247"/>
      <c r="K28" s="247"/>
      <c r="L28" s="7"/>
    </row>
    <row r="29" spans="8:12" ht="28.9" customHeight="1" x14ac:dyDescent="0.25">
      <c r="H29" s="61"/>
      <c r="I29" s="247"/>
      <c r="J29" s="247"/>
      <c r="K29" s="247"/>
      <c r="L29" s="7"/>
    </row>
    <row r="30" spans="8:12" ht="28.9" customHeight="1" x14ac:dyDescent="0.25">
      <c r="H30" s="61"/>
      <c r="I30" s="247"/>
      <c r="J30" s="247"/>
      <c r="K30" s="247"/>
      <c r="L30" s="7"/>
    </row>
    <row r="31" spans="8:12" ht="28.9" customHeight="1" x14ac:dyDescent="0.25">
      <c r="H31" s="61"/>
      <c r="I31" s="247"/>
      <c r="J31" s="247"/>
      <c r="K31" s="247"/>
      <c r="L31" s="7"/>
    </row>
    <row r="32" spans="8:12" ht="28.9" customHeight="1" x14ac:dyDescent="0.25">
      <c r="H32" s="61"/>
      <c r="I32" s="247"/>
      <c r="J32" s="247"/>
      <c r="K32" s="247"/>
      <c r="L32" s="7"/>
    </row>
    <row r="33" spans="8:12" ht="28.9" customHeight="1" x14ac:dyDescent="0.25">
      <c r="H33" s="61"/>
      <c r="I33" s="247"/>
      <c r="J33" s="247"/>
      <c r="K33" s="247"/>
      <c r="L33" s="7"/>
    </row>
    <row r="34" spans="8:12" ht="28.9" customHeight="1" thickBot="1" x14ac:dyDescent="0.3">
      <c r="H34" s="73"/>
      <c r="I34" s="74"/>
      <c r="J34" s="74"/>
      <c r="K34" s="74"/>
      <c r="L34" s="75"/>
    </row>
    <row r="35" spans="8:12" ht="28.9" customHeight="1" x14ac:dyDescent="0.25"/>
    <row r="36" spans="8:12" ht="28.9" customHeight="1" x14ac:dyDescent="0.25"/>
    <row r="37" spans="8:12" ht="28.9" customHeight="1" x14ac:dyDescent="0.25"/>
    <row r="38" spans="8:12" ht="28.9" customHeight="1" x14ac:dyDescent="0.25"/>
    <row r="39" spans="8:12" ht="28.9" customHeight="1" x14ac:dyDescent="0.25"/>
    <row r="40" spans="8:12" ht="28.9" customHeight="1" x14ac:dyDescent="0.25"/>
    <row r="41" spans="8:12" ht="28.9" customHeight="1" x14ac:dyDescent="0.25"/>
    <row r="42" spans="8:12" ht="28.9" customHeight="1" x14ac:dyDescent="0.25"/>
    <row r="43" spans="8:12" ht="28.9" customHeight="1" x14ac:dyDescent="0.25"/>
    <row r="44" spans="8:12" ht="28.9" customHeight="1" x14ac:dyDescent="0.25"/>
    <row r="45" spans="8:12" ht="28.9" customHeight="1" x14ac:dyDescent="0.25"/>
    <row r="46" spans="8:12" ht="28.9" customHeight="1" x14ac:dyDescent="0.25"/>
    <row r="47" spans="8:12" ht="28.9" customHeight="1" x14ac:dyDescent="0.25"/>
    <row r="48" spans="8:12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2">
    <tabColor rgb="FF7030A0"/>
  </sheetPr>
  <dimension ref="A1:AW66"/>
  <sheetViews>
    <sheetView topLeftCell="E2" zoomScale="40" zoomScaleNormal="40" workbookViewId="0">
      <selection activeCell="K31" sqref="K31"/>
    </sheetView>
  </sheetViews>
  <sheetFormatPr defaultColWidth="8.85546875" defaultRowHeight="15" x14ac:dyDescent="0.25"/>
  <cols>
    <col min="1" max="4" width="8.85546875" style="100"/>
    <col min="5" max="5" width="72.28515625" style="100" bestFit="1" customWidth="1"/>
    <col min="6" max="6" width="23.28515625" style="100" bestFit="1" customWidth="1"/>
    <col min="7" max="7" width="26" style="100" bestFit="1" customWidth="1"/>
    <col min="8" max="8" width="25.7109375" style="100" bestFit="1" customWidth="1"/>
    <col min="9" max="9" width="22.85546875" style="100" bestFit="1" customWidth="1"/>
    <col min="10" max="10" width="27.85546875" style="100" bestFit="1" customWidth="1"/>
    <col min="11" max="11" width="54.7109375" style="100" customWidth="1"/>
    <col min="12" max="12" width="25.42578125" style="100" bestFit="1" customWidth="1"/>
    <col min="13" max="13" width="29" style="100" bestFit="1" customWidth="1"/>
    <col min="14" max="14" width="47.85546875" style="100" bestFit="1" customWidth="1"/>
    <col min="15" max="15" width="29.28515625" style="100" customWidth="1"/>
    <col min="16" max="16" width="73.42578125" style="100" customWidth="1"/>
    <col min="17" max="17" width="15.5703125" style="100" customWidth="1"/>
    <col min="18" max="21" width="8.85546875" style="100"/>
    <col min="22" max="22" width="23.42578125" style="100" bestFit="1" customWidth="1"/>
    <col min="23" max="23" width="2.7109375" style="100" bestFit="1" customWidth="1"/>
    <col min="24" max="24" width="51.140625" style="100" customWidth="1"/>
    <col min="25" max="16384" width="8.85546875" style="100"/>
  </cols>
  <sheetData>
    <row r="1" spans="1:49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15" customHeight="1" x14ac:dyDescent="0.25">
      <c r="A4" s="365"/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</row>
    <row r="5" spans="1:49" x14ac:dyDescent="0.25">
      <c r="A5" s="365"/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</row>
    <row r="6" spans="1:49" x14ac:dyDescent="0.25">
      <c r="A6" s="365"/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</row>
    <row r="7" spans="1:49" x14ac:dyDescent="0.25">
      <c r="A7" s="365"/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507" t="s">
        <v>368</v>
      </c>
      <c r="I12" s="508"/>
      <c r="J12" s="508"/>
      <c r="K12" s="508"/>
      <c r="L12" s="509"/>
    </row>
    <row r="13" spans="1:49" ht="28.9" customHeight="1" thickBot="1" x14ac:dyDescent="0.3">
      <c r="H13" s="510"/>
      <c r="I13" s="511"/>
      <c r="J13" s="511"/>
      <c r="K13" s="511"/>
      <c r="L13" s="512"/>
    </row>
    <row r="14" spans="1:49" ht="28.9" customHeight="1" thickBot="1" x14ac:dyDescent="0.3">
      <c r="H14" s="8"/>
      <c r="I14" s="395"/>
      <c r="J14" s="395"/>
      <c r="K14" s="395"/>
      <c r="L14" s="50"/>
    </row>
    <row r="15" spans="1:49" ht="28.9" customHeight="1" thickBot="1" x14ac:dyDescent="0.35">
      <c r="H15" s="8"/>
      <c r="I15" s="399" t="s">
        <v>362</v>
      </c>
      <c r="J15" s="395"/>
      <c r="K15" s="397" t="s">
        <v>434</v>
      </c>
      <c r="L15" s="50"/>
    </row>
    <row r="16" spans="1:49" ht="28.9" customHeight="1" thickBot="1" x14ac:dyDescent="0.35">
      <c r="H16" s="8"/>
      <c r="I16" s="130" t="s">
        <v>13</v>
      </c>
      <c r="J16" s="395"/>
      <c r="K16" s="371"/>
      <c r="L16" s="50"/>
    </row>
    <row r="17" spans="8:12" ht="28.9" customHeight="1" thickBot="1" x14ac:dyDescent="0.35">
      <c r="H17" s="8"/>
      <c r="I17" s="399" t="s">
        <v>363</v>
      </c>
      <c r="J17" s="395"/>
      <c r="K17" s="397" t="str">
        <f>VLOOKUP(K15,BD_CADAS!C8:D30,2,0)</f>
        <v>Cruzilha Queijos</v>
      </c>
      <c r="L17" s="50"/>
    </row>
    <row r="18" spans="8:12" ht="28.9" customHeight="1" thickBot="1" x14ac:dyDescent="0.35">
      <c r="H18" s="8"/>
      <c r="I18" s="130" t="s">
        <v>13</v>
      </c>
      <c r="J18" s="395"/>
      <c r="K18" s="371"/>
      <c r="L18" s="50"/>
    </row>
    <row r="19" spans="8:12" ht="28.9" customHeight="1" thickBot="1" x14ac:dyDescent="0.35">
      <c r="H19" s="8"/>
      <c r="I19" s="399" t="s">
        <v>293</v>
      </c>
      <c r="J19" s="395"/>
      <c r="K19" s="397" t="str">
        <f>VLOOKUP(K15,BD_CADAS!C8:E30,3,0)</f>
        <v>Rua da Esperança, 34</v>
      </c>
      <c r="L19" s="50"/>
    </row>
    <row r="20" spans="8:12" ht="28.9" customHeight="1" thickBot="1" x14ac:dyDescent="0.35">
      <c r="H20" s="8"/>
      <c r="I20" s="130" t="s">
        <v>13</v>
      </c>
      <c r="J20" s="395"/>
      <c r="K20" s="371"/>
      <c r="L20" s="50"/>
    </row>
    <row r="21" spans="8:12" ht="28.9" customHeight="1" thickBot="1" x14ac:dyDescent="0.35">
      <c r="H21" s="8"/>
      <c r="I21" s="399" t="s">
        <v>282</v>
      </c>
      <c r="J21" s="395"/>
      <c r="K21" s="397" t="s">
        <v>232</v>
      </c>
      <c r="L21" s="50"/>
    </row>
    <row r="22" spans="8:12" ht="28.9" customHeight="1" thickBot="1" x14ac:dyDescent="0.35">
      <c r="H22" s="8"/>
      <c r="I22" s="130" t="s">
        <v>13</v>
      </c>
      <c r="J22" s="395"/>
      <c r="K22" s="371"/>
      <c r="L22" s="50"/>
    </row>
    <row r="23" spans="8:12" ht="28.9" customHeight="1" thickBot="1" x14ac:dyDescent="0.35">
      <c r="H23" s="8"/>
      <c r="I23" s="399" t="s">
        <v>283</v>
      </c>
      <c r="J23" s="395"/>
      <c r="K23" s="397">
        <v>400</v>
      </c>
      <c r="L23" s="50"/>
    </row>
    <row r="24" spans="8:12" ht="28.9" customHeight="1" thickBot="1" x14ac:dyDescent="0.35">
      <c r="H24" s="8"/>
      <c r="I24" s="130" t="s">
        <v>13</v>
      </c>
      <c r="J24" s="395"/>
      <c r="K24" s="371"/>
      <c r="L24" s="50"/>
    </row>
    <row r="25" spans="8:12" ht="28.9" customHeight="1" thickBot="1" x14ac:dyDescent="0.35">
      <c r="H25" s="8"/>
      <c r="I25" s="399" t="s">
        <v>364</v>
      </c>
      <c r="J25" s="395"/>
      <c r="K25" s="400">
        <f>N_VMETAS!O22</f>
        <v>20</v>
      </c>
      <c r="L25" s="50"/>
    </row>
    <row r="26" spans="8:12" ht="28.9" customHeight="1" thickBot="1" x14ac:dyDescent="0.35">
      <c r="H26" s="8"/>
      <c r="I26" s="130" t="s">
        <v>13</v>
      </c>
      <c r="J26" s="395"/>
      <c r="K26" s="371"/>
      <c r="L26" s="50"/>
    </row>
    <row r="27" spans="8:12" ht="28.9" customHeight="1" thickBot="1" x14ac:dyDescent="0.35">
      <c r="H27" s="8"/>
      <c r="I27" s="399" t="s">
        <v>365</v>
      </c>
      <c r="J27" s="395"/>
      <c r="K27" s="400">
        <f>K23*K25</f>
        <v>8000</v>
      </c>
      <c r="L27" s="50"/>
    </row>
    <row r="28" spans="8:12" ht="28.9" customHeight="1" thickBot="1" x14ac:dyDescent="0.35">
      <c r="H28" s="61"/>
      <c r="I28" s="130"/>
      <c r="J28" s="247"/>
      <c r="K28" s="371"/>
      <c r="L28" s="7"/>
    </row>
    <row r="29" spans="8:12" ht="28.9" customHeight="1" thickBot="1" x14ac:dyDescent="0.35">
      <c r="H29" s="61"/>
      <c r="I29" s="399" t="s">
        <v>366</v>
      </c>
      <c r="J29" s="247"/>
      <c r="K29" s="401"/>
      <c r="L29" s="7"/>
    </row>
    <row r="30" spans="8:12" ht="28.9" customHeight="1" thickBot="1" x14ac:dyDescent="0.35">
      <c r="H30" s="61"/>
      <c r="I30" s="130"/>
      <c r="J30" s="247"/>
      <c r="K30" s="371"/>
      <c r="L30" s="7"/>
    </row>
    <row r="31" spans="8:12" ht="28.9" customHeight="1" thickBot="1" x14ac:dyDescent="0.35">
      <c r="H31" s="61"/>
      <c r="I31" s="399" t="s">
        <v>367</v>
      </c>
      <c r="J31" s="247"/>
      <c r="K31" s="397" t="s">
        <v>748</v>
      </c>
      <c r="L31" s="7"/>
    </row>
    <row r="32" spans="8:12" ht="28.9" customHeight="1" x14ac:dyDescent="0.25">
      <c r="H32" s="61"/>
      <c r="I32" s="402"/>
      <c r="J32" s="247"/>
      <c r="K32" s="247"/>
      <c r="L32" s="7"/>
    </row>
    <row r="33" spans="8:12" ht="28.9" customHeight="1" x14ac:dyDescent="0.25">
      <c r="H33" s="61"/>
      <c r="I33" s="247"/>
      <c r="J33" s="247"/>
      <c r="K33" s="247"/>
      <c r="L33" s="7"/>
    </row>
    <row r="34" spans="8:12" ht="28.9" customHeight="1" x14ac:dyDescent="0.25">
      <c r="H34" s="61"/>
      <c r="I34" s="247"/>
      <c r="J34" s="247"/>
      <c r="K34" s="247"/>
      <c r="L34" s="7"/>
    </row>
    <row r="35" spans="8:12" ht="28.9" customHeight="1" x14ac:dyDescent="0.25">
      <c r="H35" s="61"/>
      <c r="I35" s="247"/>
      <c r="J35" s="247"/>
      <c r="K35" s="247"/>
      <c r="L35" s="7"/>
    </row>
    <row r="36" spans="8:12" ht="28.9" customHeight="1" x14ac:dyDescent="0.25">
      <c r="H36" s="61"/>
      <c r="I36" s="247"/>
      <c r="J36" s="247"/>
      <c r="K36" s="247"/>
      <c r="L36" s="7"/>
    </row>
    <row r="37" spans="8:12" ht="28.9" customHeight="1" x14ac:dyDescent="0.25">
      <c r="H37" s="61"/>
      <c r="I37" s="247"/>
      <c r="J37" s="247"/>
      <c r="K37" s="247"/>
      <c r="L37" s="7"/>
    </row>
    <row r="38" spans="8:12" ht="28.9" customHeight="1" thickBot="1" x14ac:dyDescent="0.3">
      <c r="H38" s="73"/>
      <c r="I38" s="74"/>
      <c r="J38" s="74"/>
      <c r="K38" s="74"/>
      <c r="L38" s="75"/>
    </row>
    <row r="39" spans="8:12" ht="28.9" customHeight="1" x14ac:dyDescent="0.25"/>
    <row r="40" spans="8:12" ht="28.9" customHeight="1" x14ac:dyDescent="0.25"/>
    <row r="41" spans="8:12" ht="28.9" customHeight="1" x14ac:dyDescent="0.25"/>
    <row r="42" spans="8:12" ht="28.9" customHeight="1" x14ac:dyDescent="0.25"/>
    <row r="43" spans="8:12" ht="28.9" customHeight="1" x14ac:dyDescent="0.25"/>
    <row r="44" spans="8:12" ht="28.9" customHeight="1" x14ac:dyDescent="0.25"/>
    <row r="45" spans="8:12" ht="28.9" customHeight="1" x14ac:dyDescent="0.25"/>
    <row r="46" spans="8:12" ht="28.9" customHeight="1" x14ac:dyDescent="0.25"/>
    <row r="47" spans="8:12" ht="28.9" customHeight="1" x14ac:dyDescent="0.25"/>
    <row r="48" spans="8:12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dataConsolidate/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N_VMETAS!$N$22:$N$25</xm:f>
          </x14:formula1>
          <xm:sqref>K21</xm:sqref>
        </x14:dataValidation>
        <x14:dataValidation type="list" allowBlank="1" showInputMessage="1" showErrorMessage="1">
          <x14:formula1>
            <xm:f>BD_CADAS!$C$8:$C$30</xm:f>
          </x14:formula1>
          <xm:sqref>K15</xm:sqref>
        </x14:dataValidation>
        <x14:dataValidation type="list" allowBlank="1" showInputMessage="1" showErrorMessage="1">
          <x14:formula1>
            <xm:f>BD_CADAS!$C$35:$C$38</xm:f>
          </x14:formula1>
          <xm:sqref>K31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3">
    <tabColor rgb="FF7030A0"/>
  </sheetPr>
  <dimension ref="A1:AW64"/>
  <sheetViews>
    <sheetView topLeftCell="H4" zoomScale="55" zoomScaleNormal="55" workbookViewId="0">
      <selection activeCell="N22" sqref="N22:N25"/>
    </sheetView>
  </sheetViews>
  <sheetFormatPr defaultColWidth="8.85546875" defaultRowHeight="15" x14ac:dyDescent="0.25"/>
  <cols>
    <col min="1" max="4" width="8.85546875" style="100"/>
    <col min="5" max="5" width="72.28515625" style="100" bestFit="1" customWidth="1"/>
    <col min="6" max="6" width="23.28515625" style="100" bestFit="1" customWidth="1"/>
    <col min="7" max="7" width="26" style="100" bestFit="1" customWidth="1"/>
    <col min="8" max="8" width="25.7109375" style="100" bestFit="1" customWidth="1"/>
    <col min="9" max="9" width="22.85546875" style="100" bestFit="1" customWidth="1"/>
    <col min="10" max="10" width="27.85546875" style="100" bestFit="1" customWidth="1"/>
    <col min="11" max="11" width="42.42578125" style="100" customWidth="1"/>
    <col min="12" max="12" width="25.42578125" style="100" bestFit="1" customWidth="1"/>
    <col min="13" max="13" width="29" style="100" bestFit="1" customWidth="1"/>
    <col min="14" max="14" width="51.140625" style="100" customWidth="1"/>
    <col min="15" max="15" width="42.5703125" style="100" customWidth="1"/>
    <col min="16" max="16" width="73.42578125" style="100" customWidth="1"/>
    <col min="17" max="17" width="15.5703125" style="100" customWidth="1"/>
    <col min="18" max="21" width="8.85546875" style="100"/>
    <col min="22" max="22" width="23.42578125" style="100" bestFit="1" customWidth="1"/>
    <col min="23" max="23" width="2.7109375" style="100" bestFit="1" customWidth="1"/>
    <col min="24" max="24" width="51.140625" style="100" customWidth="1"/>
    <col min="25" max="16384" width="8.85546875" style="100"/>
  </cols>
  <sheetData>
    <row r="1" spans="1:49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15" customHeight="1" x14ac:dyDescent="0.25">
      <c r="A4" s="365"/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</row>
    <row r="5" spans="1:49" x14ac:dyDescent="0.25">
      <c r="A5" s="365"/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</row>
    <row r="6" spans="1:49" x14ac:dyDescent="0.25">
      <c r="A6" s="365"/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</row>
    <row r="7" spans="1:49" x14ac:dyDescent="0.25">
      <c r="A7" s="365"/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4">
      <c r="H12" s="507" t="s">
        <v>369</v>
      </c>
      <c r="I12" s="508"/>
      <c r="J12" s="508"/>
      <c r="K12" s="508"/>
      <c r="L12" s="509"/>
      <c r="N12" s="249" t="s">
        <v>370</v>
      </c>
      <c r="O12" s="249" t="s">
        <v>283</v>
      </c>
    </row>
    <row r="13" spans="1:49" ht="28.9" customHeight="1" thickBot="1" x14ac:dyDescent="0.35">
      <c r="H13" s="510"/>
      <c r="I13" s="511"/>
      <c r="J13" s="511"/>
      <c r="K13" s="511"/>
      <c r="L13" s="512"/>
      <c r="N13" s="250" t="s">
        <v>743</v>
      </c>
      <c r="O13" s="251">
        <v>1600</v>
      </c>
    </row>
    <row r="14" spans="1:49" ht="28.9" customHeight="1" thickBot="1" x14ac:dyDescent="0.35">
      <c r="H14" s="403"/>
      <c r="I14" s="404"/>
      <c r="J14" s="404"/>
      <c r="K14" s="405"/>
      <c r="L14" s="406"/>
      <c r="N14" s="371"/>
      <c r="O14" s="371"/>
    </row>
    <row r="15" spans="1:49" ht="28.9" customHeight="1" thickBot="1" x14ac:dyDescent="0.35">
      <c r="H15" s="8"/>
      <c r="I15" s="399" t="s">
        <v>744</v>
      </c>
      <c r="J15" s="395"/>
      <c r="K15" s="397">
        <f>SUM(N_VRELCOM!H10:H52)</f>
        <v>3000</v>
      </c>
      <c r="L15" s="50"/>
    </row>
    <row r="16" spans="1:49" ht="28.9" customHeight="1" thickBot="1" x14ac:dyDescent="0.35">
      <c r="H16" s="8"/>
      <c r="I16" s="399"/>
      <c r="J16" s="395"/>
      <c r="K16" s="371"/>
      <c r="L16" s="50"/>
    </row>
    <row r="17" spans="8:15" ht="28.9" customHeight="1" thickBot="1" x14ac:dyDescent="0.35">
      <c r="H17" s="8"/>
      <c r="I17" s="399" t="s">
        <v>745</v>
      </c>
      <c r="J17" s="395"/>
      <c r="K17" s="397">
        <f>O13</f>
        <v>1600</v>
      </c>
      <c r="L17" s="50"/>
    </row>
    <row r="18" spans="8:15" ht="28.9" customHeight="1" thickBot="1" x14ac:dyDescent="0.35">
      <c r="H18" s="8"/>
      <c r="I18" s="399"/>
      <c r="J18" s="395"/>
      <c r="K18" s="371"/>
      <c r="L18" s="50"/>
    </row>
    <row r="19" spans="8:15" ht="28.9" customHeight="1" thickBot="1" x14ac:dyDescent="0.35">
      <c r="H19" s="8"/>
      <c r="I19" s="399" t="s">
        <v>746</v>
      </c>
      <c r="J19" s="395"/>
      <c r="K19" s="397" t="str">
        <f>IF(K15&gt;K17,"META ATINGIDA","META NÃO ATINGIDA")</f>
        <v>META ATINGIDA</v>
      </c>
      <c r="L19" s="50"/>
    </row>
    <row r="20" spans="8:15" ht="28.9" customHeight="1" x14ac:dyDescent="0.3">
      <c r="H20" s="8"/>
      <c r="I20" s="399"/>
      <c r="J20" s="395"/>
      <c r="K20" s="386"/>
      <c r="L20" s="50"/>
    </row>
    <row r="21" spans="8:15" ht="28.9" customHeight="1" x14ac:dyDescent="0.4">
      <c r="H21" s="8"/>
      <c r="I21" s="247"/>
      <c r="J21" s="395"/>
      <c r="K21" s="395"/>
      <c r="L21" s="50"/>
      <c r="N21" s="249" t="s">
        <v>747</v>
      </c>
      <c r="O21" s="249" t="s">
        <v>403</v>
      </c>
    </row>
    <row r="22" spans="8:15" ht="28.9" customHeight="1" x14ac:dyDescent="0.3">
      <c r="H22" s="8"/>
      <c r="I22" s="247"/>
      <c r="J22" s="395"/>
      <c r="K22" s="395"/>
      <c r="L22" s="50"/>
      <c r="N22" s="322" t="s">
        <v>645</v>
      </c>
      <c r="O22" s="407">
        <v>20</v>
      </c>
    </row>
    <row r="23" spans="8:15" ht="28.9" customHeight="1" x14ac:dyDescent="0.3">
      <c r="H23" s="8"/>
      <c r="I23" s="247"/>
      <c r="J23" s="395"/>
      <c r="K23" s="395"/>
      <c r="L23" s="50"/>
      <c r="N23" s="322" t="s">
        <v>9</v>
      </c>
      <c r="O23" s="407">
        <v>20</v>
      </c>
    </row>
    <row r="24" spans="8:15" ht="28.9" customHeight="1" x14ac:dyDescent="0.3">
      <c r="H24" s="8"/>
      <c r="I24" s="247"/>
      <c r="J24" s="395"/>
      <c r="K24" s="395"/>
      <c r="L24" s="50"/>
      <c r="N24" s="322" t="s">
        <v>10</v>
      </c>
      <c r="O24" s="407">
        <v>20</v>
      </c>
    </row>
    <row r="25" spans="8:15" ht="28.9" customHeight="1" thickBot="1" x14ac:dyDescent="0.35">
      <c r="H25" s="51"/>
      <c r="I25" s="74"/>
      <c r="J25" s="52"/>
      <c r="K25" s="248"/>
      <c r="L25" s="53"/>
      <c r="N25" s="322" t="s">
        <v>11</v>
      </c>
      <c r="O25" s="407">
        <v>20</v>
      </c>
    </row>
    <row r="26" spans="8:15" ht="28.9" customHeight="1" x14ac:dyDescent="0.25"/>
    <row r="27" spans="8:15" ht="28.9" customHeight="1" x14ac:dyDescent="0.25"/>
    <row r="28" spans="8:15" ht="28.9" customHeight="1" x14ac:dyDescent="0.25"/>
    <row r="29" spans="8:15" ht="28.9" customHeight="1" x14ac:dyDescent="0.25"/>
    <row r="30" spans="8:15" ht="28.9" customHeight="1" x14ac:dyDescent="0.25"/>
    <row r="31" spans="8:15" ht="28.9" customHeight="1" x14ac:dyDescent="0.25"/>
    <row r="32" spans="8:15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5">
    <tabColor rgb="FF7030A0"/>
  </sheetPr>
  <dimension ref="B1:AS66"/>
  <sheetViews>
    <sheetView tabSelected="1" topLeftCell="A3" zoomScale="55" zoomScaleNormal="55" workbookViewId="0">
      <selection activeCell="J21" sqref="J21"/>
    </sheetView>
  </sheetViews>
  <sheetFormatPr defaultColWidth="8.85546875" defaultRowHeight="15" x14ac:dyDescent="0.25"/>
  <cols>
    <col min="1" max="1" width="8.85546875" style="100"/>
    <col min="2" max="2" width="32.42578125" style="100" customWidth="1"/>
    <col min="3" max="3" width="37.85546875" style="100" customWidth="1"/>
    <col min="4" max="4" width="44.28515625" style="100" customWidth="1"/>
    <col min="5" max="5" width="49.5703125" style="100" customWidth="1"/>
    <col min="6" max="6" width="57.5703125" style="100" customWidth="1"/>
    <col min="7" max="7" width="39.85546875" style="100" customWidth="1"/>
    <col min="8" max="8" width="47.85546875" style="100" customWidth="1"/>
    <col min="9" max="9" width="43.28515625" style="100" customWidth="1"/>
    <col min="10" max="10" width="47.85546875" style="100" bestFit="1" customWidth="1"/>
    <col min="11" max="11" width="29.28515625" style="100" customWidth="1"/>
    <col min="12" max="12" width="73.42578125" style="100" customWidth="1"/>
    <col min="13" max="13" width="15.5703125" style="100" customWidth="1"/>
    <col min="14" max="17" width="8.85546875" style="100"/>
    <col min="18" max="18" width="23.42578125" style="100" bestFit="1" customWidth="1"/>
    <col min="19" max="19" width="2.7109375" style="100" bestFit="1" customWidth="1"/>
    <col min="20" max="20" width="51.140625" style="100" customWidth="1"/>
    <col min="21" max="16384" width="8.85546875" style="100"/>
  </cols>
  <sheetData>
    <row r="1" spans="2:45" x14ac:dyDescent="0.25"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</row>
    <row r="2" spans="2:45" x14ac:dyDescent="0.25"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</row>
    <row r="3" spans="2:45" ht="61.15" customHeight="1" x14ac:dyDescent="0.25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</row>
    <row r="4" spans="2:45" ht="46.15" customHeight="1" x14ac:dyDescent="0.25"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</row>
    <row r="5" spans="2:45" x14ac:dyDescent="0.25"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</row>
    <row r="6" spans="2:45" x14ac:dyDescent="0.25"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</row>
    <row r="7" spans="2:45" x14ac:dyDescent="0.25"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</row>
    <row r="8" spans="2:45" ht="28.9" customHeight="1" x14ac:dyDescent="0.25"/>
    <row r="9" spans="2:45" ht="28.9" customHeight="1" thickBot="1" x14ac:dyDescent="0.3">
      <c r="B9" s="408" t="s">
        <v>362</v>
      </c>
      <c r="C9" s="408" t="s">
        <v>363</v>
      </c>
      <c r="D9" s="408" t="s">
        <v>293</v>
      </c>
      <c r="E9" s="408" t="s">
        <v>282</v>
      </c>
      <c r="F9" s="408" t="s">
        <v>283</v>
      </c>
      <c r="G9" s="408" t="s">
        <v>364</v>
      </c>
      <c r="H9" s="408" t="s">
        <v>365</v>
      </c>
      <c r="I9" s="408" t="s">
        <v>366</v>
      </c>
      <c r="J9" s="408" t="s">
        <v>367</v>
      </c>
    </row>
    <row r="10" spans="2:45" ht="28.9" customHeight="1" thickBot="1" x14ac:dyDescent="0.35">
      <c r="B10" s="397" t="s">
        <v>494</v>
      </c>
      <c r="C10" s="409" t="s">
        <v>493</v>
      </c>
      <c r="D10" s="556" t="s">
        <v>496</v>
      </c>
      <c r="E10" s="557" t="s">
        <v>645</v>
      </c>
      <c r="F10" s="558">
        <v>50</v>
      </c>
      <c r="G10" s="560">
        <v>20</v>
      </c>
      <c r="H10" s="560">
        <f>F10*G10</f>
        <v>1000</v>
      </c>
      <c r="I10" s="559">
        <v>45292</v>
      </c>
      <c r="J10" s="557" t="s">
        <v>748</v>
      </c>
    </row>
    <row r="11" spans="2:45" ht="28.9" customHeight="1" thickBot="1" x14ac:dyDescent="0.35">
      <c r="B11" s="439" t="s">
        <v>760</v>
      </c>
      <c r="C11" s="356" t="s">
        <v>759</v>
      </c>
      <c r="D11" s="356" t="s">
        <v>758</v>
      </c>
      <c r="E11" s="397" t="s">
        <v>9</v>
      </c>
      <c r="F11" s="554">
        <v>5</v>
      </c>
      <c r="G11" s="555">
        <v>20</v>
      </c>
      <c r="H11" s="555">
        <f>F11*G11</f>
        <v>100</v>
      </c>
      <c r="I11" s="552">
        <v>45293</v>
      </c>
      <c r="J11" s="423" t="s">
        <v>753</v>
      </c>
    </row>
    <row r="12" spans="2:45" ht="28.9" customHeight="1" thickBot="1" x14ac:dyDescent="0.35">
      <c r="B12" s="448" t="s">
        <v>410</v>
      </c>
      <c r="C12" s="333" t="s">
        <v>409</v>
      </c>
      <c r="D12" s="447" t="s">
        <v>412</v>
      </c>
      <c r="E12" s="397" t="s">
        <v>10</v>
      </c>
      <c r="F12" s="554">
        <v>5</v>
      </c>
      <c r="G12" s="555">
        <v>20</v>
      </c>
      <c r="H12" s="555">
        <f t="shared" ref="H12:H17" si="0">F12*G12</f>
        <v>100</v>
      </c>
      <c r="I12" s="552">
        <v>45294</v>
      </c>
      <c r="J12" s="423" t="s">
        <v>742</v>
      </c>
      <c r="K12" s="410"/>
    </row>
    <row r="13" spans="2:45" ht="28.9" customHeight="1" thickBot="1" x14ac:dyDescent="0.35">
      <c r="B13" s="439" t="s">
        <v>417</v>
      </c>
      <c r="C13" s="333" t="s">
        <v>416</v>
      </c>
      <c r="D13" s="334" t="s">
        <v>419</v>
      </c>
      <c r="E13" s="397" t="s">
        <v>11</v>
      </c>
      <c r="F13" s="555">
        <v>40</v>
      </c>
      <c r="G13" s="555">
        <v>20</v>
      </c>
      <c r="H13" s="555">
        <f t="shared" si="0"/>
        <v>800</v>
      </c>
      <c r="I13" s="553">
        <v>45295</v>
      </c>
      <c r="J13" s="423" t="s">
        <v>752</v>
      </c>
    </row>
    <row r="14" spans="2:45" ht="28.9" customHeight="1" thickBot="1" x14ac:dyDescent="0.35">
      <c r="B14" s="439" t="s">
        <v>471</v>
      </c>
      <c r="C14" s="333" t="s">
        <v>470</v>
      </c>
      <c r="D14" s="334" t="s">
        <v>473</v>
      </c>
      <c r="E14" s="397" t="s">
        <v>9</v>
      </c>
      <c r="F14" s="555">
        <v>30</v>
      </c>
      <c r="G14" s="555">
        <v>20</v>
      </c>
      <c r="H14" s="555">
        <f t="shared" si="0"/>
        <v>600</v>
      </c>
      <c r="I14" s="553">
        <v>45296</v>
      </c>
      <c r="J14" s="423" t="s">
        <v>753</v>
      </c>
    </row>
    <row r="15" spans="2:45" ht="28.9" customHeight="1" thickBot="1" x14ac:dyDescent="0.35">
      <c r="B15" s="439" t="s">
        <v>477</v>
      </c>
      <c r="C15" s="333" t="s">
        <v>476</v>
      </c>
      <c r="D15" s="334" t="s">
        <v>479</v>
      </c>
      <c r="E15" s="397" t="s">
        <v>11</v>
      </c>
      <c r="F15" s="555">
        <v>20</v>
      </c>
      <c r="G15" s="555">
        <v>20</v>
      </c>
      <c r="H15" s="555">
        <f t="shared" si="0"/>
        <v>400</v>
      </c>
      <c r="I15" s="553">
        <v>45297</v>
      </c>
      <c r="J15" s="423" t="s">
        <v>742</v>
      </c>
    </row>
    <row r="16" spans="2:45" ht="28.9" customHeight="1" x14ac:dyDescent="0.3">
      <c r="B16" s="409"/>
      <c r="C16" s="409"/>
      <c r="D16" s="409"/>
      <c r="E16" s="409"/>
      <c r="F16" s="409"/>
      <c r="G16" s="409"/>
      <c r="H16" s="409">
        <f t="shared" si="0"/>
        <v>0</v>
      </c>
      <c r="I16" s="409"/>
      <c r="J16" s="409"/>
    </row>
    <row r="17" spans="2:10" ht="28.9" customHeight="1" x14ac:dyDescent="0.3">
      <c r="B17" s="409"/>
      <c r="C17" s="409"/>
      <c r="D17" s="409"/>
      <c r="E17" s="409"/>
      <c r="F17" s="409"/>
      <c r="G17" s="409"/>
      <c r="H17" s="409">
        <f t="shared" si="0"/>
        <v>0</v>
      </c>
      <c r="I17" s="409"/>
      <c r="J17" s="409"/>
    </row>
    <row r="18" spans="2:10" ht="28.9" customHeight="1" x14ac:dyDescent="0.3">
      <c r="B18" s="409"/>
      <c r="C18" s="409"/>
      <c r="D18" s="409"/>
      <c r="E18" s="409"/>
      <c r="F18" s="409"/>
      <c r="G18" s="409"/>
      <c r="H18" s="409"/>
      <c r="I18" s="409"/>
      <c r="J18" s="409"/>
    </row>
    <row r="19" spans="2:10" ht="28.9" customHeight="1" x14ac:dyDescent="0.3">
      <c r="B19" s="409"/>
      <c r="C19" s="409"/>
      <c r="D19" s="409"/>
      <c r="E19" s="409"/>
      <c r="F19" s="409"/>
      <c r="G19" s="409"/>
      <c r="H19" s="409"/>
      <c r="I19" s="409"/>
      <c r="J19" s="409"/>
    </row>
    <row r="20" spans="2:10" ht="28.9" customHeight="1" x14ac:dyDescent="0.3">
      <c r="B20" s="409"/>
      <c r="C20" s="409"/>
      <c r="D20" s="409"/>
      <c r="E20" s="409"/>
      <c r="F20" s="409"/>
      <c r="G20" s="409"/>
      <c r="H20" s="409"/>
      <c r="I20" s="409"/>
      <c r="J20" s="409"/>
    </row>
    <row r="21" spans="2:10" ht="28.9" customHeight="1" x14ac:dyDescent="0.3">
      <c r="B21" s="409"/>
      <c r="C21" s="409"/>
      <c r="D21" s="409"/>
      <c r="E21" s="409"/>
      <c r="F21" s="409"/>
      <c r="G21" s="409"/>
      <c r="H21" s="409"/>
      <c r="I21" s="409"/>
      <c r="J21" s="409"/>
    </row>
    <row r="22" spans="2:10" ht="28.9" customHeight="1" x14ac:dyDescent="0.3">
      <c r="B22" s="409"/>
      <c r="C22" s="409"/>
      <c r="D22" s="409"/>
      <c r="E22" s="409"/>
      <c r="F22" s="409"/>
      <c r="G22" s="409"/>
      <c r="H22" s="409"/>
      <c r="I22" s="409"/>
      <c r="J22" s="409"/>
    </row>
    <row r="23" spans="2:10" ht="28.9" customHeight="1" x14ac:dyDescent="0.3">
      <c r="B23" s="409"/>
      <c r="C23" s="409"/>
      <c r="D23" s="409"/>
      <c r="E23" s="409"/>
      <c r="F23" s="409"/>
      <c r="G23" s="409"/>
      <c r="H23" s="409"/>
      <c r="I23" s="409"/>
      <c r="J23" s="409"/>
    </row>
    <row r="24" spans="2:10" ht="28.9" customHeight="1" x14ac:dyDescent="0.3">
      <c r="B24" s="409"/>
      <c r="C24" s="409"/>
      <c r="D24" s="409"/>
      <c r="E24" s="409"/>
      <c r="F24" s="409"/>
      <c r="G24" s="409"/>
      <c r="H24" s="409"/>
      <c r="I24" s="409"/>
      <c r="J24" s="409"/>
    </row>
    <row r="25" spans="2:10" ht="28.9" customHeight="1" x14ac:dyDescent="0.3">
      <c r="B25" s="409"/>
      <c r="C25" s="409"/>
      <c r="D25" s="409"/>
      <c r="E25" s="409"/>
      <c r="F25" s="409"/>
      <c r="G25" s="409"/>
      <c r="H25" s="409"/>
      <c r="I25" s="409"/>
      <c r="J25" s="409"/>
    </row>
    <row r="26" spans="2:10" ht="28.9" customHeight="1" x14ac:dyDescent="0.3">
      <c r="B26" s="409"/>
      <c r="C26" s="409"/>
      <c r="D26" s="409"/>
      <c r="E26" s="409"/>
      <c r="F26" s="409"/>
      <c r="G26" s="409"/>
      <c r="H26" s="409"/>
      <c r="I26" s="409"/>
      <c r="J26" s="409"/>
    </row>
    <row r="27" spans="2:10" ht="28.9" customHeight="1" x14ac:dyDescent="0.3">
      <c r="B27" s="409"/>
      <c r="C27" s="409"/>
      <c r="D27" s="409"/>
      <c r="E27" s="409"/>
      <c r="F27" s="409"/>
      <c r="G27" s="409"/>
      <c r="H27" s="409"/>
      <c r="I27" s="409"/>
      <c r="J27" s="409"/>
    </row>
    <row r="28" spans="2:10" ht="28.9" customHeight="1" x14ac:dyDescent="0.3">
      <c r="B28" s="409"/>
      <c r="C28" s="409"/>
      <c r="D28" s="409"/>
      <c r="E28" s="409"/>
      <c r="F28" s="409"/>
      <c r="G28" s="409"/>
      <c r="H28" s="409"/>
      <c r="I28" s="409"/>
      <c r="J28" s="409"/>
    </row>
    <row r="29" spans="2:10" ht="28.9" customHeight="1" x14ac:dyDescent="0.3">
      <c r="B29" s="409"/>
      <c r="C29" s="409"/>
      <c r="D29" s="409"/>
      <c r="E29" s="409"/>
      <c r="F29" s="409"/>
      <c r="G29" s="409"/>
      <c r="H29" s="409"/>
      <c r="I29" s="409"/>
      <c r="J29" s="409"/>
    </row>
    <row r="30" spans="2:10" ht="28.9" customHeight="1" x14ac:dyDescent="0.3">
      <c r="B30" s="409"/>
      <c r="C30" s="409"/>
      <c r="D30" s="409"/>
      <c r="E30" s="409"/>
      <c r="F30" s="409"/>
      <c r="G30" s="409"/>
      <c r="H30" s="409"/>
      <c r="I30" s="409"/>
      <c r="J30" s="409"/>
    </row>
    <row r="31" spans="2:10" ht="28.9" customHeight="1" x14ac:dyDescent="0.3">
      <c r="B31" s="409"/>
      <c r="C31" s="409"/>
      <c r="D31" s="409"/>
      <c r="E31" s="409"/>
      <c r="F31" s="409"/>
      <c r="G31" s="409"/>
      <c r="H31" s="409"/>
      <c r="I31" s="409"/>
      <c r="J31" s="409"/>
    </row>
    <row r="32" spans="2:10" ht="28.9" customHeight="1" x14ac:dyDescent="0.3">
      <c r="B32" s="409"/>
      <c r="C32" s="409"/>
      <c r="D32" s="409"/>
      <c r="E32" s="409"/>
      <c r="F32" s="409"/>
      <c r="G32" s="409"/>
      <c r="H32" s="409"/>
      <c r="I32" s="409"/>
      <c r="J32" s="409"/>
    </row>
    <row r="33" spans="2:10" ht="28.9" customHeight="1" x14ac:dyDescent="0.3">
      <c r="B33" s="409"/>
      <c r="C33" s="409"/>
      <c r="D33" s="409"/>
      <c r="E33" s="409"/>
      <c r="F33" s="409"/>
      <c r="G33" s="409"/>
      <c r="H33" s="409"/>
      <c r="I33" s="409"/>
      <c r="J33" s="409"/>
    </row>
    <row r="34" spans="2:10" ht="28.9" customHeight="1" x14ac:dyDescent="0.3">
      <c r="B34" s="409"/>
      <c r="C34" s="409"/>
      <c r="D34" s="409"/>
      <c r="E34" s="409"/>
      <c r="F34" s="409"/>
      <c r="G34" s="409"/>
      <c r="H34" s="409"/>
      <c r="I34" s="409"/>
      <c r="J34" s="409"/>
    </row>
    <row r="35" spans="2:10" ht="28.9" customHeight="1" x14ac:dyDescent="0.3">
      <c r="B35" s="409"/>
      <c r="C35" s="409"/>
      <c r="D35" s="409"/>
      <c r="E35" s="409"/>
      <c r="F35" s="409"/>
      <c r="G35" s="409"/>
      <c r="H35" s="409"/>
      <c r="I35" s="409"/>
      <c r="J35" s="409"/>
    </row>
    <row r="36" spans="2:10" ht="28.9" customHeight="1" x14ac:dyDescent="0.3">
      <c r="B36" s="409"/>
      <c r="C36" s="409"/>
      <c r="D36" s="409"/>
      <c r="E36" s="409"/>
      <c r="F36" s="409"/>
      <c r="G36" s="409"/>
      <c r="H36" s="409"/>
      <c r="I36" s="409"/>
      <c r="J36" s="409"/>
    </row>
    <row r="37" spans="2:10" ht="28.9" customHeight="1" x14ac:dyDescent="0.3">
      <c r="B37" s="409"/>
      <c r="C37" s="409"/>
      <c r="D37" s="409"/>
      <c r="E37" s="409"/>
      <c r="F37" s="409"/>
      <c r="G37" s="409"/>
      <c r="H37" s="409"/>
      <c r="I37" s="409"/>
      <c r="J37" s="409"/>
    </row>
    <row r="38" spans="2:10" ht="28.9" customHeight="1" x14ac:dyDescent="0.3">
      <c r="B38" s="409"/>
      <c r="C38" s="409"/>
      <c r="D38" s="409"/>
      <c r="E38" s="409"/>
      <c r="F38" s="409"/>
      <c r="G38" s="409"/>
      <c r="H38" s="409"/>
      <c r="I38" s="409"/>
      <c r="J38" s="409"/>
    </row>
    <row r="39" spans="2:10" ht="28.9" customHeight="1" x14ac:dyDescent="0.3">
      <c r="B39" s="409"/>
      <c r="C39" s="409"/>
      <c r="D39" s="409"/>
      <c r="E39" s="409"/>
      <c r="F39" s="409"/>
      <c r="G39" s="409"/>
      <c r="H39" s="409"/>
      <c r="I39" s="409"/>
      <c r="J39" s="409"/>
    </row>
    <row r="40" spans="2:10" ht="28.9" customHeight="1" x14ac:dyDescent="0.3">
      <c r="B40" s="409"/>
      <c r="C40" s="409"/>
      <c r="D40" s="409"/>
      <c r="E40" s="409"/>
      <c r="F40" s="409"/>
      <c r="G40" s="409"/>
      <c r="H40" s="409"/>
      <c r="I40" s="409"/>
      <c r="J40" s="409"/>
    </row>
    <row r="41" spans="2:10" ht="28.9" customHeight="1" x14ac:dyDescent="0.3">
      <c r="B41" s="409"/>
      <c r="C41" s="409"/>
      <c r="D41" s="409"/>
      <c r="E41" s="409"/>
      <c r="F41" s="409"/>
      <c r="G41" s="409"/>
      <c r="H41" s="409"/>
      <c r="I41" s="409"/>
      <c r="J41" s="409"/>
    </row>
    <row r="42" spans="2:10" ht="28.9" customHeight="1" x14ac:dyDescent="0.3">
      <c r="B42" s="409"/>
      <c r="C42" s="409"/>
      <c r="D42" s="409"/>
      <c r="E42" s="409"/>
      <c r="F42" s="409"/>
      <c r="G42" s="409"/>
      <c r="H42" s="409"/>
      <c r="I42" s="409"/>
      <c r="J42" s="409"/>
    </row>
    <row r="43" spans="2:10" ht="28.9" customHeight="1" x14ac:dyDescent="0.3">
      <c r="B43" s="409"/>
      <c r="C43" s="409"/>
      <c r="D43" s="409"/>
      <c r="E43" s="409"/>
      <c r="F43" s="409"/>
      <c r="G43" s="409"/>
      <c r="H43" s="409"/>
      <c r="I43" s="409"/>
      <c r="J43" s="409"/>
    </row>
    <row r="44" spans="2:10" ht="28.9" customHeight="1" x14ac:dyDescent="0.3">
      <c r="B44" s="409"/>
      <c r="C44" s="409"/>
      <c r="D44" s="409"/>
      <c r="E44" s="409"/>
      <c r="F44" s="409"/>
      <c r="G44" s="409"/>
      <c r="H44" s="409"/>
      <c r="I44" s="409"/>
      <c r="J44" s="409"/>
    </row>
    <row r="45" spans="2:10" ht="28.9" customHeight="1" x14ac:dyDescent="0.3">
      <c r="B45" s="409"/>
      <c r="C45" s="409"/>
      <c r="D45" s="409"/>
      <c r="E45" s="409"/>
      <c r="F45" s="409"/>
      <c r="G45" s="409"/>
      <c r="H45" s="409"/>
      <c r="I45" s="409"/>
      <c r="J45" s="409"/>
    </row>
    <row r="46" spans="2:10" ht="28.9" customHeight="1" x14ac:dyDescent="0.3">
      <c r="B46" s="409"/>
      <c r="C46" s="409"/>
      <c r="D46" s="409"/>
      <c r="E46" s="409"/>
      <c r="F46" s="409"/>
      <c r="G46" s="409"/>
      <c r="H46" s="409"/>
      <c r="I46" s="409"/>
      <c r="J46" s="409"/>
    </row>
    <row r="47" spans="2:10" ht="28.9" customHeight="1" x14ac:dyDescent="0.3">
      <c r="B47" s="409"/>
      <c r="C47" s="409"/>
      <c r="D47" s="409"/>
      <c r="E47" s="409"/>
      <c r="F47" s="409"/>
      <c r="G47" s="409"/>
      <c r="H47" s="409"/>
      <c r="I47" s="409"/>
      <c r="J47" s="409"/>
    </row>
    <row r="48" spans="2:10" ht="28.9" customHeight="1" x14ac:dyDescent="0.3">
      <c r="B48" s="409"/>
      <c r="C48" s="409"/>
      <c r="D48" s="409"/>
      <c r="E48" s="409"/>
      <c r="F48" s="409"/>
      <c r="G48" s="409"/>
      <c r="H48" s="409"/>
      <c r="I48" s="409"/>
      <c r="J48" s="409"/>
    </row>
    <row r="49" spans="2:10" ht="28.9" customHeight="1" x14ac:dyDescent="0.3">
      <c r="B49" s="409"/>
      <c r="C49" s="409"/>
      <c r="D49" s="409"/>
      <c r="E49" s="409"/>
      <c r="F49" s="409"/>
      <c r="G49" s="409"/>
      <c r="H49" s="409"/>
      <c r="I49" s="409"/>
      <c r="J49" s="409"/>
    </row>
    <row r="50" spans="2:10" ht="28.9" customHeight="1" x14ac:dyDescent="0.3">
      <c r="B50" s="409"/>
      <c r="C50" s="409"/>
      <c r="D50" s="409"/>
      <c r="E50" s="409"/>
      <c r="F50" s="409"/>
      <c r="G50" s="409"/>
      <c r="H50" s="409"/>
      <c r="I50" s="409"/>
      <c r="J50" s="409"/>
    </row>
    <row r="51" spans="2:10" ht="28.9" customHeight="1" x14ac:dyDescent="0.3">
      <c r="B51" s="409"/>
      <c r="C51" s="256"/>
      <c r="D51" s="256"/>
      <c r="E51" s="409"/>
      <c r="F51" s="409"/>
      <c r="G51" s="409"/>
      <c r="H51" s="409"/>
      <c r="I51" s="409"/>
      <c r="J51" s="409"/>
    </row>
    <row r="52" spans="2:10" ht="28.9" customHeight="1" x14ac:dyDescent="0.3">
      <c r="B52" s="409"/>
      <c r="C52" s="256"/>
      <c r="D52" s="256"/>
      <c r="E52" s="409"/>
      <c r="F52" s="409"/>
      <c r="G52" s="409"/>
      <c r="H52" s="409"/>
      <c r="I52" s="409"/>
      <c r="J52" s="409"/>
    </row>
    <row r="53" spans="2:10" ht="28.9" customHeight="1" x14ac:dyDescent="0.3">
      <c r="B53" s="409"/>
      <c r="E53" s="409"/>
      <c r="F53" s="409"/>
      <c r="I53" s="256"/>
      <c r="J53" s="256"/>
    </row>
    <row r="54" spans="2:10" ht="28.9" customHeight="1" x14ac:dyDescent="0.3">
      <c r="B54" s="409"/>
      <c r="E54" s="256"/>
      <c r="F54" s="256"/>
      <c r="I54" s="256"/>
      <c r="J54" s="256"/>
    </row>
    <row r="55" spans="2:10" ht="28.9" customHeight="1" x14ac:dyDescent="0.25"/>
    <row r="56" spans="2:10" ht="28.9" customHeight="1" x14ac:dyDescent="0.25"/>
    <row r="57" spans="2:10" ht="28.9" customHeight="1" x14ac:dyDescent="0.25"/>
    <row r="58" spans="2:10" ht="28.9" customHeight="1" x14ac:dyDescent="0.25"/>
    <row r="59" spans="2:10" ht="28.9" customHeight="1" x14ac:dyDescent="0.25"/>
    <row r="60" spans="2:10" ht="28.9" customHeight="1" x14ac:dyDescent="0.25"/>
    <row r="61" spans="2:10" ht="28.9" customHeight="1" x14ac:dyDescent="0.25"/>
    <row r="62" spans="2:10" ht="28.9" customHeight="1" x14ac:dyDescent="0.25"/>
    <row r="63" spans="2:10" ht="28.9" customHeight="1" x14ac:dyDescent="0.25"/>
    <row r="64" spans="2:10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N_VMETAS!$N$22:$N$25</xm:f>
          </x14:formula1>
          <xm:sqref>E10:E15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4">
    <tabColor rgb="FF7030A0"/>
  </sheetPr>
  <dimension ref="B1:AM66"/>
  <sheetViews>
    <sheetView topLeftCell="A4" zoomScale="55" zoomScaleNormal="55" workbookViewId="0">
      <selection activeCell="K15" sqref="K15"/>
    </sheetView>
  </sheetViews>
  <sheetFormatPr defaultColWidth="8.85546875" defaultRowHeight="15" x14ac:dyDescent="0.25"/>
  <cols>
    <col min="1" max="1" width="8.85546875" style="100"/>
    <col min="2" max="2" width="37.85546875" style="100" customWidth="1"/>
    <col min="3" max="3" width="40.42578125" style="100" customWidth="1"/>
    <col min="4" max="4" width="30.140625" style="100" customWidth="1"/>
    <col min="5" max="5" width="26" style="100" bestFit="1" customWidth="1"/>
    <col min="6" max="6" width="44.85546875" style="100" customWidth="1"/>
    <col min="7" max="7" width="15.5703125" style="100" customWidth="1"/>
    <col min="8" max="11" width="8.85546875" style="100"/>
    <col min="12" max="12" width="23.42578125" style="100" bestFit="1" customWidth="1"/>
    <col min="13" max="13" width="2.7109375" style="100" bestFit="1" customWidth="1"/>
    <col min="14" max="14" width="51.140625" style="100" customWidth="1"/>
    <col min="15" max="16384" width="8.85546875" style="100"/>
  </cols>
  <sheetData>
    <row r="1" spans="2:39" x14ac:dyDescent="0.25"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</row>
    <row r="2" spans="2:39" x14ac:dyDescent="0.25"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</row>
    <row r="3" spans="2:39" ht="61.15" customHeight="1" x14ac:dyDescent="0.25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</row>
    <row r="4" spans="2:39" ht="46.15" customHeight="1" x14ac:dyDescent="0.25"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</row>
    <row r="5" spans="2:39" x14ac:dyDescent="0.25"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</row>
    <row r="6" spans="2:39" x14ac:dyDescent="0.25"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</row>
    <row r="7" spans="2:39" x14ac:dyDescent="0.25"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</row>
    <row r="8" spans="2:39" ht="28.9" customHeight="1" x14ac:dyDescent="0.25"/>
    <row r="9" spans="2:39" ht="28.9" customHeight="1" x14ac:dyDescent="0.25">
      <c r="B9" s="411" t="s">
        <v>749</v>
      </c>
      <c r="C9" s="411" t="s">
        <v>745</v>
      </c>
      <c r="D9" s="411" t="s">
        <v>746</v>
      </c>
    </row>
    <row r="10" spans="2:39" ht="28.9" customHeight="1" x14ac:dyDescent="0.3">
      <c r="B10" s="409">
        <v>160</v>
      </c>
      <c r="C10" s="409">
        <v>1600</v>
      </c>
      <c r="D10" s="409" t="s">
        <v>750</v>
      </c>
    </row>
    <row r="11" spans="2:39" ht="28.9" customHeight="1" x14ac:dyDescent="0.3">
      <c r="B11" s="409"/>
      <c r="C11" s="409"/>
      <c r="D11" s="409"/>
    </row>
    <row r="12" spans="2:39" ht="28.9" customHeight="1" x14ac:dyDescent="0.3">
      <c r="B12" s="409"/>
      <c r="C12" s="409"/>
      <c r="D12" s="409"/>
    </row>
    <row r="13" spans="2:39" ht="28.9" customHeight="1" x14ac:dyDescent="0.3">
      <c r="B13" s="409"/>
      <c r="C13" s="409"/>
      <c r="D13" s="409"/>
    </row>
    <row r="14" spans="2:39" ht="28.9" customHeight="1" x14ac:dyDescent="0.3">
      <c r="B14" s="409"/>
      <c r="C14" s="409"/>
      <c r="D14" s="409"/>
    </row>
    <row r="15" spans="2:39" ht="28.9" customHeight="1" x14ac:dyDescent="0.3">
      <c r="B15" s="409"/>
      <c r="C15" s="409"/>
      <c r="D15" s="409"/>
    </row>
    <row r="16" spans="2:39" ht="28.9" customHeight="1" x14ac:dyDescent="0.3">
      <c r="B16" s="409"/>
      <c r="C16" s="409"/>
      <c r="D16" s="409"/>
    </row>
    <row r="17" spans="2:4" ht="28.9" customHeight="1" x14ac:dyDescent="0.3">
      <c r="B17" s="409"/>
      <c r="C17" s="409"/>
      <c r="D17" s="409"/>
    </row>
    <row r="18" spans="2:4" ht="28.9" customHeight="1" x14ac:dyDescent="0.3">
      <c r="B18" s="409"/>
      <c r="C18" s="409"/>
      <c r="D18" s="409"/>
    </row>
    <row r="19" spans="2:4" ht="28.9" customHeight="1" x14ac:dyDescent="0.3">
      <c r="B19" s="409"/>
      <c r="C19" s="409"/>
      <c r="D19" s="409"/>
    </row>
    <row r="20" spans="2:4" ht="28.9" customHeight="1" x14ac:dyDescent="0.3">
      <c r="B20" s="409"/>
      <c r="C20" s="409"/>
      <c r="D20" s="409"/>
    </row>
    <row r="21" spans="2:4" ht="28.9" customHeight="1" x14ac:dyDescent="0.3">
      <c r="B21" s="409"/>
      <c r="C21" s="409"/>
      <c r="D21" s="409"/>
    </row>
    <row r="22" spans="2:4" ht="28.9" customHeight="1" x14ac:dyDescent="0.3">
      <c r="B22" s="409"/>
      <c r="C22" s="409"/>
      <c r="D22" s="409"/>
    </row>
    <row r="23" spans="2:4" ht="28.9" customHeight="1" x14ac:dyDescent="0.3">
      <c r="B23" s="409"/>
      <c r="C23" s="409"/>
      <c r="D23" s="409"/>
    </row>
    <row r="24" spans="2:4" ht="28.9" customHeight="1" x14ac:dyDescent="0.3">
      <c r="B24" s="409"/>
      <c r="C24" s="409"/>
      <c r="D24" s="409"/>
    </row>
    <row r="25" spans="2:4" ht="28.9" customHeight="1" x14ac:dyDescent="0.3">
      <c r="B25" s="409"/>
      <c r="C25" s="409"/>
      <c r="D25" s="409"/>
    </row>
    <row r="26" spans="2:4" ht="28.9" customHeight="1" x14ac:dyDescent="0.3">
      <c r="B26" s="409"/>
      <c r="C26" s="409"/>
      <c r="D26" s="409"/>
    </row>
    <row r="27" spans="2:4" ht="28.9" customHeight="1" x14ac:dyDescent="0.3">
      <c r="B27" s="409"/>
      <c r="C27" s="409"/>
      <c r="D27" s="409"/>
    </row>
    <row r="28" spans="2:4" ht="28.9" customHeight="1" x14ac:dyDescent="0.3">
      <c r="B28" s="409"/>
      <c r="C28" s="409"/>
      <c r="D28" s="409"/>
    </row>
    <row r="29" spans="2:4" ht="28.9" customHeight="1" x14ac:dyDescent="0.3">
      <c r="B29" s="409"/>
      <c r="C29" s="409"/>
      <c r="D29" s="409"/>
    </row>
    <row r="30" spans="2:4" ht="28.9" customHeight="1" x14ac:dyDescent="0.3">
      <c r="B30" s="409"/>
      <c r="C30" s="409"/>
      <c r="D30" s="409"/>
    </row>
    <row r="31" spans="2:4" ht="28.9" customHeight="1" x14ac:dyDescent="0.3">
      <c r="B31" s="409"/>
      <c r="C31" s="409"/>
      <c r="D31" s="409"/>
    </row>
    <row r="32" spans="2:4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3">
    <tabColor rgb="FFFF0000"/>
  </sheetPr>
  <dimension ref="A1:AW66"/>
  <sheetViews>
    <sheetView zoomScale="40" zoomScaleNormal="40" workbookViewId="0">
      <selection activeCell="P8" sqref="P8"/>
    </sheetView>
  </sheetViews>
  <sheetFormatPr defaultColWidth="8.85546875" defaultRowHeight="15" x14ac:dyDescent="0.25"/>
  <cols>
    <col min="1" max="4" width="8.85546875" style="100"/>
    <col min="5" max="5" width="72.28515625" style="100" bestFit="1" customWidth="1"/>
    <col min="6" max="6" width="23.28515625" style="100" bestFit="1" customWidth="1"/>
    <col min="7" max="7" width="26" style="100" customWidth="1"/>
    <col min="8" max="8" width="15.28515625" style="100" customWidth="1"/>
    <col min="9" max="9" width="22.85546875" style="100" bestFit="1" customWidth="1"/>
    <col min="10" max="10" width="27.85546875" style="100" bestFit="1" customWidth="1"/>
    <col min="11" max="11" width="29.5703125" style="100" customWidth="1"/>
    <col min="12" max="12" width="43.7109375" style="100" customWidth="1"/>
    <col min="13" max="13" width="19.28515625" style="100" customWidth="1"/>
    <col min="14" max="14" width="47.85546875" style="100" bestFit="1" customWidth="1"/>
    <col min="15" max="15" width="29.28515625" style="100" customWidth="1"/>
    <col min="16" max="16" width="73.42578125" style="100" customWidth="1"/>
    <col min="17" max="17" width="15.5703125" style="100" customWidth="1"/>
    <col min="18" max="21" width="8.85546875" style="100"/>
    <col min="22" max="22" width="23.42578125" style="100" bestFit="1" customWidth="1"/>
    <col min="23" max="23" width="2.7109375" style="100" bestFit="1" customWidth="1"/>
    <col min="24" max="24" width="51.140625" style="100" customWidth="1"/>
    <col min="25" max="16384" width="8.85546875" style="100"/>
  </cols>
  <sheetData>
    <row r="1" spans="1:49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9" customHeight="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</row>
    <row r="9" spans="1:49" ht="28.9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</row>
    <row r="10" spans="1:49" ht="28.9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</row>
    <row r="11" spans="1:49" ht="28.9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</row>
    <row r="12" spans="1:49" ht="28.9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</row>
    <row r="13" spans="1:49" ht="28.9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</row>
    <row r="14" spans="1:49" ht="28.9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</row>
    <row r="15" spans="1:49" ht="28.9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</row>
    <row r="16" spans="1:49" ht="28.9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</row>
    <row r="17" spans="1:22" ht="28.9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</row>
    <row r="18" spans="1:22" ht="28.9" customHeight="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</row>
    <row r="19" spans="1:22" ht="28.9" customHeigh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</row>
    <row r="20" spans="1:22" ht="28.9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</row>
    <row r="21" spans="1:22" ht="28.9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</row>
    <row r="22" spans="1:22" ht="28.9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</row>
    <row r="23" spans="1:22" ht="28.9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</row>
    <row r="24" spans="1:22" ht="28.9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</row>
    <row r="25" spans="1:22" ht="28.9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</row>
    <row r="26" spans="1:22" ht="28.9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</row>
    <row r="27" spans="1:22" ht="28.9" customHeight="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</row>
    <row r="28" spans="1:22" ht="28.9" customHeight="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</row>
    <row r="29" spans="1:22" ht="28.9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</row>
    <row r="30" spans="1:22" ht="28.9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</row>
    <row r="31" spans="1:22" ht="28.9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</row>
    <row r="32" spans="1:22" ht="28.9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</row>
    <row r="33" spans="1:22" ht="28.9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</row>
    <row r="34" spans="1:22" ht="28.9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</row>
    <row r="35" spans="1:22" ht="28.9" customHeight="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</row>
    <row r="36" spans="1:22" ht="28.9" customHeight="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</row>
    <row r="37" spans="1:22" ht="28.9" customHeight="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</row>
    <row r="38" spans="1:22" ht="28.9" customHeight="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</row>
    <row r="39" spans="1:22" ht="28.9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</row>
    <row r="40" spans="1:22" ht="28.9" customHeight="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</row>
    <row r="41" spans="1:22" ht="28.9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</row>
    <row r="42" spans="1:22" ht="28.9" customHeight="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</row>
    <row r="43" spans="1:22" ht="28.9" customHeight="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</row>
    <row r="44" spans="1:22" ht="28.9" customHeight="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</row>
    <row r="45" spans="1:22" ht="28.9" customHeight="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</row>
    <row r="46" spans="1:22" ht="28.9" customHeight="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</row>
    <row r="47" spans="1:22" ht="28.9" customHeight="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</row>
    <row r="48" spans="1:22" ht="28.9" customHeight="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</row>
    <row r="49" spans="1:22" ht="28.9" customHeight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</row>
    <row r="50" spans="1:22" ht="28.9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</row>
    <row r="51" spans="1:22" ht="28.9" customHeight="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</row>
    <row r="52" spans="1:22" ht="28.9" customHeight="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</row>
    <row r="53" spans="1:22" ht="28.9" customHeight="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</row>
    <row r="54" spans="1:22" ht="28.9" customHeight="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</row>
    <row r="55" spans="1:22" ht="28.9" customHeight="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</row>
    <row r="56" spans="1:22" ht="28.9" customHeight="1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</row>
    <row r="57" spans="1:22" ht="28.9" customHeight="1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</row>
    <row r="58" spans="1:22" ht="28.9" customHeight="1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</row>
    <row r="59" spans="1:22" ht="28.9" customHeight="1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</row>
    <row r="60" spans="1:22" ht="28.9" customHeight="1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</row>
    <row r="61" spans="1:22" ht="28.9" customHeight="1" x14ac:dyDescent="0.2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</row>
    <row r="62" spans="1:22" ht="28.9" customHeight="1" x14ac:dyDescent="0.2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</row>
    <row r="63" spans="1:22" ht="28.9" customHeight="1" x14ac:dyDescent="0.25"/>
    <row r="64" spans="1:22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8">
    <tabColor rgb="FFFF0000"/>
  </sheetPr>
  <dimension ref="A1:AW66"/>
  <sheetViews>
    <sheetView zoomScale="40" zoomScaleNormal="40" workbookViewId="0">
      <selection activeCell="H25" sqref="H25"/>
    </sheetView>
  </sheetViews>
  <sheetFormatPr defaultColWidth="8.85546875" defaultRowHeight="15" x14ac:dyDescent="0.25"/>
  <cols>
    <col min="1" max="4" width="8.85546875" style="100"/>
    <col min="5" max="5" width="72.28515625" style="100" bestFit="1" customWidth="1"/>
    <col min="6" max="6" width="23.28515625" style="100" bestFit="1" customWidth="1"/>
    <col min="7" max="7" width="26" style="100" customWidth="1"/>
    <col min="8" max="8" width="15.28515625" style="100" customWidth="1"/>
    <col min="9" max="9" width="22.85546875" style="100" bestFit="1" customWidth="1"/>
    <col min="10" max="10" width="27.85546875" style="100" bestFit="1" customWidth="1"/>
    <col min="11" max="11" width="29.5703125" style="100" customWidth="1"/>
    <col min="12" max="12" width="43.7109375" style="100" customWidth="1"/>
    <col min="13" max="13" width="19.28515625" style="100" customWidth="1"/>
    <col min="14" max="14" width="47.85546875" style="100" bestFit="1" customWidth="1"/>
    <col min="15" max="15" width="29.28515625" style="100" customWidth="1"/>
    <col min="16" max="16" width="73.42578125" style="100" customWidth="1"/>
    <col min="17" max="17" width="15.5703125" style="100" customWidth="1"/>
    <col min="18" max="21" width="8.85546875" style="100"/>
    <col min="22" max="22" width="23.42578125" style="100" bestFit="1" customWidth="1"/>
    <col min="23" max="23" width="2.7109375" style="100" bestFit="1" customWidth="1"/>
    <col min="24" max="24" width="51.140625" style="100" customWidth="1"/>
    <col min="25" max="16384" width="8.85546875" style="100"/>
  </cols>
  <sheetData>
    <row r="1" spans="1:49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15" customHeight="1" x14ac:dyDescent="0.25">
      <c r="A4" s="365"/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</row>
    <row r="5" spans="1:49" x14ac:dyDescent="0.25">
      <c r="A5" s="365"/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</row>
    <row r="6" spans="1:49" x14ac:dyDescent="0.25">
      <c r="A6" s="365"/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</row>
    <row r="7" spans="1:49" x14ac:dyDescent="0.25">
      <c r="A7" s="365"/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507" t="s">
        <v>577</v>
      </c>
      <c r="I12" s="508"/>
      <c r="J12" s="508"/>
      <c r="K12" s="508"/>
      <c r="L12" s="508"/>
      <c r="M12" s="509"/>
    </row>
    <row r="13" spans="1:49" ht="28.9" customHeight="1" x14ac:dyDescent="0.25">
      <c r="G13" s="100" t="s">
        <v>653</v>
      </c>
      <c r="H13" s="513"/>
      <c r="I13" s="521"/>
      <c r="J13" s="521"/>
      <c r="K13" s="521"/>
      <c r="L13" s="521"/>
      <c r="M13" s="515"/>
    </row>
    <row r="14" spans="1:49" ht="28.9" customHeight="1" x14ac:dyDescent="0.25">
      <c r="H14" s="88"/>
      <c r="I14" s="268"/>
      <c r="J14" s="268"/>
      <c r="K14" s="268"/>
      <c r="L14" s="268"/>
      <c r="M14" s="89"/>
    </row>
    <row r="15" spans="1:49" ht="28.9" customHeight="1" x14ac:dyDescent="0.35">
      <c r="H15" s="90"/>
      <c r="I15" s="366" t="s">
        <v>371</v>
      </c>
      <c r="J15" s="269"/>
      <c r="K15" s="269"/>
      <c r="L15" s="367"/>
      <c r="M15" s="91"/>
    </row>
    <row r="16" spans="1:49" ht="28.9" customHeight="1" x14ac:dyDescent="0.35">
      <c r="H16" s="90"/>
      <c r="I16" s="368"/>
      <c r="J16" s="269"/>
      <c r="K16" s="269"/>
      <c r="L16" s="270"/>
      <c r="M16" s="91"/>
    </row>
    <row r="17" spans="8:13" ht="28.9" customHeight="1" x14ac:dyDescent="0.35">
      <c r="H17" s="92"/>
      <c r="I17" s="369" t="s">
        <v>373</v>
      </c>
      <c r="J17" s="271"/>
      <c r="K17" s="272"/>
      <c r="L17" s="370"/>
      <c r="M17" s="93"/>
    </row>
    <row r="18" spans="8:13" ht="28.9" customHeight="1" x14ac:dyDescent="0.3">
      <c r="H18" s="92"/>
      <c r="I18" s="369"/>
      <c r="J18" s="271"/>
      <c r="K18" s="272"/>
      <c r="L18" s="272"/>
      <c r="M18" s="93"/>
    </row>
    <row r="19" spans="8:13" ht="28.9" customHeight="1" x14ac:dyDescent="0.35">
      <c r="H19" s="92"/>
      <c r="I19" s="369" t="s">
        <v>362</v>
      </c>
      <c r="J19" s="271"/>
      <c r="K19" s="272"/>
      <c r="L19" s="370"/>
      <c r="M19" s="93"/>
    </row>
    <row r="20" spans="8:13" ht="28.9" customHeight="1" x14ac:dyDescent="0.3">
      <c r="H20" s="92"/>
      <c r="I20" s="371"/>
      <c r="J20" s="272"/>
      <c r="K20" s="272"/>
      <c r="L20" s="272"/>
      <c r="M20" s="93"/>
    </row>
    <row r="21" spans="8:13" ht="28.9" customHeight="1" x14ac:dyDescent="0.35">
      <c r="H21" s="92"/>
      <c r="I21" s="369" t="s">
        <v>36</v>
      </c>
      <c r="J21" s="272"/>
      <c r="K21" s="272"/>
      <c r="L21" s="372"/>
      <c r="M21" s="93"/>
    </row>
    <row r="22" spans="8:13" ht="28.9" customHeight="1" x14ac:dyDescent="0.3">
      <c r="H22" s="92"/>
      <c r="I22" s="371"/>
      <c r="J22" s="272"/>
      <c r="K22" s="272"/>
      <c r="L22" s="272"/>
      <c r="M22" s="93"/>
    </row>
    <row r="23" spans="8:13" ht="28.9" customHeight="1" x14ac:dyDescent="0.35">
      <c r="H23" s="92"/>
      <c r="I23" s="369" t="s">
        <v>35</v>
      </c>
      <c r="J23" s="272"/>
      <c r="K23" s="272"/>
      <c r="L23" s="370"/>
      <c r="M23" s="93"/>
    </row>
    <row r="24" spans="8:13" ht="28.9" customHeight="1" x14ac:dyDescent="0.3">
      <c r="H24" s="92"/>
      <c r="I24" s="371"/>
      <c r="J24" s="272"/>
      <c r="K24" s="272"/>
      <c r="L24" s="272"/>
      <c r="M24" s="93"/>
    </row>
    <row r="25" spans="8:13" ht="28.9" customHeight="1" x14ac:dyDescent="0.35">
      <c r="H25" s="92"/>
      <c r="I25" s="369" t="s">
        <v>378</v>
      </c>
      <c r="J25" s="272"/>
      <c r="K25" s="272"/>
      <c r="L25" s="370"/>
      <c r="M25" s="93"/>
    </row>
    <row r="26" spans="8:13" ht="28.9" customHeight="1" x14ac:dyDescent="0.3">
      <c r="H26" s="92"/>
      <c r="I26" s="371"/>
      <c r="J26" s="272"/>
      <c r="K26" s="273"/>
      <c r="L26" s="273"/>
      <c r="M26" s="94"/>
    </row>
    <row r="27" spans="8:13" ht="28.9" customHeight="1" x14ac:dyDescent="0.35">
      <c r="H27" s="92"/>
      <c r="I27" s="369" t="s">
        <v>380</v>
      </c>
      <c r="J27" s="272"/>
      <c r="K27" s="273"/>
      <c r="L27" s="373"/>
      <c r="M27" s="94"/>
    </row>
    <row r="28" spans="8:13" ht="28.9" customHeight="1" x14ac:dyDescent="0.35">
      <c r="H28" s="90"/>
      <c r="I28" s="368"/>
      <c r="J28" s="269"/>
      <c r="K28" s="269"/>
      <c r="L28" s="270"/>
      <c r="M28" s="91"/>
    </row>
    <row r="29" spans="8:13" ht="28.9" customHeight="1" x14ac:dyDescent="0.35">
      <c r="H29" s="92"/>
      <c r="I29" s="369" t="s">
        <v>382</v>
      </c>
      <c r="J29" s="272"/>
      <c r="K29" s="273"/>
      <c r="L29" s="373"/>
      <c r="M29" s="94"/>
    </row>
    <row r="30" spans="8:13" ht="28.9" customHeight="1" x14ac:dyDescent="0.3">
      <c r="H30" s="92"/>
      <c r="I30" s="371"/>
      <c r="J30" s="272"/>
      <c r="K30" s="273"/>
      <c r="L30" s="273"/>
      <c r="M30" s="94"/>
    </row>
    <row r="31" spans="8:13" ht="28.9" customHeight="1" x14ac:dyDescent="0.35">
      <c r="H31" s="92"/>
      <c r="I31" s="369" t="s">
        <v>384</v>
      </c>
      <c r="J31" s="272"/>
      <c r="K31" s="273"/>
      <c r="L31" s="374"/>
      <c r="M31" s="94"/>
    </row>
    <row r="32" spans="8:13" ht="28.9" customHeight="1" x14ac:dyDescent="0.25">
      <c r="H32" s="92"/>
      <c r="I32" s="272"/>
      <c r="J32" s="272"/>
      <c r="K32" s="273"/>
      <c r="L32" s="273"/>
      <c r="M32" s="94"/>
    </row>
    <row r="33" spans="8:13" ht="28.9" customHeight="1" x14ac:dyDescent="0.25">
      <c r="H33" s="92"/>
      <c r="I33" s="272"/>
      <c r="J33" s="272"/>
      <c r="K33" s="273"/>
      <c r="L33" s="273"/>
      <c r="M33" s="94"/>
    </row>
    <row r="34" spans="8:13" ht="28.9" customHeight="1" x14ac:dyDescent="0.25">
      <c r="H34" s="92"/>
      <c r="I34" s="272"/>
      <c r="J34" s="272"/>
      <c r="K34" s="273"/>
      <c r="L34" s="273" t="s">
        <v>653</v>
      </c>
      <c r="M34" s="94"/>
    </row>
    <row r="35" spans="8:13" ht="28.9" customHeight="1" x14ac:dyDescent="0.25">
      <c r="H35" s="92"/>
      <c r="I35" s="272"/>
      <c r="J35" s="272"/>
      <c r="K35" s="273"/>
      <c r="L35" s="273"/>
      <c r="M35" s="94"/>
    </row>
    <row r="36" spans="8:13" ht="28.9" customHeight="1" thickBot="1" x14ac:dyDescent="0.3">
      <c r="H36" s="95"/>
      <c r="I36" s="96"/>
      <c r="J36" s="96"/>
      <c r="K36" s="97"/>
      <c r="L36" s="97"/>
      <c r="M36" s="98"/>
    </row>
    <row r="37" spans="8:13" ht="28.9" customHeight="1" x14ac:dyDescent="0.25"/>
    <row r="38" spans="8:13" ht="28.9" customHeight="1" x14ac:dyDescent="0.25"/>
    <row r="39" spans="8:13" ht="28.9" customHeight="1" x14ac:dyDescent="0.25"/>
    <row r="40" spans="8:13" ht="28.9" customHeight="1" x14ac:dyDescent="0.25"/>
    <row r="41" spans="8:13" ht="28.9" customHeight="1" x14ac:dyDescent="0.25"/>
    <row r="42" spans="8:13" ht="28.9" customHeight="1" x14ac:dyDescent="0.25"/>
    <row r="43" spans="8:13" ht="28.9" customHeight="1" x14ac:dyDescent="0.25"/>
    <row r="44" spans="8:13" ht="28.9" customHeight="1" x14ac:dyDescent="0.25"/>
    <row r="45" spans="8:13" ht="28.9" customHeight="1" x14ac:dyDescent="0.25"/>
    <row r="46" spans="8:13" ht="28.9" customHeight="1" x14ac:dyDescent="0.25"/>
    <row r="47" spans="8:13" ht="28.9" customHeight="1" x14ac:dyDescent="0.25"/>
    <row r="48" spans="8:13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9">
    <tabColor rgb="FFFF0000"/>
  </sheetPr>
  <dimension ref="A1:AW66"/>
  <sheetViews>
    <sheetView zoomScale="40" zoomScaleNormal="40" workbookViewId="0">
      <selection activeCell="H25" sqref="H25"/>
    </sheetView>
  </sheetViews>
  <sheetFormatPr defaultColWidth="8.85546875" defaultRowHeight="15" x14ac:dyDescent="0.25"/>
  <cols>
    <col min="1" max="4" width="8.85546875" style="100"/>
    <col min="5" max="5" width="72.28515625" style="100" bestFit="1" customWidth="1"/>
    <col min="6" max="6" width="23.28515625" style="100" bestFit="1" customWidth="1"/>
    <col min="7" max="7" width="26" style="100" customWidth="1"/>
    <col min="8" max="8" width="50.5703125" style="100" bestFit="1" customWidth="1"/>
    <col min="9" max="9" width="38.7109375" style="100" bestFit="1" customWidth="1"/>
    <col min="10" max="10" width="70.5703125" style="100" bestFit="1" customWidth="1"/>
    <col min="11" max="11" width="28.7109375" style="100" bestFit="1" customWidth="1"/>
    <col min="12" max="12" width="63.42578125" style="100" bestFit="1" customWidth="1"/>
    <col min="13" max="13" width="34.28515625" style="100" customWidth="1"/>
    <col min="14" max="14" width="28.5703125" style="100" customWidth="1"/>
    <col min="15" max="15" width="29.28515625" style="100" customWidth="1"/>
    <col min="16" max="16" width="73.42578125" style="100" customWidth="1"/>
    <col min="17" max="17" width="15.5703125" style="100" customWidth="1"/>
    <col min="18" max="21" width="8.85546875" style="100"/>
    <col min="22" max="22" width="23.42578125" style="100" bestFit="1" customWidth="1"/>
    <col min="23" max="23" width="2.7109375" style="100" bestFit="1" customWidth="1"/>
    <col min="24" max="24" width="51.140625" style="100" customWidth="1"/>
    <col min="25" max="16384" width="8.85546875" style="100"/>
  </cols>
  <sheetData>
    <row r="1" spans="1:49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15" customHeight="1" x14ac:dyDescent="0.25">
      <c r="A4" s="365"/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</row>
    <row r="5" spans="1:49" x14ac:dyDescent="0.25">
      <c r="A5" s="365"/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</row>
    <row r="6" spans="1:49" x14ac:dyDescent="0.25">
      <c r="A6" s="365"/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</row>
    <row r="7" spans="1:49" x14ac:dyDescent="0.25">
      <c r="A7" s="365"/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x14ac:dyDescent="0.25"/>
    <row r="12" spans="1:49" ht="28.9" customHeight="1" x14ac:dyDescent="0.25">
      <c r="G12" s="375" t="s">
        <v>220</v>
      </c>
      <c r="H12" s="375" t="s">
        <v>654</v>
      </c>
      <c r="I12" s="375" t="s">
        <v>362</v>
      </c>
      <c r="J12" s="375" t="s">
        <v>294</v>
      </c>
      <c r="K12" s="375" t="s">
        <v>405</v>
      </c>
      <c r="L12" s="375" t="s">
        <v>293</v>
      </c>
      <c r="M12" s="375" t="s">
        <v>655</v>
      </c>
      <c r="N12" s="375" t="s">
        <v>282</v>
      </c>
      <c r="O12" s="375" t="s">
        <v>656</v>
      </c>
    </row>
    <row r="13" spans="1:49" ht="28.9" customHeight="1" x14ac:dyDescent="0.25">
      <c r="G13" s="376" t="s">
        <v>657</v>
      </c>
      <c r="H13" s="376" t="s">
        <v>658</v>
      </c>
      <c r="I13" s="376" t="s">
        <v>659</v>
      </c>
      <c r="J13" s="376" t="s">
        <v>660</v>
      </c>
      <c r="K13" s="376" t="s">
        <v>661</v>
      </c>
      <c r="L13" s="376" t="s">
        <v>662</v>
      </c>
      <c r="M13" s="376" t="s">
        <v>663</v>
      </c>
      <c r="N13" s="376" t="s">
        <v>664</v>
      </c>
      <c r="O13" s="377">
        <v>2.5</v>
      </c>
    </row>
    <row r="14" spans="1:49" ht="28.9" customHeight="1" x14ac:dyDescent="0.25">
      <c r="G14" s="376" t="s">
        <v>665</v>
      </c>
      <c r="H14" s="378" t="s">
        <v>666</v>
      </c>
      <c r="I14" s="378" t="s">
        <v>667</v>
      </c>
      <c r="J14" s="378" t="s">
        <v>668</v>
      </c>
      <c r="K14" s="378" t="s">
        <v>669</v>
      </c>
      <c r="L14" s="378" t="s">
        <v>670</v>
      </c>
      <c r="M14" s="378" t="s">
        <v>663</v>
      </c>
      <c r="N14" s="378" t="s">
        <v>664</v>
      </c>
      <c r="O14" s="379">
        <v>2.5</v>
      </c>
    </row>
    <row r="15" spans="1:49" ht="28.9" customHeight="1" x14ac:dyDescent="0.25">
      <c r="G15" s="376" t="s">
        <v>671</v>
      </c>
      <c r="H15" s="378" t="s">
        <v>672</v>
      </c>
      <c r="I15" s="378" t="s">
        <v>673</v>
      </c>
      <c r="J15" s="378" t="s">
        <v>674</v>
      </c>
      <c r="K15" s="378" t="s">
        <v>675</v>
      </c>
      <c r="L15" s="378" t="s">
        <v>676</v>
      </c>
      <c r="M15" s="378" t="s">
        <v>381</v>
      </c>
      <c r="N15" s="378" t="s">
        <v>677</v>
      </c>
      <c r="O15" s="379">
        <v>3.85</v>
      </c>
    </row>
    <row r="16" spans="1:49" ht="28.9" customHeight="1" x14ac:dyDescent="0.25">
      <c r="G16" s="376" t="s">
        <v>678</v>
      </c>
      <c r="H16" s="378" t="s">
        <v>679</v>
      </c>
      <c r="I16" s="378" t="s">
        <v>680</v>
      </c>
      <c r="J16" s="378" t="s">
        <v>681</v>
      </c>
      <c r="K16" s="378" t="s">
        <v>682</v>
      </c>
      <c r="L16" s="378" t="s">
        <v>683</v>
      </c>
      <c r="M16" s="378" t="s">
        <v>381</v>
      </c>
      <c r="N16" s="378" t="s">
        <v>664</v>
      </c>
      <c r="O16" s="379">
        <v>2.5</v>
      </c>
    </row>
    <row r="17" spans="6:15" ht="28.9" customHeight="1" x14ac:dyDescent="0.25">
      <c r="G17" s="376" t="s">
        <v>684</v>
      </c>
      <c r="H17" s="376" t="s">
        <v>685</v>
      </c>
      <c r="I17" s="376" t="s">
        <v>686</v>
      </c>
      <c r="J17" s="376" t="s">
        <v>687</v>
      </c>
      <c r="K17" s="376" t="s">
        <v>688</v>
      </c>
      <c r="L17" s="376" t="s">
        <v>689</v>
      </c>
      <c r="M17" s="376" t="s">
        <v>663</v>
      </c>
      <c r="N17" s="376" t="s">
        <v>677</v>
      </c>
      <c r="O17" s="377">
        <v>3.25</v>
      </c>
    </row>
    <row r="18" spans="6:15" ht="28.9" customHeight="1" x14ac:dyDescent="0.25">
      <c r="G18" s="376" t="s">
        <v>690</v>
      </c>
      <c r="H18" s="378" t="s">
        <v>691</v>
      </c>
      <c r="I18" s="378" t="s">
        <v>692</v>
      </c>
      <c r="J18" s="378" t="s">
        <v>693</v>
      </c>
      <c r="K18" s="378" t="s">
        <v>694</v>
      </c>
      <c r="L18" s="378" t="s">
        <v>695</v>
      </c>
      <c r="M18" s="380" t="s">
        <v>663</v>
      </c>
      <c r="N18" s="380" t="s">
        <v>677</v>
      </c>
      <c r="O18" s="381">
        <v>2.75</v>
      </c>
    </row>
    <row r="19" spans="6:15" ht="28.9" customHeight="1" x14ac:dyDescent="0.25">
      <c r="G19" s="376" t="s">
        <v>372</v>
      </c>
      <c r="H19" s="376" t="s">
        <v>374</v>
      </c>
      <c r="I19" s="376" t="s">
        <v>375</v>
      </c>
      <c r="J19" s="376" t="s">
        <v>376</v>
      </c>
      <c r="K19" s="376" t="s">
        <v>377</v>
      </c>
      <c r="L19" s="376" t="s">
        <v>379</v>
      </c>
      <c r="M19" s="376" t="s">
        <v>381</v>
      </c>
      <c r="N19" s="376" t="s">
        <v>677</v>
      </c>
      <c r="O19" s="377">
        <v>2.5</v>
      </c>
    </row>
    <row r="20" spans="6:15" ht="28.9" customHeight="1" x14ac:dyDescent="0.25">
      <c r="G20" s="376" t="s">
        <v>696</v>
      </c>
      <c r="H20" s="378" t="s">
        <v>697</v>
      </c>
      <c r="I20" s="378" t="s">
        <v>698</v>
      </c>
      <c r="J20" s="378" t="s">
        <v>699</v>
      </c>
      <c r="K20" s="378" t="s">
        <v>700</v>
      </c>
      <c r="L20" s="378" t="s">
        <v>701</v>
      </c>
      <c r="M20" s="378" t="s">
        <v>381</v>
      </c>
      <c r="N20" s="378" t="s">
        <v>383</v>
      </c>
      <c r="O20" s="379">
        <v>4.3</v>
      </c>
    </row>
    <row r="21" spans="6:15" ht="28.9" customHeight="1" x14ac:dyDescent="0.25">
      <c r="G21" s="376" t="s">
        <v>372</v>
      </c>
      <c r="H21" s="376" t="s">
        <v>374</v>
      </c>
      <c r="I21" s="376" t="s">
        <v>375</v>
      </c>
      <c r="J21" s="376" t="s">
        <v>376</v>
      </c>
      <c r="K21" s="376" t="s">
        <v>377</v>
      </c>
      <c r="L21" s="376" t="s">
        <v>379</v>
      </c>
      <c r="M21" s="376" t="s">
        <v>381</v>
      </c>
      <c r="N21" s="376" t="s">
        <v>383</v>
      </c>
      <c r="O21" s="377">
        <v>4.5</v>
      </c>
    </row>
    <row r="22" spans="6:15" ht="28.9" customHeight="1" x14ac:dyDescent="0.25">
      <c r="G22" s="376" t="s">
        <v>702</v>
      </c>
      <c r="H22" s="378" t="s">
        <v>703</v>
      </c>
      <c r="I22" s="378" t="s">
        <v>704</v>
      </c>
      <c r="J22" s="378" t="s">
        <v>705</v>
      </c>
      <c r="K22" s="378" t="s">
        <v>706</v>
      </c>
      <c r="L22" s="378" t="s">
        <v>707</v>
      </c>
      <c r="M22" s="378" t="s">
        <v>663</v>
      </c>
      <c r="N22" s="378" t="s">
        <v>383</v>
      </c>
      <c r="O22" s="379">
        <v>5</v>
      </c>
    </row>
    <row r="23" spans="6:15" ht="28.9" customHeight="1" x14ac:dyDescent="0.25">
      <c r="G23" s="376" t="s">
        <v>708</v>
      </c>
      <c r="H23" s="378" t="s">
        <v>709</v>
      </c>
      <c r="I23" s="378" t="s">
        <v>710</v>
      </c>
      <c r="J23" s="378" t="s">
        <v>711</v>
      </c>
      <c r="K23" s="378" t="s">
        <v>712</v>
      </c>
      <c r="L23" s="378" t="s">
        <v>713</v>
      </c>
      <c r="M23" s="378" t="s">
        <v>381</v>
      </c>
      <c r="N23" s="378" t="s">
        <v>714</v>
      </c>
      <c r="O23" s="379">
        <v>11.5</v>
      </c>
    </row>
    <row r="24" spans="6:15" ht="28.9" customHeight="1" x14ac:dyDescent="0.25">
      <c r="G24" s="376" t="s">
        <v>715</v>
      </c>
      <c r="H24" s="378" t="s">
        <v>716</v>
      </c>
      <c r="I24" s="378" t="s">
        <v>717</v>
      </c>
      <c r="J24" s="378" t="s">
        <v>718</v>
      </c>
      <c r="K24" s="378" t="s">
        <v>719</v>
      </c>
      <c r="L24" s="378" t="s">
        <v>720</v>
      </c>
      <c r="M24" s="378" t="s">
        <v>663</v>
      </c>
      <c r="N24" s="378" t="s">
        <v>714</v>
      </c>
      <c r="O24" s="379">
        <v>11.75</v>
      </c>
    </row>
    <row r="25" spans="6:15" ht="28.9" customHeight="1" x14ac:dyDescent="0.25">
      <c r="F25" s="100" t="s">
        <v>741</v>
      </c>
      <c r="G25" s="376" t="s">
        <v>721</v>
      </c>
      <c r="H25" s="376" t="s">
        <v>722</v>
      </c>
      <c r="I25" s="376" t="s">
        <v>723</v>
      </c>
      <c r="J25" s="376" t="s">
        <v>724</v>
      </c>
      <c r="K25" s="376" t="s">
        <v>725</v>
      </c>
      <c r="L25" s="376" t="s">
        <v>726</v>
      </c>
      <c r="M25" s="376" t="s">
        <v>381</v>
      </c>
      <c r="N25" s="376" t="s">
        <v>714</v>
      </c>
      <c r="O25" s="377">
        <v>12</v>
      </c>
    </row>
    <row r="26" spans="6:15" ht="28.9" customHeight="1" x14ac:dyDescent="0.25">
      <c r="G26" s="376" t="s">
        <v>727</v>
      </c>
      <c r="H26" s="378" t="s">
        <v>728</v>
      </c>
      <c r="I26" s="378" t="s">
        <v>729</v>
      </c>
      <c r="J26" s="378" t="s">
        <v>730</v>
      </c>
      <c r="K26" s="378" t="s">
        <v>731</v>
      </c>
      <c r="L26" s="378" t="s">
        <v>732</v>
      </c>
      <c r="M26" s="378" t="s">
        <v>663</v>
      </c>
      <c r="N26" s="378" t="s">
        <v>733</v>
      </c>
      <c r="O26" s="379">
        <v>17</v>
      </c>
    </row>
    <row r="27" spans="6:15" ht="28.9" customHeight="1" x14ac:dyDescent="0.25">
      <c r="G27" s="376" t="s">
        <v>734</v>
      </c>
      <c r="H27" s="378" t="s">
        <v>735</v>
      </c>
      <c r="I27" s="378" t="s">
        <v>736</v>
      </c>
      <c r="J27" s="378" t="s">
        <v>737</v>
      </c>
      <c r="K27" s="378" t="s">
        <v>738</v>
      </c>
      <c r="L27" s="378" t="s">
        <v>739</v>
      </c>
      <c r="M27" s="378" t="s">
        <v>381</v>
      </c>
      <c r="N27" s="378" t="s">
        <v>733</v>
      </c>
      <c r="O27" s="379">
        <v>16.149999999999999</v>
      </c>
    </row>
    <row r="28" spans="6:15" ht="28.9" customHeight="1" x14ac:dyDescent="0.25">
      <c r="G28" s="376" t="s">
        <v>657</v>
      </c>
      <c r="H28" s="376" t="s">
        <v>658</v>
      </c>
      <c r="I28" s="376" t="s">
        <v>659</v>
      </c>
      <c r="J28" s="376" t="s">
        <v>660</v>
      </c>
      <c r="K28" s="376" t="s">
        <v>661</v>
      </c>
      <c r="L28" s="376" t="s">
        <v>662</v>
      </c>
      <c r="M28" s="376" t="s">
        <v>381</v>
      </c>
      <c r="N28" s="376" t="s">
        <v>733</v>
      </c>
      <c r="O28" s="377">
        <v>15.65</v>
      </c>
    </row>
    <row r="29" spans="6:15" ht="28.9" customHeight="1" x14ac:dyDescent="0.25"/>
    <row r="30" spans="6:15" ht="28.9" customHeight="1" x14ac:dyDescent="0.25"/>
    <row r="31" spans="6:15" ht="28.9" customHeight="1" x14ac:dyDescent="0.25"/>
    <row r="32" spans="6:15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autoFilter ref="G12:O28">
    <sortState ref="G15:O19">
      <sortCondition descending="1" ref="O12:O28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1">
    <tabColor rgb="FFFF0000"/>
  </sheetPr>
  <dimension ref="A1:AW66"/>
  <sheetViews>
    <sheetView zoomScale="40" zoomScaleNormal="40" workbookViewId="0"/>
  </sheetViews>
  <sheetFormatPr defaultColWidth="8.85546875" defaultRowHeight="15" x14ac:dyDescent="0.25"/>
  <cols>
    <col min="1" max="4" width="8.85546875" style="100"/>
    <col min="5" max="5" width="72.28515625" style="100" bestFit="1" customWidth="1"/>
    <col min="6" max="6" width="23.28515625" style="100" bestFit="1" customWidth="1"/>
    <col min="7" max="7" width="26" style="100" customWidth="1"/>
    <col min="8" max="8" width="15.28515625" style="100" customWidth="1"/>
    <col min="9" max="9" width="22.85546875" style="100" bestFit="1" customWidth="1"/>
    <col min="10" max="10" width="27.85546875" style="100" bestFit="1" customWidth="1"/>
    <col min="11" max="11" width="29.5703125" style="100" customWidth="1"/>
    <col min="12" max="12" width="40.42578125" style="100" customWidth="1"/>
    <col min="13" max="13" width="19.28515625" style="100" customWidth="1"/>
    <col min="14" max="14" width="47.85546875" style="100" bestFit="1" customWidth="1"/>
    <col min="15" max="15" width="29.28515625" style="100" customWidth="1"/>
    <col min="16" max="16" width="73.42578125" style="100" customWidth="1"/>
    <col min="17" max="17" width="15.5703125" style="100" customWidth="1"/>
    <col min="18" max="21" width="8.85546875" style="100"/>
    <col min="22" max="22" width="23.42578125" style="100" bestFit="1" customWidth="1"/>
    <col min="23" max="23" width="2.7109375" style="100" bestFit="1" customWidth="1"/>
    <col min="24" max="24" width="51.140625" style="100" customWidth="1"/>
    <col min="25" max="16384" width="8.85546875" style="100"/>
  </cols>
  <sheetData>
    <row r="1" spans="1:49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15" customHeight="1" x14ac:dyDescent="0.25">
      <c r="A4" s="365"/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</row>
    <row r="5" spans="1:49" x14ac:dyDescent="0.25">
      <c r="A5" s="365"/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</row>
    <row r="6" spans="1:49" x14ac:dyDescent="0.25">
      <c r="A6" s="365"/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</row>
    <row r="7" spans="1:49" x14ac:dyDescent="0.25">
      <c r="A7" s="365"/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507" t="s">
        <v>392</v>
      </c>
      <c r="I12" s="508"/>
      <c r="J12" s="508"/>
      <c r="K12" s="508"/>
      <c r="L12" s="508"/>
      <c r="M12" s="509"/>
    </row>
    <row r="13" spans="1:49" ht="28.9" customHeight="1" x14ac:dyDescent="0.25">
      <c r="H13" s="513"/>
      <c r="I13" s="521"/>
      <c r="J13" s="521"/>
      <c r="K13" s="521"/>
      <c r="L13" s="521"/>
      <c r="M13" s="515"/>
    </row>
    <row r="14" spans="1:49" ht="28.9" customHeight="1" x14ac:dyDescent="0.25">
      <c r="H14" s="88"/>
      <c r="I14" s="268"/>
      <c r="J14" s="268"/>
      <c r="K14" s="268"/>
      <c r="L14" s="268"/>
      <c r="M14" s="89"/>
    </row>
    <row r="15" spans="1:49" ht="28.9" customHeight="1" x14ac:dyDescent="0.35">
      <c r="H15" s="90"/>
      <c r="I15" s="382" t="s">
        <v>390</v>
      </c>
      <c r="J15" s="368"/>
      <c r="K15" s="269"/>
      <c r="L15" s="367"/>
      <c r="M15" s="91"/>
    </row>
    <row r="16" spans="1:49" ht="28.9" customHeight="1" x14ac:dyDescent="0.35">
      <c r="H16" s="90"/>
      <c r="I16" s="383"/>
      <c r="J16" s="368"/>
      <c r="K16" s="269"/>
      <c r="L16" s="270"/>
      <c r="M16" s="91"/>
    </row>
    <row r="17" spans="8:13" ht="28.9" customHeight="1" x14ac:dyDescent="0.35">
      <c r="H17" s="92"/>
      <c r="I17" s="382" t="s">
        <v>391</v>
      </c>
      <c r="J17" s="369"/>
      <c r="K17" s="272"/>
      <c r="L17" s="370"/>
      <c r="M17" s="93"/>
    </row>
    <row r="18" spans="8:13" ht="28.9" customHeight="1" x14ac:dyDescent="0.3">
      <c r="H18" s="92"/>
      <c r="I18" s="384"/>
      <c r="J18" s="369"/>
      <c r="K18" s="272"/>
      <c r="L18" s="272"/>
      <c r="M18" s="93"/>
    </row>
    <row r="19" spans="8:13" ht="28.9" customHeight="1" x14ac:dyDescent="0.35">
      <c r="H19" s="92"/>
      <c r="I19" s="382" t="s">
        <v>382</v>
      </c>
      <c r="J19" s="369"/>
      <c r="K19" s="272"/>
      <c r="L19" s="370"/>
      <c r="M19" s="93"/>
    </row>
    <row r="20" spans="8:13" ht="28.9" customHeight="1" x14ac:dyDescent="0.3">
      <c r="H20" s="92"/>
      <c r="I20" s="384"/>
      <c r="J20" s="371"/>
      <c r="K20" s="272"/>
      <c r="L20" s="272"/>
      <c r="M20" s="93"/>
    </row>
    <row r="21" spans="8:13" ht="28.9" customHeight="1" x14ac:dyDescent="0.35">
      <c r="H21" s="92"/>
      <c r="I21" s="382" t="s">
        <v>225</v>
      </c>
      <c r="J21" s="371"/>
      <c r="K21" s="272"/>
      <c r="L21" s="385"/>
      <c r="M21" s="93"/>
    </row>
    <row r="22" spans="8:13" ht="28.9" customHeight="1" x14ac:dyDescent="0.3">
      <c r="H22" s="92"/>
      <c r="I22" s="386"/>
      <c r="J22" s="371"/>
      <c r="K22" s="272"/>
      <c r="L22" s="272"/>
      <c r="M22" s="93"/>
    </row>
    <row r="23" spans="8:13" ht="28.9" customHeight="1" x14ac:dyDescent="0.3">
      <c r="H23" s="92"/>
      <c r="I23" s="366"/>
      <c r="J23" s="371"/>
      <c r="K23" s="272"/>
      <c r="L23" s="272"/>
      <c r="M23" s="93"/>
    </row>
    <row r="24" spans="8:13" ht="28.9" customHeight="1" x14ac:dyDescent="0.3">
      <c r="H24" s="92"/>
      <c r="I24" s="371"/>
      <c r="J24" s="371"/>
      <c r="K24" s="272"/>
      <c r="L24" s="272"/>
      <c r="M24" s="93"/>
    </row>
    <row r="25" spans="8:13" ht="28.9" customHeight="1" x14ac:dyDescent="0.3">
      <c r="H25" s="92"/>
      <c r="I25" s="369"/>
      <c r="J25" s="371"/>
      <c r="K25" s="272"/>
      <c r="L25" s="272"/>
      <c r="M25" s="93"/>
    </row>
    <row r="26" spans="8:13" ht="28.9" customHeight="1" x14ac:dyDescent="0.3">
      <c r="H26" s="92"/>
      <c r="I26" s="371"/>
      <c r="J26" s="371"/>
      <c r="K26" s="273"/>
      <c r="L26" s="273"/>
      <c r="M26" s="94"/>
    </row>
    <row r="27" spans="8:13" ht="28.9" customHeight="1" thickBot="1" x14ac:dyDescent="0.35">
      <c r="H27" s="95"/>
      <c r="I27" s="279"/>
      <c r="J27" s="280"/>
      <c r="K27" s="97"/>
      <c r="L27" s="97"/>
      <c r="M27" s="98"/>
    </row>
    <row r="28" spans="8:13" ht="28.9" customHeight="1" x14ac:dyDescent="0.35">
      <c r="H28" s="387"/>
      <c r="I28" s="388"/>
      <c r="J28" s="387"/>
      <c r="K28" s="387"/>
      <c r="L28" s="389"/>
      <c r="M28" s="387"/>
    </row>
    <row r="29" spans="8:13" ht="28.9" customHeight="1" x14ac:dyDescent="0.25"/>
    <row r="30" spans="8:13" ht="28.9" customHeight="1" x14ac:dyDescent="0.25"/>
    <row r="31" spans="8:13" ht="28.9" customHeight="1" x14ac:dyDescent="0.25"/>
    <row r="32" spans="8:13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0">
    <tabColor rgb="FFFF0000"/>
  </sheetPr>
  <dimension ref="A1:AW66"/>
  <sheetViews>
    <sheetView zoomScale="40" zoomScaleNormal="40" workbookViewId="0">
      <selection activeCell="G30" sqref="G30"/>
    </sheetView>
  </sheetViews>
  <sheetFormatPr defaultColWidth="8.85546875" defaultRowHeight="15" x14ac:dyDescent="0.25"/>
  <cols>
    <col min="1" max="4" width="8.85546875" style="100"/>
    <col min="5" max="5" width="72.28515625" style="100" bestFit="1" customWidth="1"/>
    <col min="6" max="6" width="23.28515625" style="100" bestFit="1" customWidth="1"/>
    <col min="7" max="7" width="26" style="100" customWidth="1"/>
    <col min="8" max="8" width="15.28515625" style="100" customWidth="1"/>
    <col min="9" max="9" width="22.85546875" style="100" bestFit="1" customWidth="1"/>
    <col min="10" max="10" width="27.85546875" style="100" bestFit="1" customWidth="1"/>
    <col min="11" max="11" width="29.5703125" style="100" customWidth="1"/>
    <col min="12" max="12" width="40.42578125" style="100" customWidth="1"/>
    <col min="13" max="13" width="19.28515625" style="100" customWidth="1"/>
    <col min="14" max="14" width="47.85546875" style="100" bestFit="1" customWidth="1"/>
    <col min="15" max="15" width="29.28515625" style="100" customWidth="1"/>
    <col min="16" max="16" width="73.42578125" style="100" customWidth="1"/>
    <col min="17" max="17" width="15.5703125" style="100" customWidth="1"/>
    <col min="18" max="21" width="8.85546875" style="100"/>
    <col min="22" max="22" width="23.42578125" style="100" bestFit="1" customWidth="1"/>
    <col min="23" max="23" width="2.7109375" style="100" bestFit="1" customWidth="1"/>
    <col min="24" max="24" width="51.140625" style="100" customWidth="1"/>
    <col min="25" max="16384" width="8.85546875" style="100"/>
  </cols>
  <sheetData>
    <row r="1" spans="1:49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15" customHeight="1" x14ac:dyDescent="0.25">
      <c r="A4" s="365"/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</row>
    <row r="5" spans="1:49" x14ac:dyDescent="0.25">
      <c r="A5" s="365"/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</row>
    <row r="6" spans="1:49" x14ac:dyDescent="0.25">
      <c r="A6" s="365"/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</row>
    <row r="7" spans="1:49" x14ac:dyDescent="0.25">
      <c r="A7" s="365"/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507" t="s">
        <v>578</v>
      </c>
      <c r="I12" s="508"/>
      <c r="J12" s="508"/>
      <c r="K12" s="508"/>
      <c r="L12" s="508"/>
      <c r="M12" s="509"/>
    </row>
    <row r="13" spans="1:49" ht="28.9" customHeight="1" x14ac:dyDescent="0.25">
      <c r="H13" s="513"/>
      <c r="I13" s="521"/>
      <c r="J13" s="521"/>
      <c r="K13" s="521"/>
      <c r="L13" s="521"/>
      <c r="M13" s="515"/>
    </row>
    <row r="14" spans="1:49" ht="28.9" customHeight="1" x14ac:dyDescent="0.25">
      <c r="H14" s="88"/>
      <c r="I14" s="268"/>
      <c r="J14" s="268"/>
      <c r="K14" s="268"/>
      <c r="L14" s="268"/>
      <c r="M14" s="89"/>
    </row>
    <row r="15" spans="1:49" ht="28.9" customHeight="1" x14ac:dyDescent="0.35">
      <c r="H15" s="90"/>
      <c r="I15" s="366" t="s">
        <v>385</v>
      </c>
      <c r="J15" s="368"/>
      <c r="K15" s="269"/>
      <c r="L15" s="84"/>
      <c r="M15" s="91"/>
    </row>
    <row r="16" spans="1:49" ht="28.9" customHeight="1" x14ac:dyDescent="0.35">
      <c r="H16" s="90"/>
      <c r="I16" s="366"/>
      <c r="J16" s="368"/>
      <c r="K16" s="269"/>
      <c r="L16" s="270"/>
      <c r="M16" s="91"/>
    </row>
    <row r="17" spans="8:13" ht="28.9" customHeight="1" x14ac:dyDescent="0.3">
      <c r="H17" s="92"/>
      <c r="I17" s="366" t="s">
        <v>386</v>
      </c>
      <c r="J17" s="369"/>
      <c r="K17" s="272"/>
      <c r="L17" s="85"/>
      <c r="M17" s="93"/>
    </row>
    <row r="18" spans="8:13" ht="28.9" customHeight="1" x14ac:dyDescent="0.3">
      <c r="H18" s="92"/>
      <c r="I18" s="366"/>
      <c r="J18" s="369"/>
      <c r="K18" s="272"/>
      <c r="L18" s="272"/>
      <c r="M18" s="93"/>
    </row>
    <row r="19" spans="8:13" ht="28.9" customHeight="1" x14ac:dyDescent="0.3">
      <c r="H19" s="92"/>
      <c r="I19" s="366" t="s">
        <v>387</v>
      </c>
      <c r="J19" s="369"/>
      <c r="K19" s="272"/>
      <c r="L19" s="85"/>
      <c r="M19" s="93"/>
    </row>
    <row r="20" spans="8:13" ht="28.9" customHeight="1" x14ac:dyDescent="0.3">
      <c r="H20" s="92"/>
      <c r="I20" s="366"/>
      <c r="J20" s="371"/>
      <c r="K20" s="272"/>
      <c r="L20" s="272"/>
      <c r="M20" s="93"/>
    </row>
    <row r="21" spans="8:13" ht="28.9" customHeight="1" x14ac:dyDescent="0.3">
      <c r="H21" s="92"/>
      <c r="I21" s="366" t="s">
        <v>388</v>
      </c>
      <c r="J21" s="371"/>
      <c r="K21" s="272"/>
      <c r="L21" s="86"/>
      <c r="M21" s="93"/>
    </row>
    <row r="22" spans="8:13" ht="28.9" customHeight="1" x14ac:dyDescent="0.3">
      <c r="H22" s="92"/>
      <c r="I22" s="386"/>
      <c r="J22" s="371"/>
      <c r="K22" s="272"/>
      <c r="L22" s="272"/>
      <c r="M22" s="93"/>
    </row>
    <row r="23" spans="8:13" ht="28.9" customHeight="1" x14ac:dyDescent="0.3">
      <c r="H23" s="92"/>
      <c r="I23" s="366" t="s">
        <v>389</v>
      </c>
      <c r="J23" s="371"/>
      <c r="K23" s="272"/>
      <c r="L23" s="85"/>
      <c r="M23" s="93"/>
    </row>
    <row r="24" spans="8:13" ht="28.9" customHeight="1" x14ac:dyDescent="0.3">
      <c r="H24" s="92"/>
      <c r="I24" s="371"/>
      <c r="J24" s="371"/>
      <c r="K24" s="272"/>
      <c r="L24" s="272"/>
      <c r="M24" s="93"/>
    </row>
    <row r="25" spans="8:13" ht="28.9" customHeight="1" x14ac:dyDescent="0.3">
      <c r="H25" s="92"/>
      <c r="I25" s="369"/>
      <c r="J25" s="371"/>
      <c r="K25" s="272"/>
      <c r="L25" s="272"/>
      <c r="M25" s="93"/>
    </row>
    <row r="26" spans="8:13" ht="28.9" customHeight="1" x14ac:dyDescent="0.3">
      <c r="H26" s="92"/>
      <c r="I26" s="371"/>
      <c r="J26" s="371"/>
      <c r="K26" s="273"/>
      <c r="L26" s="273"/>
      <c r="M26" s="94"/>
    </row>
    <row r="27" spans="8:13" ht="28.9" customHeight="1" x14ac:dyDescent="0.3">
      <c r="H27" s="92"/>
      <c r="I27" s="369"/>
      <c r="J27" s="371"/>
      <c r="K27" s="273"/>
      <c r="L27" s="273"/>
      <c r="M27" s="94"/>
    </row>
    <row r="28" spans="8:13" ht="28.9" customHeight="1" thickBot="1" x14ac:dyDescent="0.4">
      <c r="H28" s="274"/>
      <c r="I28" s="275"/>
      <c r="J28" s="276"/>
      <c r="K28" s="276"/>
      <c r="L28" s="277"/>
      <c r="M28" s="278"/>
    </row>
    <row r="29" spans="8:13" ht="28.9" customHeight="1" x14ac:dyDescent="0.25"/>
    <row r="30" spans="8:13" ht="28.9" customHeight="1" x14ac:dyDescent="0.25"/>
    <row r="31" spans="8:13" ht="28.9" customHeight="1" x14ac:dyDescent="0.25"/>
    <row r="32" spans="8:13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2">
    <tabColor rgb="FFFF0000"/>
  </sheetPr>
  <dimension ref="A1:AW66"/>
  <sheetViews>
    <sheetView zoomScale="40" zoomScaleNormal="40" workbookViewId="0"/>
  </sheetViews>
  <sheetFormatPr defaultColWidth="8.85546875" defaultRowHeight="15" x14ac:dyDescent="0.25"/>
  <cols>
    <col min="1" max="4" width="8.85546875" style="100"/>
    <col min="5" max="5" width="43" style="100" bestFit="1" customWidth="1"/>
    <col min="6" max="6" width="13.7109375" style="100" bestFit="1" customWidth="1"/>
    <col min="7" max="7" width="19.140625" style="100" customWidth="1"/>
    <col min="8" max="8" width="28" style="100" customWidth="1"/>
    <col min="9" max="9" width="22.85546875" style="100" bestFit="1" customWidth="1"/>
    <col min="10" max="10" width="25" style="100" customWidth="1"/>
    <col min="11" max="11" width="43" style="100" bestFit="1" customWidth="1"/>
    <col min="12" max="12" width="40.42578125" style="100" customWidth="1"/>
    <col min="13" max="13" width="19.28515625" style="100" customWidth="1"/>
    <col min="14" max="14" width="47.85546875" style="100" bestFit="1" customWidth="1"/>
    <col min="15" max="15" width="29.28515625" style="100" customWidth="1"/>
    <col min="16" max="16" width="73.42578125" style="100" customWidth="1"/>
    <col min="17" max="17" width="15.5703125" style="100" customWidth="1"/>
    <col min="18" max="21" width="8.85546875" style="100"/>
    <col min="22" max="22" width="23.42578125" style="100" bestFit="1" customWidth="1"/>
    <col min="23" max="23" width="2.7109375" style="100" bestFit="1" customWidth="1"/>
    <col min="24" max="24" width="51.140625" style="100" customWidth="1"/>
    <col min="25" max="16384" width="8.85546875" style="100"/>
  </cols>
  <sheetData>
    <row r="1" spans="1:49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15" customHeight="1" x14ac:dyDescent="0.25">
      <c r="A4" s="365"/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</row>
    <row r="5" spans="1:49" x14ac:dyDescent="0.25">
      <c r="A5" s="365"/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</row>
    <row r="6" spans="1:49" x14ac:dyDescent="0.25">
      <c r="A6" s="365"/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</row>
    <row r="7" spans="1:49" x14ac:dyDescent="0.25">
      <c r="A7" s="365"/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x14ac:dyDescent="0.25">
      <c r="K11" s="151" t="s">
        <v>390</v>
      </c>
      <c r="L11" s="151" t="s">
        <v>391</v>
      </c>
      <c r="M11" s="151" t="s">
        <v>382</v>
      </c>
      <c r="N11" s="151" t="s">
        <v>225</v>
      </c>
    </row>
    <row r="12" spans="1:49" ht="28.9" customHeight="1" x14ac:dyDescent="0.35">
      <c r="H12" s="387"/>
      <c r="I12" s="388"/>
      <c r="J12" s="387"/>
      <c r="K12" s="367" t="s">
        <v>740</v>
      </c>
      <c r="L12" s="370" t="s">
        <v>740</v>
      </c>
      <c r="M12" s="370" t="s">
        <v>740</v>
      </c>
      <c r="N12" s="385" t="s">
        <v>740</v>
      </c>
    </row>
    <row r="13" spans="1:49" ht="28.9" customHeight="1" x14ac:dyDescent="0.25">
      <c r="K13" s="84"/>
      <c r="L13" s="85"/>
      <c r="M13" s="85"/>
      <c r="N13" s="86"/>
    </row>
    <row r="14" spans="1:49" ht="28.9" customHeight="1" x14ac:dyDescent="0.25">
      <c r="K14" s="387"/>
      <c r="L14" s="389"/>
      <c r="M14" s="387"/>
    </row>
    <row r="15" spans="1:49" ht="28.9" customHeight="1" x14ac:dyDescent="0.25"/>
    <row r="16" spans="1:49" ht="28.9" customHeight="1" x14ac:dyDescent="0.25"/>
    <row r="17" ht="28.9" customHeight="1" x14ac:dyDescent="0.25"/>
    <row r="18" ht="28.9" customHeight="1" x14ac:dyDescent="0.25"/>
    <row r="19" ht="28.9" customHeight="1" x14ac:dyDescent="0.25"/>
    <row r="20" ht="28.9" customHeight="1" x14ac:dyDescent="0.25"/>
    <row r="21" ht="28.9" customHeight="1" x14ac:dyDescent="0.25"/>
    <row r="22" ht="28.9" customHeight="1" x14ac:dyDescent="0.25"/>
    <row r="23" ht="28.9" customHeight="1" x14ac:dyDescent="0.25"/>
    <row r="24" ht="28.9" customHeight="1" x14ac:dyDescent="0.25"/>
    <row r="25" ht="28.9" customHeight="1" x14ac:dyDescent="0.25"/>
    <row r="26" ht="28.9" customHeight="1" x14ac:dyDescent="0.25"/>
    <row r="27" ht="28.9" customHeight="1" x14ac:dyDescent="0.25"/>
    <row r="28" ht="28.9" customHeight="1" x14ac:dyDescent="0.25"/>
    <row r="29" ht="28.9" customHeight="1" x14ac:dyDescent="0.25"/>
    <row r="30" ht="28.9" customHeight="1" x14ac:dyDescent="0.25"/>
    <row r="31" ht="28.9" customHeight="1" x14ac:dyDescent="0.25"/>
    <row r="32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3">
    <tabColor rgb="FFFF0000"/>
  </sheetPr>
  <dimension ref="A1:AW66"/>
  <sheetViews>
    <sheetView topLeftCell="A4" zoomScale="40" zoomScaleNormal="40" workbookViewId="0">
      <selection activeCell="G30" sqref="G30"/>
    </sheetView>
  </sheetViews>
  <sheetFormatPr defaultColWidth="8.85546875" defaultRowHeight="15" x14ac:dyDescent="0.25"/>
  <cols>
    <col min="1" max="4" width="8.85546875" style="100"/>
    <col min="5" max="5" width="72.28515625" style="100" bestFit="1" customWidth="1"/>
    <col min="6" max="6" width="23.28515625" style="100" bestFit="1" customWidth="1"/>
    <col min="7" max="7" width="26" style="100" customWidth="1"/>
    <col min="8" max="8" width="15.28515625" style="100" customWidth="1"/>
    <col min="9" max="9" width="22.85546875" style="100" bestFit="1" customWidth="1"/>
    <col min="10" max="10" width="27.85546875" style="100" bestFit="1" customWidth="1"/>
    <col min="11" max="11" width="29.5703125" style="100" customWidth="1"/>
    <col min="12" max="12" width="43.7109375" style="100" customWidth="1"/>
    <col min="13" max="13" width="19.28515625" style="100" customWidth="1"/>
    <col min="14" max="14" width="47.85546875" style="100" bestFit="1" customWidth="1"/>
    <col min="15" max="15" width="29.28515625" style="100" customWidth="1"/>
    <col min="16" max="16" width="73.42578125" style="100" customWidth="1"/>
    <col min="17" max="17" width="15.5703125" style="100" customWidth="1"/>
    <col min="18" max="21" width="8.85546875" style="100"/>
    <col min="22" max="22" width="23.42578125" style="100" bestFit="1" customWidth="1"/>
    <col min="23" max="23" width="2.7109375" style="100" bestFit="1" customWidth="1"/>
    <col min="24" max="24" width="51.140625" style="100" customWidth="1"/>
    <col min="25" max="16384" width="8.85546875" style="100"/>
  </cols>
  <sheetData>
    <row r="1" spans="1:49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15" customHeight="1" x14ac:dyDescent="0.25">
      <c r="A4" s="365"/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</row>
    <row r="5" spans="1:49" x14ac:dyDescent="0.25">
      <c r="A5" s="365"/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</row>
    <row r="6" spans="1:49" x14ac:dyDescent="0.25">
      <c r="A6" s="365"/>
      <c r="B6" s="365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</row>
    <row r="7" spans="1:49" x14ac:dyDescent="0.25">
      <c r="A7" s="365"/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</row>
    <row r="8" spans="1:49" ht="28.9" customHeight="1" x14ac:dyDescent="0.25"/>
    <row r="9" spans="1:49" ht="28.9" customHeight="1" x14ac:dyDescent="0.25"/>
    <row r="10" spans="1:49" ht="28.9" customHeight="1" x14ac:dyDescent="0.25"/>
    <row r="11" spans="1:49" ht="28.9" customHeight="1" thickBot="1" x14ac:dyDescent="0.3"/>
    <row r="12" spans="1:49" ht="28.9" customHeight="1" x14ac:dyDescent="0.25">
      <c r="H12" s="507" t="s">
        <v>397</v>
      </c>
      <c r="I12" s="508"/>
      <c r="J12" s="508"/>
      <c r="K12" s="508"/>
      <c r="L12" s="508"/>
      <c r="M12" s="509"/>
    </row>
    <row r="13" spans="1:49" ht="28.9" customHeight="1" x14ac:dyDescent="0.25">
      <c r="H13" s="513"/>
      <c r="I13" s="521"/>
      <c r="J13" s="521"/>
      <c r="K13" s="521"/>
      <c r="L13" s="521"/>
      <c r="M13" s="515"/>
    </row>
    <row r="14" spans="1:49" ht="28.9" customHeight="1" x14ac:dyDescent="0.25">
      <c r="H14" s="88"/>
      <c r="I14" s="268"/>
      <c r="J14" s="268"/>
      <c r="K14" s="268"/>
      <c r="L14" s="268"/>
      <c r="M14" s="89"/>
    </row>
    <row r="15" spans="1:49" ht="28.9" customHeight="1" x14ac:dyDescent="0.25">
      <c r="H15" s="90"/>
      <c r="I15" s="390" t="s">
        <v>393</v>
      </c>
      <c r="J15" s="269"/>
      <c r="K15" s="269"/>
      <c r="L15" s="84"/>
      <c r="M15" s="91"/>
    </row>
    <row r="16" spans="1:49" ht="28.9" customHeight="1" x14ac:dyDescent="0.25">
      <c r="H16" s="90"/>
      <c r="I16" s="390"/>
      <c r="J16" s="269"/>
      <c r="K16" s="269"/>
      <c r="L16" s="270"/>
      <c r="M16" s="91"/>
    </row>
    <row r="17" spans="8:13" ht="28.9" customHeight="1" x14ac:dyDescent="0.25">
      <c r="H17" s="92"/>
      <c r="I17" s="390" t="s">
        <v>371</v>
      </c>
      <c r="J17" s="271"/>
      <c r="K17" s="272"/>
      <c r="L17" s="85"/>
      <c r="M17" s="93"/>
    </row>
    <row r="18" spans="8:13" ht="28.9" customHeight="1" x14ac:dyDescent="0.25">
      <c r="H18" s="92"/>
      <c r="I18" s="390"/>
      <c r="J18" s="271"/>
      <c r="K18" s="272"/>
      <c r="L18" s="272"/>
      <c r="M18" s="93"/>
    </row>
    <row r="19" spans="8:13" ht="28.9" customHeight="1" x14ac:dyDescent="0.25">
      <c r="H19" s="92"/>
      <c r="I19" s="390" t="s">
        <v>394</v>
      </c>
      <c r="J19" s="271"/>
      <c r="K19" s="272"/>
      <c r="L19" s="85"/>
      <c r="M19" s="93"/>
    </row>
    <row r="20" spans="8:13" ht="28.9" customHeight="1" x14ac:dyDescent="0.25">
      <c r="H20" s="92"/>
      <c r="I20" s="390"/>
      <c r="J20" s="272"/>
      <c r="K20" s="272"/>
      <c r="L20" s="272"/>
      <c r="M20" s="93"/>
    </row>
    <row r="21" spans="8:13" ht="28.9" customHeight="1" x14ac:dyDescent="0.25">
      <c r="H21" s="92"/>
      <c r="I21" s="390" t="s">
        <v>35</v>
      </c>
      <c r="J21" s="272"/>
      <c r="K21" s="272"/>
      <c r="L21" s="86"/>
      <c r="M21" s="93"/>
    </row>
    <row r="22" spans="8:13" ht="28.9" customHeight="1" x14ac:dyDescent="0.25">
      <c r="H22" s="92"/>
      <c r="I22" s="390"/>
      <c r="J22" s="272"/>
      <c r="K22" s="272"/>
      <c r="L22" s="272"/>
      <c r="M22" s="93"/>
    </row>
    <row r="23" spans="8:13" ht="28.9" customHeight="1" x14ac:dyDescent="0.25">
      <c r="H23" s="92"/>
      <c r="I23" s="390" t="s">
        <v>382</v>
      </c>
      <c r="J23" s="272"/>
      <c r="K23" s="272"/>
      <c r="L23" s="85"/>
      <c r="M23" s="93"/>
    </row>
    <row r="24" spans="8:13" ht="28.9" customHeight="1" x14ac:dyDescent="0.25">
      <c r="H24" s="92"/>
      <c r="I24" s="391"/>
      <c r="J24" s="272"/>
      <c r="K24" s="272"/>
      <c r="L24" s="272"/>
      <c r="M24" s="93"/>
    </row>
    <row r="25" spans="8:13" ht="28.9" customHeight="1" x14ac:dyDescent="0.25">
      <c r="H25" s="92"/>
      <c r="I25" s="390" t="s">
        <v>395</v>
      </c>
      <c r="J25" s="272"/>
      <c r="K25" s="272"/>
      <c r="L25" s="85"/>
      <c r="M25" s="93"/>
    </row>
    <row r="26" spans="8:13" ht="28.9" customHeight="1" x14ac:dyDescent="0.25">
      <c r="H26" s="92"/>
      <c r="I26" s="390"/>
      <c r="J26" s="272"/>
      <c r="K26" s="273"/>
      <c r="L26" s="273"/>
      <c r="M26" s="94"/>
    </row>
    <row r="27" spans="8:13" ht="28.9" customHeight="1" x14ac:dyDescent="0.25">
      <c r="H27" s="92"/>
      <c r="I27" s="390" t="s">
        <v>225</v>
      </c>
      <c r="J27" s="272"/>
      <c r="K27" s="273"/>
      <c r="L27" s="87"/>
      <c r="M27" s="94"/>
    </row>
    <row r="28" spans="8:13" ht="28.9" customHeight="1" x14ac:dyDescent="0.25">
      <c r="H28" s="90"/>
      <c r="I28" s="390"/>
      <c r="J28" s="269"/>
      <c r="K28" s="269"/>
      <c r="L28" s="270"/>
      <c r="M28" s="91"/>
    </row>
    <row r="29" spans="8:13" ht="28.9" customHeight="1" x14ac:dyDescent="0.25">
      <c r="H29" s="92"/>
      <c r="I29" s="390" t="s">
        <v>396</v>
      </c>
      <c r="J29" s="272"/>
      <c r="K29" s="273"/>
      <c r="L29" s="87"/>
      <c r="M29" s="94"/>
    </row>
    <row r="30" spans="8:13" ht="28.9" customHeight="1" x14ac:dyDescent="0.3">
      <c r="H30" s="92"/>
      <c r="I30" s="371"/>
      <c r="J30" s="272"/>
      <c r="K30" s="273"/>
      <c r="L30" s="273"/>
      <c r="M30" s="94"/>
    </row>
    <row r="31" spans="8:13" ht="28.9" customHeight="1" x14ac:dyDescent="0.3">
      <c r="H31" s="92"/>
      <c r="I31" s="369"/>
      <c r="J31" s="272"/>
      <c r="K31" s="273"/>
      <c r="L31" s="392"/>
      <c r="M31" s="94"/>
    </row>
    <row r="32" spans="8:13" ht="28.9" customHeight="1" x14ac:dyDescent="0.25">
      <c r="H32" s="92"/>
      <c r="I32" s="272"/>
      <c r="J32" s="272"/>
      <c r="K32" s="273"/>
      <c r="L32" s="273"/>
      <c r="M32" s="94"/>
    </row>
    <row r="33" spans="8:13" ht="28.9" customHeight="1" x14ac:dyDescent="0.25">
      <c r="H33" s="92"/>
      <c r="I33" s="272"/>
      <c r="J33" s="272"/>
      <c r="K33" s="273"/>
      <c r="L33" s="273"/>
      <c r="M33" s="94"/>
    </row>
    <row r="34" spans="8:13" ht="28.9" customHeight="1" x14ac:dyDescent="0.25">
      <c r="H34" s="92"/>
      <c r="I34" s="272"/>
      <c r="J34" s="272"/>
      <c r="K34" s="273"/>
      <c r="L34" s="273"/>
      <c r="M34" s="94"/>
    </row>
    <row r="35" spans="8:13" ht="28.9" customHeight="1" thickBot="1" x14ac:dyDescent="0.3">
      <c r="H35" s="95"/>
      <c r="I35" s="96"/>
      <c r="J35" s="96"/>
      <c r="K35" s="97"/>
      <c r="L35" s="97"/>
      <c r="M35" s="98"/>
    </row>
    <row r="36" spans="8:13" ht="28.9" customHeight="1" x14ac:dyDescent="0.25">
      <c r="H36" s="393"/>
      <c r="I36" s="393"/>
      <c r="J36" s="393"/>
      <c r="K36" s="394"/>
      <c r="L36" s="394"/>
      <c r="M36" s="394"/>
    </row>
    <row r="37" spans="8:13" ht="28.9" customHeight="1" x14ac:dyDescent="0.25"/>
    <row r="38" spans="8:13" ht="28.9" customHeight="1" x14ac:dyDescent="0.25"/>
    <row r="39" spans="8:13" ht="28.9" customHeight="1" x14ac:dyDescent="0.25"/>
    <row r="40" spans="8:13" ht="28.9" customHeight="1" x14ac:dyDescent="0.25"/>
    <row r="41" spans="8:13" ht="28.9" customHeight="1" x14ac:dyDescent="0.25"/>
    <row r="42" spans="8:13" ht="28.9" customHeight="1" x14ac:dyDescent="0.25"/>
    <row r="43" spans="8:13" ht="28.9" customHeight="1" x14ac:dyDescent="0.25"/>
    <row r="44" spans="8:13" ht="28.9" customHeight="1" x14ac:dyDescent="0.25"/>
    <row r="45" spans="8:13" ht="28.9" customHeight="1" x14ac:dyDescent="0.25"/>
    <row r="46" spans="8:13" ht="28.9" customHeight="1" x14ac:dyDescent="0.25"/>
    <row r="47" spans="8:13" ht="28.9" customHeight="1" x14ac:dyDescent="0.25"/>
    <row r="48" spans="8:13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4">
    <tabColor rgb="FFF13FF5"/>
  </sheetPr>
  <dimension ref="A1:AW66"/>
  <sheetViews>
    <sheetView zoomScale="40" zoomScaleNormal="40" workbookViewId="0"/>
  </sheetViews>
  <sheetFormatPr defaultColWidth="8.85546875" defaultRowHeight="15" x14ac:dyDescent="0.25"/>
  <cols>
    <col min="1" max="4" width="8.85546875" style="100"/>
    <col min="5" max="5" width="72.28515625" style="100" bestFit="1" customWidth="1"/>
    <col min="6" max="6" width="23.28515625" style="100" bestFit="1" customWidth="1"/>
    <col min="7" max="7" width="26" style="100" customWidth="1"/>
    <col min="8" max="8" width="15.28515625" style="100" customWidth="1"/>
    <col min="9" max="9" width="22.85546875" style="100" bestFit="1" customWidth="1"/>
    <col min="10" max="10" width="10.140625" style="100" bestFit="1" customWidth="1"/>
    <col min="11" max="11" width="22.42578125" style="100" customWidth="1"/>
    <col min="12" max="12" width="15.28515625" style="100" customWidth="1"/>
    <col min="13" max="13" width="21" style="100" bestFit="1" customWidth="1"/>
    <col min="14" max="14" width="10.140625" style="100" bestFit="1" customWidth="1"/>
    <col min="15" max="15" width="21" style="100" bestFit="1" customWidth="1"/>
    <col min="16" max="16" width="25.140625" style="100" customWidth="1"/>
    <col min="17" max="17" width="15.5703125" style="100" customWidth="1"/>
    <col min="18" max="21" width="8.85546875" style="100"/>
    <col min="22" max="22" width="23.42578125" style="100" bestFit="1" customWidth="1"/>
    <col min="23" max="23" width="2.7109375" style="100" bestFit="1" customWidth="1"/>
    <col min="24" max="24" width="51.140625" style="100" customWidth="1"/>
    <col min="25" max="16384" width="8.85546875" style="100"/>
  </cols>
  <sheetData>
    <row r="1" spans="1:49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9" customHeight="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</row>
    <row r="9" spans="1:49" ht="28.9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</row>
    <row r="10" spans="1:49" ht="28.9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</row>
    <row r="11" spans="1:49" ht="28.9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</row>
    <row r="12" spans="1:49" ht="28.9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</row>
    <row r="13" spans="1:49" ht="28.9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</row>
    <row r="14" spans="1:49" ht="28.9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</row>
    <row r="15" spans="1:49" ht="28.9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</row>
    <row r="16" spans="1:49" ht="28.9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</row>
    <row r="17" spans="1:34" ht="28.9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</row>
    <row r="18" spans="1:34" ht="28.9" customHeight="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</row>
    <row r="19" spans="1:34" ht="28.9" customHeigh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</row>
    <row r="20" spans="1:34" ht="28.9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</row>
    <row r="21" spans="1:34" ht="28.9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</row>
    <row r="22" spans="1:34" ht="28.9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</row>
    <row r="23" spans="1:34" ht="28.9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</row>
    <row r="24" spans="1:34" ht="28.9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</row>
    <row r="25" spans="1:34" ht="28.9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</row>
    <row r="26" spans="1:34" ht="28.9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</row>
    <row r="27" spans="1:34" ht="28.9" customHeight="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</row>
    <row r="28" spans="1:34" ht="28.9" customHeight="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</row>
    <row r="29" spans="1:34" ht="28.9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</row>
    <row r="30" spans="1:34" ht="28.9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</row>
    <row r="31" spans="1:34" ht="28.9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</row>
    <row r="32" spans="1:34" ht="28.9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</row>
    <row r="33" spans="1:34" ht="28.9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</row>
    <row r="34" spans="1:34" ht="28.9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</row>
    <row r="35" spans="1:34" ht="28.9" customHeight="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</row>
    <row r="36" spans="1:34" ht="28.9" customHeight="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</row>
    <row r="37" spans="1:34" ht="28.9" customHeight="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</row>
    <row r="38" spans="1:34" ht="28.9" customHeight="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</row>
    <row r="39" spans="1:34" ht="28.9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</row>
    <row r="40" spans="1:34" ht="28.9" customHeight="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</row>
    <row r="41" spans="1:34" ht="28.9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</row>
    <row r="42" spans="1:34" ht="28.9" customHeight="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</row>
    <row r="43" spans="1:34" ht="28.9" customHeight="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</row>
    <row r="44" spans="1:34" ht="28.9" customHeight="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</row>
    <row r="45" spans="1:34" ht="28.9" customHeight="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</row>
    <row r="46" spans="1:34" ht="28.9" customHeight="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</row>
    <row r="47" spans="1:34" ht="28.9" customHeight="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</row>
    <row r="48" spans="1:34" ht="28.9" customHeight="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</row>
    <row r="49" spans="1:34" ht="28.9" customHeight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</row>
    <row r="50" spans="1:34" ht="28.9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</row>
    <row r="51" spans="1:34" ht="28.9" customHeight="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</row>
    <row r="52" spans="1:34" ht="28.9" customHeight="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</row>
    <row r="53" spans="1:34" ht="28.9" customHeight="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</row>
    <row r="54" spans="1:34" ht="28.9" customHeight="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</row>
    <row r="55" spans="1:34" ht="28.9" customHeight="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</row>
    <row r="56" spans="1:34" ht="28.9" customHeight="1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</row>
    <row r="57" spans="1:34" ht="28.9" customHeight="1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</row>
    <row r="58" spans="1:34" ht="28.9" customHeight="1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</row>
    <row r="59" spans="1:34" ht="28.9" customHeight="1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</row>
    <row r="60" spans="1:34" ht="28.9" customHeight="1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</row>
    <row r="61" spans="1:34" ht="28.9" customHeight="1" x14ac:dyDescent="0.2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</row>
    <row r="62" spans="1:34" ht="28.9" customHeight="1" x14ac:dyDescent="0.2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</row>
    <row r="63" spans="1:34" ht="28.9" customHeight="1" x14ac:dyDescent="0.25"/>
    <row r="64" spans="1:3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4">
    <tabColor rgb="FFF13FF5"/>
  </sheetPr>
  <dimension ref="A1:AW66"/>
  <sheetViews>
    <sheetView zoomScale="40" zoomScaleNormal="40" workbookViewId="0">
      <selection activeCell="W12" sqref="W12:X12"/>
    </sheetView>
  </sheetViews>
  <sheetFormatPr defaultColWidth="8.85546875" defaultRowHeight="15" x14ac:dyDescent="0.25"/>
  <cols>
    <col min="1" max="4" width="8.85546875" style="100"/>
    <col min="5" max="5" width="72.28515625" style="100" bestFit="1" customWidth="1"/>
    <col min="6" max="6" width="23.28515625" style="100" bestFit="1" customWidth="1"/>
    <col min="7" max="7" width="26" style="100" customWidth="1"/>
    <col min="8" max="8" width="15.28515625" style="100" customWidth="1"/>
    <col min="9" max="9" width="22.85546875" style="100" bestFit="1" customWidth="1"/>
    <col min="10" max="10" width="10.140625" style="100" bestFit="1" customWidth="1"/>
    <col min="11" max="11" width="14.85546875" style="100" bestFit="1" customWidth="1"/>
    <col min="12" max="12" width="15.28515625" style="100" customWidth="1"/>
    <col min="13" max="13" width="21" style="100" bestFit="1" customWidth="1"/>
    <col min="14" max="14" width="10.140625" style="100" bestFit="1" customWidth="1"/>
    <col min="15" max="15" width="21" style="100" bestFit="1" customWidth="1"/>
    <col min="16" max="16" width="25.140625" style="100" customWidth="1"/>
    <col min="17" max="17" width="15.5703125" style="100" customWidth="1"/>
    <col min="18" max="21" width="8.85546875" style="100"/>
    <col min="22" max="22" width="23.42578125" style="100" bestFit="1" customWidth="1"/>
    <col min="23" max="23" width="2.7109375" style="100" bestFit="1" customWidth="1"/>
    <col min="24" max="24" width="51.140625" style="100" customWidth="1"/>
    <col min="25" max="16384" width="8.85546875" style="100"/>
  </cols>
  <sheetData>
    <row r="1" spans="1:49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9" customHeight="1" x14ac:dyDescent="0.25"/>
    <row r="9" spans="1:49" ht="28.9" customHeight="1" x14ac:dyDescent="0.25"/>
    <row r="10" spans="1:49" ht="28.9" customHeight="1" x14ac:dyDescent="0.25">
      <c r="C10" s="528" t="s">
        <v>579</v>
      </c>
      <c r="D10" s="529"/>
      <c r="E10" s="529"/>
      <c r="F10" s="529"/>
      <c r="G10" s="530"/>
      <c r="I10" s="291" t="s">
        <v>594</v>
      </c>
      <c r="J10" s="151" t="s">
        <v>595</v>
      </c>
      <c r="K10" s="151" t="s">
        <v>596</v>
      </c>
      <c r="M10" s="292" t="s">
        <v>604</v>
      </c>
      <c r="N10" s="292" t="s">
        <v>595</v>
      </c>
      <c r="O10" s="151" t="s">
        <v>596</v>
      </c>
      <c r="Q10" s="524" t="s">
        <v>609</v>
      </c>
      <c r="R10" s="524"/>
      <c r="S10" s="524"/>
      <c r="T10" s="524"/>
      <c r="U10" s="524"/>
      <c r="V10" s="524"/>
      <c r="W10" s="524"/>
      <c r="X10" s="524"/>
    </row>
    <row r="11" spans="1:49" ht="28.9" customHeight="1" x14ac:dyDescent="0.35">
      <c r="C11" s="531" t="s">
        <v>580</v>
      </c>
      <c r="D11" s="531"/>
      <c r="E11" s="531"/>
      <c r="F11" s="531"/>
      <c r="G11" s="283" t="s">
        <v>581</v>
      </c>
      <c r="I11" s="287" t="s">
        <v>597</v>
      </c>
      <c r="J11" s="288">
        <v>1</v>
      </c>
      <c r="K11" s="289" t="e">
        <f>('[5]N_RHREF '!#REF!-'[5]N_RHREF '!#REF!-'[5]N_RHREF '!#REF!-'[5]N_RHREF '!#REF!-'[5]N_RHREF '!#REF!)</f>
        <v>#REF!</v>
      </c>
      <c r="M11" s="293" t="s">
        <v>597</v>
      </c>
      <c r="N11" s="293"/>
      <c r="O11" s="294" t="e">
        <f>'[5]N_RHREF '!#REF!</f>
        <v>#REF!</v>
      </c>
      <c r="Q11" s="522" t="s">
        <v>610</v>
      </c>
      <c r="R11" s="522"/>
      <c r="S11" s="522"/>
      <c r="T11" s="522"/>
      <c r="U11" s="522"/>
      <c r="V11" s="522"/>
      <c r="W11" s="525">
        <f>N_VMETAS!K15</f>
        <v>3000</v>
      </c>
      <c r="X11" s="526"/>
    </row>
    <row r="12" spans="1:49" ht="28.9" customHeight="1" x14ac:dyDescent="0.3">
      <c r="C12" s="527" t="s">
        <v>582</v>
      </c>
      <c r="D12" s="527"/>
      <c r="E12" s="527"/>
      <c r="F12" s="527"/>
      <c r="G12" s="282">
        <v>450</v>
      </c>
      <c r="I12" s="287" t="s">
        <v>598</v>
      </c>
      <c r="J12" s="288">
        <v>4</v>
      </c>
      <c r="K12" s="289" t="e">
        <f>'[5]N_RHREF '!#REF!</f>
        <v>#REF!</v>
      </c>
      <c r="M12" s="293" t="s">
        <v>604</v>
      </c>
      <c r="N12" s="293"/>
      <c r="O12" s="294" t="e">
        <f>'[5]N_RHREF '!#REF!</f>
        <v>#REF!</v>
      </c>
      <c r="Q12" s="522" t="s">
        <v>611</v>
      </c>
      <c r="R12" s="522"/>
      <c r="S12" s="522"/>
      <c r="T12" s="522"/>
      <c r="U12" s="522"/>
      <c r="V12" s="522"/>
      <c r="W12" s="523">
        <f>(K29*L29)+(K30*L30)+(K31*L31)</f>
        <v>0</v>
      </c>
      <c r="X12" s="523"/>
    </row>
    <row r="13" spans="1:49" ht="28.9" customHeight="1" x14ac:dyDescent="0.3">
      <c r="C13" s="527" t="s">
        <v>583</v>
      </c>
      <c r="D13" s="527"/>
      <c r="E13" s="527"/>
      <c r="F13" s="527"/>
      <c r="G13" s="282">
        <v>4500</v>
      </c>
      <c r="I13" s="287" t="s">
        <v>599</v>
      </c>
      <c r="J13" s="288">
        <v>4</v>
      </c>
      <c r="K13" s="289" t="e">
        <f>'[5]N_RHREF '!#REF!</f>
        <v>#REF!</v>
      </c>
      <c r="Q13" s="522" t="s">
        <v>612</v>
      </c>
      <c r="R13" s="522"/>
      <c r="S13" s="522"/>
      <c r="T13" s="522"/>
      <c r="U13" s="522"/>
      <c r="V13" s="522"/>
      <c r="W13" s="523"/>
      <c r="X13" s="523"/>
    </row>
    <row r="14" spans="1:49" ht="28.9" customHeight="1" x14ac:dyDescent="0.3">
      <c r="C14" s="527" t="s">
        <v>584</v>
      </c>
      <c r="D14" s="527"/>
      <c r="E14" s="527"/>
      <c r="F14" s="527"/>
      <c r="G14" s="282">
        <v>37500</v>
      </c>
      <c r="J14" s="284"/>
      <c r="K14" s="285"/>
      <c r="M14" s="291" t="s">
        <v>605</v>
      </c>
      <c r="N14" s="151" t="s">
        <v>595</v>
      </c>
      <c r="O14" s="151" t="s">
        <v>596</v>
      </c>
      <c r="Q14" s="522" t="s">
        <v>613</v>
      </c>
      <c r="R14" s="522"/>
      <c r="S14" s="522"/>
      <c r="T14" s="522"/>
      <c r="U14" s="522"/>
      <c r="V14" s="522"/>
      <c r="W14" s="523"/>
      <c r="X14" s="523"/>
    </row>
    <row r="15" spans="1:49" ht="28.9" customHeight="1" x14ac:dyDescent="0.3">
      <c r="C15" s="527" t="s">
        <v>585</v>
      </c>
      <c r="D15" s="527"/>
      <c r="E15" s="527"/>
      <c r="F15" s="527"/>
      <c r="G15" s="282"/>
      <c r="I15" s="292" t="s">
        <v>600</v>
      </c>
      <c r="J15" s="292" t="s">
        <v>595</v>
      </c>
      <c r="K15" s="151" t="s">
        <v>596</v>
      </c>
      <c r="M15" s="287" t="s">
        <v>597</v>
      </c>
      <c r="N15" s="288"/>
      <c r="O15" s="289" t="e">
        <f>'[5]N_RHREF '!#REF!</f>
        <v>#REF!</v>
      </c>
    </row>
    <row r="16" spans="1:49" ht="28.9" customHeight="1" x14ac:dyDescent="0.3">
      <c r="C16" s="527" t="s">
        <v>586</v>
      </c>
      <c r="D16" s="527"/>
      <c r="E16" s="527"/>
      <c r="F16" s="527"/>
      <c r="G16" s="282"/>
      <c r="I16" s="293" t="s">
        <v>597</v>
      </c>
      <c r="J16" s="293"/>
      <c r="K16" s="294" t="e">
        <f>'[5]N_RHREF '!#REF!</f>
        <v>#REF!</v>
      </c>
      <c r="M16" s="287" t="s">
        <v>601</v>
      </c>
      <c r="N16" s="288"/>
      <c r="O16" s="289">
        <f>'[5]N_RHREF '!J1</f>
        <v>0</v>
      </c>
    </row>
    <row r="17" spans="3:15" ht="28.9" customHeight="1" x14ac:dyDescent="0.3">
      <c r="C17" s="527" t="s">
        <v>295</v>
      </c>
      <c r="D17" s="527"/>
      <c r="E17" s="527"/>
      <c r="F17" s="527"/>
      <c r="G17" s="282"/>
      <c r="I17" s="293" t="s">
        <v>601</v>
      </c>
      <c r="J17" s="293"/>
      <c r="K17" s="294" t="e">
        <f>'[5]N_RHREF '!#REF!</f>
        <v>#REF!</v>
      </c>
      <c r="M17" s="287" t="s">
        <v>599</v>
      </c>
      <c r="N17" s="288"/>
      <c r="O17" s="289">
        <f>'[5]N_RHREF '!J2</f>
        <v>0</v>
      </c>
    </row>
    <row r="18" spans="3:15" ht="28.9" customHeight="1" x14ac:dyDescent="0.3">
      <c r="C18" s="527" t="s">
        <v>587</v>
      </c>
      <c r="D18" s="527"/>
      <c r="E18" s="527"/>
      <c r="F18" s="527"/>
      <c r="G18" s="282">
        <v>130</v>
      </c>
      <c r="I18" s="293" t="s">
        <v>602</v>
      </c>
      <c r="J18" s="293"/>
      <c r="K18" s="294" t="e">
        <f>'[5]N_RHREF '!#REF!</f>
        <v>#REF!</v>
      </c>
    </row>
    <row r="19" spans="3:15" ht="28.9" customHeight="1" x14ac:dyDescent="0.3">
      <c r="C19" s="527" t="s">
        <v>588</v>
      </c>
      <c r="D19" s="527"/>
      <c r="E19" s="527"/>
      <c r="F19" s="527"/>
      <c r="G19" s="282">
        <v>45000</v>
      </c>
      <c r="J19" s="267"/>
      <c r="K19" s="286"/>
      <c r="M19" s="291" t="s">
        <v>606</v>
      </c>
      <c r="N19" s="151" t="s">
        <v>595</v>
      </c>
      <c r="O19" s="151" t="s">
        <v>596</v>
      </c>
    </row>
    <row r="20" spans="3:15" ht="28.9" customHeight="1" x14ac:dyDescent="0.3">
      <c r="C20" s="527" t="s">
        <v>589</v>
      </c>
      <c r="D20" s="527"/>
      <c r="E20" s="527"/>
      <c r="F20" s="527"/>
      <c r="G20" s="282"/>
      <c r="I20" s="292" t="s">
        <v>603</v>
      </c>
      <c r="J20" s="292" t="s">
        <v>595</v>
      </c>
      <c r="K20" s="151" t="s">
        <v>596</v>
      </c>
      <c r="M20" s="287" t="s">
        <v>597</v>
      </c>
      <c r="N20" s="288"/>
      <c r="O20" s="289">
        <f>'[5]N_RHREF '!J3</f>
        <v>0</v>
      </c>
    </row>
    <row r="21" spans="3:15" ht="28.9" customHeight="1" x14ac:dyDescent="0.3">
      <c r="C21" s="527" t="s">
        <v>590</v>
      </c>
      <c r="D21" s="527"/>
      <c r="E21" s="527"/>
      <c r="F21" s="527"/>
      <c r="G21" s="282"/>
      <c r="I21" s="293" t="s">
        <v>597</v>
      </c>
      <c r="J21" s="293"/>
      <c r="K21" s="294" t="e">
        <f>'[5]N_RHREF '!#REF!</f>
        <v>#REF!</v>
      </c>
      <c r="M21" s="287" t="s">
        <v>607</v>
      </c>
      <c r="N21" s="288"/>
      <c r="O21" s="289">
        <f>'[5]N_RHREF '!J4</f>
        <v>0</v>
      </c>
    </row>
    <row r="22" spans="3:15" ht="28.9" customHeight="1" x14ac:dyDescent="0.3">
      <c r="C22" s="527" t="s">
        <v>591</v>
      </c>
      <c r="D22" s="527"/>
      <c r="E22" s="527"/>
      <c r="F22" s="527"/>
      <c r="G22" s="282">
        <v>2500</v>
      </c>
      <c r="I22" s="293" t="s">
        <v>601</v>
      </c>
      <c r="J22" s="293"/>
      <c r="K22" s="294" t="e">
        <f>'[5]N_RHREF '!#REF!</f>
        <v>#REF!</v>
      </c>
      <c r="M22" s="287" t="s">
        <v>601</v>
      </c>
      <c r="N22" s="288"/>
      <c r="O22" s="289">
        <f>'[5]N_RHREF '!J5</f>
        <v>0</v>
      </c>
    </row>
    <row r="23" spans="3:15" ht="28.9" customHeight="1" x14ac:dyDescent="0.3">
      <c r="C23" s="527" t="s">
        <v>592</v>
      </c>
      <c r="D23" s="527"/>
      <c r="E23" s="527"/>
      <c r="F23" s="527"/>
      <c r="G23" s="282">
        <v>6000</v>
      </c>
      <c r="I23" s="293" t="s">
        <v>602</v>
      </c>
      <c r="J23" s="293"/>
      <c r="K23" s="294" t="e">
        <f>'[5]N_RHREF '!#REF!</f>
        <v>#REF!</v>
      </c>
      <c r="M23" s="293" t="s">
        <v>602</v>
      </c>
      <c r="N23" s="295"/>
      <c r="O23" s="296">
        <f>'[5]N_RHREF '!J6</f>
        <v>0</v>
      </c>
    </row>
    <row r="24" spans="3:15" ht="28.9" customHeight="1" x14ac:dyDescent="0.3">
      <c r="C24" s="527" t="s">
        <v>571</v>
      </c>
      <c r="D24" s="527"/>
      <c r="E24" s="527"/>
      <c r="F24" s="527"/>
      <c r="G24" s="282"/>
    </row>
    <row r="25" spans="3:15" ht="28.9" customHeight="1" x14ac:dyDescent="0.3">
      <c r="C25" s="527" t="s">
        <v>593</v>
      </c>
      <c r="D25" s="527"/>
      <c r="E25" s="527"/>
      <c r="F25" s="527"/>
      <c r="G25" s="282"/>
      <c r="M25" s="291" t="s">
        <v>608</v>
      </c>
      <c r="N25" s="151" t="s">
        <v>595</v>
      </c>
      <c r="O25" s="151" t="s">
        <v>596</v>
      </c>
    </row>
    <row r="26" spans="3:15" ht="28.9" customHeight="1" x14ac:dyDescent="0.3">
      <c r="M26" s="287" t="s">
        <v>597</v>
      </c>
      <c r="N26" s="288"/>
      <c r="O26" s="289">
        <f>'[5]N_RHREF '!J7</f>
        <v>0</v>
      </c>
    </row>
    <row r="27" spans="3:15" ht="28.9" customHeight="1" x14ac:dyDescent="0.3">
      <c r="M27" s="287" t="s">
        <v>607</v>
      </c>
      <c r="N27" s="288"/>
      <c r="O27" s="289">
        <f>'[5]N_RHREF '!J8</f>
        <v>0</v>
      </c>
    </row>
    <row r="28" spans="3:15" ht="28.9" customHeight="1" x14ac:dyDescent="0.3">
      <c r="M28" s="287" t="s">
        <v>599</v>
      </c>
      <c r="N28" s="288"/>
      <c r="O28" s="289">
        <f>'[5]N_RHREF '!J9</f>
        <v>2259.1999999999998</v>
      </c>
    </row>
    <row r="29" spans="3:15" ht="28.9" customHeight="1" x14ac:dyDescent="0.25"/>
    <row r="30" spans="3:15" ht="28.9" customHeight="1" x14ac:dyDescent="0.25"/>
    <row r="31" spans="3:15" ht="28.9" customHeight="1" x14ac:dyDescent="0.25"/>
    <row r="32" spans="3:15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5">
    <mergeCell ref="C19:F19"/>
    <mergeCell ref="C20:F20"/>
    <mergeCell ref="C11:F11"/>
    <mergeCell ref="C12:F12"/>
    <mergeCell ref="C13:F13"/>
    <mergeCell ref="C14:F14"/>
    <mergeCell ref="C10:G10"/>
    <mergeCell ref="C15:F15"/>
    <mergeCell ref="C16:F16"/>
    <mergeCell ref="C17:F17"/>
    <mergeCell ref="C18:F18"/>
    <mergeCell ref="C21:F21"/>
    <mergeCell ref="C22:F22"/>
    <mergeCell ref="C23:F23"/>
    <mergeCell ref="C24:F24"/>
    <mergeCell ref="C25:F25"/>
    <mergeCell ref="Q14:V14"/>
    <mergeCell ref="W14:X14"/>
    <mergeCell ref="Q10:X10"/>
    <mergeCell ref="Q11:V11"/>
    <mergeCell ref="W11:X11"/>
    <mergeCell ref="Q12:V12"/>
    <mergeCell ref="W12:X12"/>
    <mergeCell ref="Q13:V13"/>
    <mergeCell ref="W13:X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5">
    <tabColor rgb="FFF13FF5"/>
  </sheetPr>
  <dimension ref="A1:AW66"/>
  <sheetViews>
    <sheetView zoomScale="40" zoomScaleNormal="40" workbookViewId="0">
      <selection activeCell="K16" sqref="K16"/>
    </sheetView>
  </sheetViews>
  <sheetFormatPr defaultColWidth="8.85546875" defaultRowHeight="15" x14ac:dyDescent="0.25"/>
  <cols>
    <col min="1" max="4" width="8.85546875" style="100"/>
    <col min="5" max="5" width="72.28515625" style="100" bestFit="1" customWidth="1"/>
    <col min="6" max="6" width="23.28515625" style="100" bestFit="1" customWidth="1"/>
    <col min="7" max="7" width="26" style="100" customWidth="1"/>
    <col min="8" max="8" width="15.28515625" style="100" customWidth="1"/>
    <col min="9" max="9" width="22.85546875" style="100" bestFit="1" customWidth="1"/>
    <col min="10" max="10" width="81.7109375" style="100" bestFit="1" customWidth="1"/>
    <col min="11" max="11" width="22.42578125" style="100" customWidth="1"/>
    <col min="12" max="12" width="16.7109375" style="100" bestFit="1" customWidth="1"/>
    <col min="13" max="13" width="21" style="100" bestFit="1" customWidth="1"/>
    <col min="14" max="14" width="10.140625" style="100" bestFit="1" customWidth="1"/>
    <col min="15" max="15" width="21" style="100" bestFit="1" customWidth="1"/>
    <col min="16" max="16" width="25.140625" style="100" customWidth="1"/>
    <col min="17" max="17" width="15.5703125" style="100" customWidth="1"/>
    <col min="18" max="21" width="8.85546875" style="100"/>
    <col min="22" max="22" width="23.42578125" style="100" bestFit="1" customWidth="1"/>
    <col min="23" max="23" width="2.7109375" style="100" bestFit="1" customWidth="1"/>
    <col min="24" max="24" width="51.140625" style="100" customWidth="1"/>
    <col min="25" max="16384" width="8.85546875" style="100"/>
  </cols>
  <sheetData>
    <row r="1" spans="1:49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9" customHeight="1" x14ac:dyDescent="0.25"/>
    <row r="9" spans="1:49" ht="28.9" customHeight="1" x14ac:dyDescent="0.25"/>
    <row r="10" spans="1:49" ht="28.9" customHeight="1" x14ac:dyDescent="0.25">
      <c r="J10" s="291" t="s">
        <v>614</v>
      </c>
      <c r="K10" s="151" t="s">
        <v>615</v>
      </c>
      <c r="L10" s="151" t="s">
        <v>616</v>
      </c>
    </row>
    <row r="11" spans="1:49" ht="28.9" customHeight="1" x14ac:dyDescent="0.35">
      <c r="J11" s="293"/>
      <c r="K11" s="309"/>
      <c r="L11" s="310"/>
    </row>
    <row r="12" spans="1:49" ht="28.9" customHeight="1" x14ac:dyDescent="0.35">
      <c r="J12" s="311" t="s">
        <v>617</v>
      </c>
      <c r="K12" s="312">
        <f>N_VMETAS!K15</f>
        <v>3000</v>
      </c>
      <c r="L12" s="313"/>
    </row>
    <row r="13" spans="1:49" ht="28.9" customHeight="1" x14ac:dyDescent="0.25">
      <c r="J13" s="298"/>
      <c r="K13" s="299"/>
      <c r="L13" s="300"/>
    </row>
    <row r="14" spans="1:49" ht="28.9" customHeight="1" x14ac:dyDescent="0.25">
      <c r="J14" s="301"/>
      <c r="K14" s="302"/>
      <c r="L14" s="303"/>
    </row>
    <row r="15" spans="1:49" ht="28.9" customHeight="1" x14ac:dyDescent="0.35">
      <c r="J15" s="314" t="s">
        <v>618</v>
      </c>
      <c r="K15" s="309">
        <f>K12</f>
        <v>3000</v>
      </c>
      <c r="L15" s="281"/>
    </row>
    <row r="16" spans="1:49" ht="28.9" customHeight="1" x14ac:dyDescent="0.35">
      <c r="J16" s="314" t="s">
        <v>619</v>
      </c>
      <c r="K16" s="297"/>
      <c r="L16" s="281"/>
    </row>
    <row r="17" spans="10:12" ht="28.9" customHeight="1" x14ac:dyDescent="0.35">
      <c r="J17" s="315" t="s">
        <v>620</v>
      </c>
      <c r="K17" s="304"/>
      <c r="L17" s="305"/>
    </row>
    <row r="18" spans="10:12" ht="28.9" customHeight="1" x14ac:dyDescent="0.25">
      <c r="J18" s="306"/>
      <c r="K18" s="307"/>
      <c r="L18" s="308"/>
    </row>
    <row r="19" spans="10:12" ht="28.9" customHeight="1" x14ac:dyDescent="0.25">
      <c r="J19" s="532" t="s">
        <v>621</v>
      </c>
      <c r="K19" s="533"/>
      <c r="L19" s="534"/>
    </row>
    <row r="20" spans="10:12" ht="28.9" customHeight="1" x14ac:dyDescent="0.3">
      <c r="J20" s="293" t="s">
        <v>622</v>
      </c>
      <c r="K20" s="309">
        <f>[5]N_CUSTOFIXOEVARIAVEL!Q20</f>
        <v>0</v>
      </c>
      <c r="L20" s="309"/>
    </row>
    <row r="21" spans="10:12" ht="28.9" customHeight="1" x14ac:dyDescent="0.3">
      <c r="J21" s="293" t="s">
        <v>623</v>
      </c>
      <c r="K21" s="309">
        <f>[5]N_CUSTOFIXOEVARIAVEL!Q21</f>
        <v>0</v>
      </c>
      <c r="L21" s="309"/>
    </row>
    <row r="22" spans="10:12" ht="28.9" customHeight="1" x14ac:dyDescent="0.35">
      <c r="J22" s="293" t="s">
        <v>584</v>
      </c>
      <c r="K22" s="309">
        <f>[5]N_CUSTOFIXOEVARIAVEL!Q22</f>
        <v>0</v>
      </c>
      <c r="L22" s="310"/>
    </row>
    <row r="23" spans="10:12" ht="28.9" customHeight="1" x14ac:dyDescent="0.35">
      <c r="J23" s="293" t="s">
        <v>624</v>
      </c>
      <c r="K23" s="309"/>
      <c r="L23" s="310"/>
    </row>
    <row r="24" spans="10:12" ht="28.9" customHeight="1" x14ac:dyDescent="0.35">
      <c r="J24" s="293" t="s">
        <v>625</v>
      </c>
      <c r="K24" s="309"/>
      <c r="L24" s="310"/>
    </row>
    <row r="25" spans="10:12" ht="28.9" customHeight="1" x14ac:dyDescent="0.3">
      <c r="J25" s="293" t="s">
        <v>626</v>
      </c>
      <c r="K25" s="309"/>
      <c r="L25" s="309"/>
    </row>
    <row r="26" spans="10:12" ht="28.9" customHeight="1" x14ac:dyDescent="0.3">
      <c r="J26" s="293" t="s">
        <v>627</v>
      </c>
      <c r="K26" s="316">
        <f>[5]N_CUSTOFIXOEVARIAVEL!Q26</f>
        <v>0</v>
      </c>
      <c r="L26" s="309"/>
    </row>
    <row r="27" spans="10:12" ht="28.9" customHeight="1" x14ac:dyDescent="0.3">
      <c r="J27" s="293" t="s">
        <v>628</v>
      </c>
      <c r="K27" s="309">
        <f>[5]N_CUSTOFIXOEVARIAVEL!Q27</f>
        <v>0</v>
      </c>
      <c r="L27" s="309"/>
    </row>
    <row r="28" spans="10:12" ht="28.9" customHeight="1" x14ac:dyDescent="0.3">
      <c r="J28" s="293" t="s">
        <v>629</v>
      </c>
      <c r="K28" s="309"/>
      <c r="L28" s="309"/>
    </row>
    <row r="29" spans="10:12" ht="28.9" customHeight="1" x14ac:dyDescent="0.3">
      <c r="J29" s="293" t="s">
        <v>630</v>
      </c>
      <c r="K29" s="309"/>
      <c r="L29" s="309"/>
    </row>
    <row r="30" spans="10:12" ht="28.9" customHeight="1" x14ac:dyDescent="0.3">
      <c r="J30" s="293" t="s">
        <v>631</v>
      </c>
      <c r="K30" s="309">
        <f>[5]N_CUSTOFIXOEVARIAVEL!Q30</f>
        <v>0</v>
      </c>
      <c r="L30" s="309"/>
    </row>
    <row r="31" spans="10:12" ht="28.9" customHeight="1" x14ac:dyDescent="0.3">
      <c r="J31" s="293" t="s">
        <v>632</v>
      </c>
      <c r="K31" s="309">
        <f>[5]N_CUSTOFIXOEVARIAVEL!Q31</f>
        <v>0</v>
      </c>
      <c r="L31" s="309"/>
    </row>
    <row r="32" spans="10:12" ht="28.9" customHeight="1" x14ac:dyDescent="0.3">
      <c r="J32" s="293" t="s">
        <v>633</v>
      </c>
      <c r="K32" s="309"/>
      <c r="L32" s="309"/>
    </row>
    <row r="33" spans="10:12" ht="28.9" customHeight="1" x14ac:dyDescent="0.3">
      <c r="J33" s="293" t="s">
        <v>634</v>
      </c>
      <c r="K33" s="309"/>
      <c r="L33" s="309"/>
    </row>
    <row r="34" spans="10:12" ht="28.9" customHeight="1" x14ac:dyDescent="0.3">
      <c r="J34" s="293" t="s">
        <v>635</v>
      </c>
      <c r="K34" s="309"/>
      <c r="L34" s="309"/>
    </row>
    <row r="35" spans="10:12" ht="28.9" customHeight="1" x14ac:dyDescent="0.3">
      <c r="J35" s="293" t="s">
        <v>636</v>
      </c>
      <c r="K35" s="309"/>
      <c r="L35" s="309"/>
    </row>
    <row r="36" spans="10:12" ht="28.9" customHeight="1" x14ac:dyDescent="0.3">
      <c r="J36" s="293" t="s">
        <v>637</v>
      </c>
      <c r="K36" s="309"/>
      <c r="L36" s="309"/>
    </row>
    <row r="37" spans="10:12" ht="28.9" customHeight="1" x14ac:dyDescent="0.3">
      <c r="J37" s="293" t="s">
        <v>638</v>
      </c>
      <c r="K37" s="309"/>
      <c r="L37" s="309"/>
    </row>
    <row r="38" spans="10:12" ht="28.9" customHeight="1" x14ac:dyDescent="0.3">
      <c r="J38" s="293" t="s">
        <v>639</v>
      </c>
      <c r="K38" s="309"/>
      <c r="L38" s="309"/>
    </row>
    <row r="39" spans="10:12" ht="28.9" customHeight="1" x14ac:dyDescent="0.3">
      <c r="J39" s="293" t="s">
        <v>640</v>
      </c>
      <c r="K39" s="309"/>
      <c r="L39" s="309"/>
    </row>
    <row r="40" spans="10:12" ht="28.9" customHeight="1" x14ac:dyDescent="0.25"/>
    <row r="41" spans="10:12" ht="28.9" customHeight="1" x14ac:dyDescent="0.25"/>
    <row r="42" spans="10:12" ht="28.9" customHeight="1" x14ac:dyDescent="0.25"/>
    <row r="43" spans="10:12" ht="28.9" customHeight="1" x14ac:dyDescent="0.25"/>
    <row r="44" spans="10:12" ht="28.9" customHeight="1" x14ac:dyDescent="0.25"/>
    <row r="45" spans="10:12" ht="28.9" customHeight="1" x14ac:dyDescent="0.25"/>
    <row r="46" spans="10:12" ht="28.9" customHeight="1" x14ac:dyDescent="0.25"/>
    <row r="47" spans="10:12" ht="28.9" customHeight="1" x14ac:dyDescent="0.25"/>
    <row r="48" spans="10:12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J19:L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6">
    <tabColor rgb="FFF13FF5"/>
  </sheetPr>
  <dimension ref="A1:AU66"/>
  <sheetViews>
    <sheetView zoomScale="40" zoomScaleNormal="40" workbookViewId="0">
      <selection activeCell="I12" sqref="I12"/>
    </sheetView>
  </sheetViews>
  <sheetFormatPr defaultColWidth="8.85546875" defaultRowHeight="15" x14ac:dyDescent="0.25"/>
  <cols>
    <col min="1" max="4" width="8.85546875" style="100"/>
    <col min="5" max="5" width="72.28515625" style="100" bestFit="1" customWidth="1"/>
    <col min="6" max="6" width="23.28515625" style="100" bestFit="1" customWidth="1"/>
    <col min="7" max="7" width="26" style="100" customWidth="1"/>
    <col min="8" max="8" width="32.28515625" style="100" bestFit="1" customWidth="1"/>
    <col min="9" max="9" width="22.85546875" style="100" bestFit="1" customWidth="1"/>
    <col min="10" max="10" width="49.5703125" style="100" customWidth="1"/>
    <col min="11" max="11" width="22.42578125" style="100" customWidth="1"/>
    <col min="12" max="12" width="36.5703125" style="100" bestFit="1" customWidth="1"/>
    <col min="13" max="13" width="21" style="100" bestFit="1" customWidth="1"/>
    <col min="14" max="14" width="25.140625" style="100" customWidth="1"/>
    <col min="15" max="15" width="15.5703125" style="100" customWidth="1"/>
    <col min="16" max="19" width="8.85546875" style="100"/>
    <col min="20" max="20" width="23.42578125" style="100" bestFit="1" customWidth="1"/>
    <col min="21" max="21" width="2.7109375" style="100" bestFit="1" customWidth="1"/>
    <col min="22" max="22" width="51.140625" style="100" customWidth="1"/>
    <col min="23" max="16384" width="8.85546875" style="100"/>
  </cols>
  <sheetData>
    <row r="1" spans="1:47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</row>
    <row r="5" spans="1:47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</row>
    <row r="6" spans="1:47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</row>
    <row r="7" spans="1:47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</row>
    <row r="8" spans="1:47" ht="28.9" customHeight="1" x14ac:dyDescent="0.25"/>
    <row r="9" spans="1:47" ht="28.9" customHeight="1" x14ac:dyDescent="0.25"/>
    <row r="10" spans="1:47" ht="28.9" customHeight="1" x14ac:dyDescent="0.25"/>
    <row r="11" spans="1:47" ht="28.9" customHeight="1" x14ac:dyDescent="0.25">
      <c r="H11" s="291" t="s">
        <v>9</v>
      </c>
      <c r="I11" s="151" t="s">
        <v>595</v>
      </c>
      <c r="J11" s="292" t="s">
        <v>641</v>
      </c>
      <c r="K11" s="318"/>
      <c r="L11" s="291" t="s">
        <v>11</v>
      </c>
      <c r="M11" s="151" t="s">
        <v>595</v>
      </c>
      <c r="N11" s="292" t="s">
        <v>641</v>
      </c>
    </row>
    <row r="12" spans="1:47" ht="28.9" customHeight="1" x14ac:dyDescent="0.35">
      <c r="H12" s="293" t="s">
        <v>3</v>
      </c>
      <c r="I12" s="319">
        <f>[5]N_PRODREQ!N31</f>
        <v>0</v>
      </c>
      <c r="J12" s="309"/>
      <c r="L12" s="293" t="s">
        <v>3</v>
      </c>
      <c r="M12" s="319"/>
      <c r="N12" s="309"/>
    </row>
    <row r="13" spans="1:47" ht="28.9" customHeight="1" x14ac:dyDescent="0.35">
      <c r="H13" s="293" t="s">
        <v>4</v>
      </c>
      <c r="I13" s="319">
        <f>[5]N_PRODREQ!N33</f>
        <v>0</v>
      </c>
      <c r="J13" s="309"/>
      <c r="L13" s="293" t="s">
        <v>4</v>
      </c>
      <c r="M13" s="319"/>
      <c r="N13" s="309"/>
    </row>
    <row r="14" spans="1:47" ht="28.9" customHeight="1" x14ac:dyDescent="0.35">
      <c r="H14" s="293" t="s">
        <v>642</v>
      </c>
      <c r="I14" s="319">
        <f>[5]N_PRODREQ!N35</f>
        <v>0</v>
      </c>
      <c r="J14" s="310"/>
      <c r="L14" s="293" t="s">
        <v>642</v>
      </c>
      <c r="M14" s="319"/>
      <c r="N14" s="310"/>
    </row>
    <row r="15" spans="1:47" ht="28.9" customHeight="1" x14ac:dyDescent="0.35">
      <c r="H15" s="293" t="s">
        <v>643</v>
      </c>
      <c r="I15" s="319">
        <f>[5]N_PRODREQ!N37</f>
        <v>0</v>
      </c>
      <c r="J15" s="310"/>
      <c r="L15" s="293" t="s">
        <v>643</v>
      </c>
      <c r="M15" s="319"/>
      <c r="N15" s="310"/>
    </row>
    <row r="16" spans="1:47" ht="28.9" customHeight="1" x14ac:dyDescent="0.35">
      <c r="H16" s="293" t="s">
        <v>644</v>
      </c>
      <c r="I16" s="319">
        <f>[5]N_PRODREQ!N39</f>
        <v>0</v>
      </c>
      <c r="J16" s="310"/>
      <c r="L16" s="293" t="s">
        <v>644</v>
      </c>
      <c r="M16" s="319"/>
      <c r="N16" s="310"/>
    </row>
    <row r="17" spans="8:14" ht="28.9" customHeight="1" x14ac:dyDescent="0.25"/>
    <row r="18" spans="8:14" ht="28.9" customHeight="1" x14ac:dyDescent="0.25"/>
    <row r="19" spans="8:14" ht="28.9" customHeight="1" x14ac:dyDescent="0.25">
      <c r="H19" s="291" t="s">
        <v>645</v>
      </c>
      <c r="I19" s="151" t="s">
        <v>595</v>
      </c>
      <c r="J19" s="292" t="s">
        <v>641</v>
      </c>
      <c r="K19" s="318"/>
      <c r="L19" s="291" t="s">
        <v>10</v>
      </c>
      <c r="M19" s="151" t="s">
        <v>595</v>
      </c>
      <c r="N19" s="292" t="s">
        <v>641</v>
      </c>
    </row>
    <row r="20" spans="8:14" ht="28.9" customHeight="1" x14ac:dyDescent="0.35">
      <c r="H20" s="293" t="s">
        <v>3</v>
      </c>
      <c r="I20" s="319"/>
      <c r="J20" s="309"/>
      <c r="L20" s="293" t="s">
        <v>3</v>
      </c>
      <c r="M20" s="319"/>
      <c r="N20" s="309"/>
    </row>
    <row r="21" spans="8:14" ht="28.9" customHeight="1" x14ac:dyDescent="0.35">
      <c r="H21" s="293" t="s">
        <v>4</v>
      </c>
      <c r="I21" s="319"/>
      <c r="J21" s="309"/>
      <c r="L21" s="293" t="s">
        <v>4</v>
      </c>
      <c r="M21" s="319"/>
      <c r="N21" s="309"/>
    </row>
    <row r="22" spans="8:14" ht="28.9" customHeight="1" x14ac:dyDescent="0.35">
      <c r="H22" s="293" t="s">
        <v>642</v>
      </c>
      <c r="I22" s="319"/>
      <c r="J22" s="310"/>
      <c r="L22" s="293" t="s">
        <v>642</v>
      </c>
      <c r="M22" s="319"/>
      <c r="N22" s="310"/>
    </row>
    <row r="23" spans="8:14" ht="28.9" customHeight="1" x14ac:dyDescent="0.35">
      <c r="H23" s="293" t="s">
        <v>643</v>
      </c>
      <c r="I23" s="319"/>
      <c r="J23" s="310"/>
      <c r="L23" s="293" t="s">
        <v>643</v>
      </c>
      <c r="M23" s="319"/>
      <c r="N23" s="310"/>
    </row>
    <row r="24" spans="8:14" ht="28.9" customHeight="1" x14ac:dyDescent="0.35">
      <c r="H24" s="293" t="s">
        <v>644</v>
      </c>
      <c r="I24" s="319"/>
      <c r="J24" s="310"/>
      <c r="L24" s="293" t="s">
        <v>644</v>
      </c>
      <c r="M24" s="319"/>
      <c r="N24" s="310"/>
    </row>
    <row r="25" spans="8:14" ht="28.9" customHeight="1" x14ac:dyDescent="0.25"/>
    <row r="26" spans="8:14" ht="28.9" customHeight="1" x14ac:dyDescent="0.25"/>
    <row r="27" spans="8:14" ht="28.9" customHeight="1" x14ac:dyDescent="0.25"/>
    <row r="28" spans="8:14" ht="28.9" customHeight="1" x14ac:dyDescent="0.25"/>
    <row r="29" spans="8:14" ht="28.9" customHeight="1" x14ac:dyDescent="0.25"/>
    <row r="30" spans="8:14" ht="28.9" customHeight="1" x14ac:dyDescent="0.25"/>
    <row r="31" spans="8:14" ht="28.9" customHeight="1" x14ac:dyDescent="0.25"/>
    <row r="32" spans="8:14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5">
    <tabColor rgb="FF171717"/>
  </sheetPr>
  <dimension ref="A1:AU66"/>
  <sheetViews>
    <sheetView zoomScale="40" zoomScaleNormal="40" workbookViewId="0">
      <selection activeCell="F19" sqref="F19"/>
    </sheetView>
  </sheetViews>
  <sheetFormatPr defaultColWidth="8.85546875" defaultRowHeight="15" x14ac:dyDescent="0.25"/>
  <cols>
    <col min="1" max="4" width="8.85546875" style="100"/>
    <col min="5" max="5" width="72.28515625" style="100" bestFit="1" customWidth="1"/>
    <col min="6" max="6" width="41.5703125" style="100" bestFit="1" customWidth="1"/>
    <col min="7" max="7" width="26" style="100" customWidth="1"/>
    <col min="8" max="8" width="32.28515625" style="100" bestFit="1" customWidth="1"/>
    <col min="9" max="9" width="22.85546875" style="100" bestFit="1" customWidth="1"/>
    <col min="10" max="10" width="26.7109375" style="100" customWidth="1"/>
    <col min="11" max="11" width="32.140625" style="100" bestFit="1" customWidth="1"/>
    <col min="12" max="12" width="36.5703125" style="100" bestFit="1" customWidth="1"/>
    <col min="13" max="13" width="21" style="100" bestFit="1" customWidth="1"/>
    <col min="14" max="14" width="25.140625" style="100" customWidth="1"/>
    <col min="15" max="15" width="15.5703125" style="100" customWidth="1"/>
    <col min="16" max="19" width="8.85546875" style="100"/>
    <col min="20" max="20" width="23.42578125" style="100" bestFit="1" customWidth="1"/>
    <col min="21" max="21" width="2.7109375" style="100" bestFit="1" customWidth="1"/>
    <col min="22" max="22" width="51.140625" style="100" customWidth="1"/>
    <col min="23" max="16384" width="8.85546875" style="100"/>
  </cols>
  <sheetData>
    <row r="1" spans="1:47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</row>
    <row r="5" spans="1:47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</row>
    <row r="6" spans="1:47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</row>
    <row r="7" spans="1:47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</row>
    <row r="8" spans="1:47" ht="28.9" customHeight="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</row>
    <row r="9" spans="1:47" ht="28.9" customHeight="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</row>
    <row r="10" spans="1:47" ht="28.9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</row>
    <row r="11" spans="1:47" ht="28.9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</row>
    <row r="12" spans="1:47" ht="28.9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</row>
    <row r="13" spans="1:47" ht="28.9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</row>
    <row r="14" spans="1:47" ht="28.9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</row>
    <row r="15" spans="1:47" ht="28.9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</row>
    <row r="16" spans="1:47" ht="28.9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</row>
    <row r="17" spans="1:26" ht="28.9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</row>
    <row r="18" spans="1:26" ht="28.9" customHeight="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</row>
    <row r="19" spans="1:26" ht="28.9" customHeigh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</row>
    <row r="20" spans="1:26" ht="28.9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</row>
    <row r="21" spans="1:26" ht="28.9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</row>
    <row r="22" spans="1:26" ht="28.9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</row>
    <row r="23" spans="1:26" ht="28.9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</row>
    <row r="24" spans="1:26" ht="28.9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</row>
    <row r="25" spans="1:26" ht="28.9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</row>
    <row r="26" spans="1:26" ht="28.9" customHeight="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</row>
    <row r="27" spans="1:26" ht="28.9" customHeight="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</row>
    <row r="28" spans="1:26" ht="28.9" customHeight="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</row>
    <row r="29" spans="1:26" ht="28.9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</row>
    <row r="30" spans="1:26" ht="28.9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</row>
    <row r="31" spans="1:26" ht="28.9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</row>
    <row r="32" spans="1:26" ht="28.9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</row>
    <row r="33" spans="1:26" ht="28.9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</row>
    <row r="34" spans="1:26" ht="28.9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</row>
    <row r="35" spans="1:26" ht="28.9" customHeight="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</row>
    <row r="36" spans="1:26" ht="28.9" customHeight="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</row>
    <row r="37" spans="1:26" ht="28.9" customHeight="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</row>
    <row r="38" spans="1:26" ht="28.9" customHeight="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</row>
    <row r="39" spans="1:26" ht="28.9" customHeight="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</row>
    <row r="40" spans="1:26" ht="28.9" customHeight="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</row>
    <row r="41" spans="1:26" ht="28.9" customHeight="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</row>
    <row r="42" spans="1:26" ht="28.9" customHeight="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</row>
    <row r="43" spans="1:26" ht="28.9" customHeight="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</row>
    <row r="44" spans="1:26" ht="28.9" customHeight="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</row>
    <row r="45" spans="1:26" ht="28.9" customHeight="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</row>
    <row r="46" spans="1:26" ht="28.9" customHeight="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</row>
    <row r="47" spans="1:26" ht="28.9" customHeight="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</row>
    <row r="48" spans="1:26" ht="28.9" customHeight="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</row>
    <row r="49" spans="1:26" ht="28.9" customHeight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</row>
    <row r="50" spans="1:26" ht="28.9" customHeight="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</row>
    <row r="51" spans="1:26" ht="28.9" customHeight="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</row>
    <row r="52" spans="1:26" ht="28.9" customHeight="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</row>
    <row r="53" spans="1:26" ht="28.9" customHeight="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</row>
    <row r="54" spans="1:26" ht="28.9" customHeight="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</row>
    <row r="55" spans="1:26" ht="28.9" customHeight="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</row>
    <row r="56" spans="1:26" ht="28.9" customHeight="1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</row>
    <row r="57" spans="1:26" ht="28.9" customHeight="1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</row>
    <row r="58" spans="1:26" ht="28.9" customHeight="1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</row>
    <row r="59" spans="1:26" ht="28.9" customHeight="1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</row>
    <row r="60" spans="1:26" ht="28.9" customHeight="1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</row>
    <row r="61" spans="1:26" ht="28.9" customHeight="1" x14ac:dyDescent="0.2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</row>
    <row r="62" spans="1:26" ht="28.9" customHeight="1" x14ac:dyDescent="0.2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</row>
    <row r="63" spans="1:26" ht="28.9" customHeight="1" x14ac:dyDescent="0.25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</row>
    <row r="64" spans="1:26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7">
    <tabColor rgb="FF171717"/>
  </sheetPr>
  <dimension ref="A1:AU66"/>
  <sheetViews>
    <sheetView zoomScale="40" zoomScaleNormal="40" workbookViewId="0">
      <selection activeCell="G18" sqref="G18"/>
    </sheetView>
  </sheetViews>
  <sheetFormatPr defaultColWidth="8.85546875" defaultRowHeight="15" x14ac:dyDescent="0.25"/>
  <cols>
    <col min="1" max="4" width="8.85546875" style="100"/>
    <col min="5" max="5" width="72.28515625" style="100" bestFit="1" customWidth="1"/>
    <col min="6" max="6" width="41.5703125" style="100" bestFit="1" customWidth="1"/>
    <col min="7" max="7" width="26" style="100" customWidth="1"/>
    <col min="8" max="8" width="32.28515625" style="100" bestFit="1" customWidth="1"/>
    <col min="9" max="9" width="22.85546875" style="100" bestFit="1" customWidth="1"/>
    <col min="10" max="10" width="26.7109375" style="100" customWidth="1"/>
    <col min="11" max="11" width="32.140625" style="100" bestFit="1" customWidth="1"/>
    <col min="12" max="12" width="36.5703125" style="100" bestFit="1" customWidth="1"/>
    <col min="13" max="13" width="21" style="100" bestFit="1" customWidth="1"/>
    <col min="14" max="14" width="25.140625" style="100" customWidth="1"/>
    <col min="15" max="15" width="15.5703125" style="100" customWidth="1"/>
    <col min="16" max="19" width="8.85546875" style="100"/>
    <col min="20" max="20" width="23.42578125" style="100" bestFit="1" customWidth="1"/>
    <col min="21" max="21" width="2.7109375" style="100" bestFit="1" customWidth="1"/>
    <col min="22" max="22" width="51.140625" style="100" customWidth="1"/>
    <col min="23" max="16384" width="8.85546875" style="100"/>
  </cols>
  <sheetData>
    <row r="1" spans="1:47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</row>
    <row r="5" spans="1:47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</row>
    <row r="6" spans="1:47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</row>
    <row r="7" spans="1:47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</row>
    <row r="8" spans="1:47" ht="28.9" customHeight="1" x14ac:dyDescent="0.25"/>
    <row r="9" spans="1:47" ht="28.9" customHeight="1" x14ac:dyDescent="0.25"/>
    <row r="10" spans="1:47" ht="28.9" customHeight="1" x14ac:dyDescent="0.25"/>
    <row r="11" spans="1:47" ht="28.9" customHeight="1" x14ac:dyDescent="0.25"/>
    <row r="12" spans="1:47" ht="28.9" customHeight="1" x14ac:dyDescent="0.25">
      <c r="F12" s="320"/>
      <c r="G12" s="535" t="s">
        <v>283</v>
      </c>
      <c r="H12" s="535"/>
      <c r="K12" s="320"/>
      <c r="L12" s="535" t="s">
        <v>283</v>
      </c>
      <c r="M12" s="535"/>
    </row>
    <row r="13" spans="1:47" ht="28.9" customHeight="1" x14ac:dyDescent="0.25">
      <c r="F13" s="323" t="s">
        <v>282</v>
      </c>
      <c r="G13" s="324" t="s">
        <v>646</v>
      </c>
      <c r="H13" s="324" t="s">
        <v>647</v>
      </c>
      <c r="K13" s="323" t="s">
        <v>648</v>
      </c>
      <c r="L13" s="324" t="s">
        <v>646</v>
      </c>
      <c r="M13" s="324" t="s">
        <v>647</v>
      </c>
    </row>
    <row r="14" spans="1:47" ht="28.9" customHeight="1" x14ac:dyDescent="0.25">
      <c r="F14" s="322" t="s">
        <v>645</v>
      </c>
      <c r="G14" s="325"/>
      <c r="H14" s="326">
        <f ca="1">SUMIF(N_VRELCOM!E9:E14,'B1'!F14,N_VRELCOM!G9:G13)</f>
        <v>20</v>
      </c>
      <c r="K14" s="322" t="s">
        <v>3</v>
      </c>
      <c r="L14" s="321"/>
      <c r="M14" s="321"/>
    </row>
    <row r="15" spans="1:47" ht="28.9" customHeight="1" x14ac:dyDescent="0.25">
      <c r="F15" s="322" t="s">
        <v>9</v>
      </c>
      <c r="G15" s="326"/>
      <c r="H15" s="326">
        <f ca="1">SUMIF(N_VRELCOM!E9:E27,'B1'!F15,N_VRELCOM!F9:F14)</f>
        <v>35</v>
      </c>
      <c r="K15" s="322" t="s">
        <v>4</v>
      </c>
      <c r="L15" s="321"/>
      <c r="M15" s="321"/>
    </row>
    <row r="16" spans="1:47" ht="28.9" customHeight="1" x14ac:dyDescent="0.25">
      <c r="F16" s="322" t="s">
        <v>10</v>
      </c>
      <c r="G16" s="326"/>
      <c r="H16" s="326">
        <f ca="1">SUMIF(N_VRELCOM!E10:E28,'B1'!F16,N_VRELCOM!F10:F15)</f>
        <v>5</v>
      </c>
      <c r="K16" s="322" t="s">
        <v>5</v>
      </c>
      <c r="L16" s="321"/>
      <c r="M16" s="321"/>
    </row>
    <row r="17" spans="6:13" ht="28.9" customHeight="1" x14ac:dyDescent="0.25">
      <c r="F17" s="322" t="s">
        <v>11</v>
      </c>
      <c r="G17" s="326"/>
      <c r="H17" s="326">
        <f ca="1">SUMIF(N_VRELCOM!E11:E29,'B1'!F17,N_VRELCOM!F11:F16)</f>
        <v>60</v>
      </c>
      <c r="K17" s="322" t="s">
        <v>6</v>
      </c>
      <c r="L17" s="321"/>
      <c r="M17" s="321"/>
    </row>
    <row r="18" spans="6:13" ht="28.9" customHeight="1" x14ac:dyDescent="0.25">
      <c r="K18" s="322" t="s">
        <v>7</v>
      </c>
      <c r="L18" s="256"/>
      <c r="M18" s="256"/>
    </row>
    <row r="19" spans="6:13" ht="28.9" customHeight="1" x14ac:dyDescent="0.25"/>
    <row r="20" spans="6:13" ht="28.9" customHeight="1" x14ac:dyDescent="0.25"/>
    <row r="21" spans="6:13" ht="28.9" customHeight="1" x14ac:dyDescent="0.25"/>
    <row r="22" spans="6:13" ht="28.9" customHeight="1" x14ac:dyDescent="0.25"/>
    <row r="23" spans="6:13" ht="28.9" customHeight="1" x14ac:dyDescent="0.25"/>
    <row r="24" spans="6:13" ht="28.9" customHeight="1" x14ac:dyDescent="0.25"/>
    <row r="25" spans="6:13" ht="28.9" customHeight="1" x14ac:dyDescent="0.25"/>
    <row r="26" spans="6:13" ht="28.9" customHeight="1" x14ac:dyDescent="0.25"/>
    <row r="27" spans="6:13" ht="28.9" customHeight="1" x14ac:dyDescent="0.25"/>
    <row r="28" spans="6:13" ht="28.9" customHeight="1" x14ac:dyDescent="0.25"/>
    <row r="29" spans="6:13" ht="28.9" customHeight="1" x14ac:dyDescent="0.25"/>
    <row r="30" spans="6:13" ht="28.9" customHeight="1" x14ac:dyDescent="0.25"/>
    <row r="31" spans="6:13" ht="28.9" customHeight="1" x14ac:dyDescent="0.25"/>
    <row r="32" spans="6:13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G12:H12"/>
    <mergeCell ref="L12:M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9">
    <tabColor rgb="FFFF0000"/>
  </sheetPr>
  <dimension ref="A1:AF40"/>
  <sheetViews>
    <sheetView showGridLines="0" zoomScale="40" zoomScaleNormal="40" workbookViewId="0">
      <selection activeCell="C20" sqref="C20:E21"/>
    </sheetView>
  </sheetViews>
  <sheetFormatPr defaultColWidth="8.85546875" defaultRowHeight="15" x14ac:dyDescent="0.25"/>
  <cols>
    <col min="1" max="1" width="8.85546875" style="100"/>
    <col min="2" max="2" width="31" style="100" customWidth="1"/>
    <col min="3" max="3" width="59.85546875" style="100" customWidth="1"/>
    <col min="4" max="4" width="47.28515625" style="100" customWidth="1"/>
    <col min="5" max="5" width="52.140625" style="100" customWidth="1"/>
    <col min="6" max="6" width="41.5703125" style="100" customWidth="1"/>
    <col min="7" max="7" width="25.5703125" style="100" customWidth="1"/>
    <col min="8" max="8" width="27.5703125" style="100" customWidth="1"/>
    <col min="9" max="10" width="47.85546875" style="100" customWidth="1"/>
    <col min="11" max="11" width="33" style="100" customWidth="1"/>
    <col min="12" max="12" width="36" style="100" customWidth="1"/>
    <col min="13" max="13" width="28" style="100" bestFit="1" customWidth="1"/>
    <col min="14" max="14" width="30" style="100" customWidth="1"/>
    <col min="15" max="15" width="31" style="100" bestFit="1" customWidth="1"/>
    <col min="16" max="16" width="26.85546875" style="100" customWidth="1"/>
    <col min="17" max="17" width="14.5703125" style="100" customWidth="1"/>
    <col min="18" max="18" width="27" style="100" customWidth="1"/>
    <col min="19" max="19" width="13.28515625" style="100" customWidth="1"/>
    <col min="20" max="16384" width="8.85546875" style="100"/>
  </cols>
  <sheetData>
    <row r="1" spans="1:32" ht="61.5" customHeight="1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</row>
    <row r="2" spans="1:32" ht="46.15" customHeight="1" x14ac:dyDescent="0.25">
      <c r="A2" s="536"/>
      <c r="B2" s="536"/>
      <c r="C2" s="536"/>
      <c r="D2" s="536"/>
      <c r="E2" s="536"/>
      <c r="F2" s="536"/>
      <c r="G2" s="536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36"/>
      <c r="U2" s="536"/>
      <c r="V2" s="536"/>
      <c r="W2" s="536"/>
      <c r="X2" s="536"/>
      <c r="Y2" s="536"/>
      <c r="Z2" s="536"/>
      <c r="AA2" s="536"/>
      <c r="AB2" s="536"/>
      <c r="AC2" s="536"/>
      <c r="AD2" s="536"/>
      <c r="AE2" s="536"/>
      <c r="AF2" s="536"/>
    </row>
    <row r="4" spans="1:32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32" ht="21" thickBot="1" x14ac:dyDescent="0.35">
      <c r="B5" s="420"/>
      <c r="C5" s="424"/>
      <c r="D5" s="537"/>
      <c r="E5" s="537"/>
      <c r="F5" s="420"/>
      <c r="G5" s="420"/>
      <c r="H5" s="424"/>
      <c r="I5" s="537"/>
      <c r="J5" s="537"/>
      <c r="K5" s="537"/>
      <c r="L5" s="420"/>
      <c r="M5" s="416"/>
      <c r="N5" s="416"/>
      <c r="O5" s="416"/>
      <c r="P5" s="416"/>
      <c r="Q5" s="416"/>
      <c r="R5" s="416"/>
      <c r="S5" s="416"/>
      <c r="T5" s="416"/>
    </row>
    <row r="6" spans="1:32" ht="20.25" x14ac:dyDescent="0.3">
      <c r="C6" s="538" t="s">
        <v>361</v>
      </c>
      <c r="D6" s="538"/>
      <c r="E6" s="538"/>
      <c r="F6" s="538"/>
      <c r="G6" s="538"/>
      <c r="H6" s="538"/>
      <c r="I6" s="538"/>
      <c r="J6" s="453"/>
      <c r="K6" s="327"/>
      <c r="L6" s="539" t="s">
        <v>404</v>
      </c>
      <c r="M6" s="540"/>
      <c r="N6" s="540"/>
      <c r="O6" s="541"/>
      <c r="P6" s="452"/>
      <c r="Q6" s="416"/>
      <c r="R6" s="416"/>
      <c r="S6" s="416"/>
      <c r="T6" s="416"/>
    </row>
    <row r="7" spans="1:32" ht="21" thickBot="1" x14ac:dyDescent="0.35">
      <c r="C7" s="451" t="s">
        <v>362</v>
      </c>
      <c r="D7" s="451" t="s">
        <v>287</v>
      </c>
      <c r="E7" s="451" t="s">
        <v>293</v>
      </c>
      <c r="F7" s="451" t="s">
        <v>401</v>
      </c>
      <c r="G7" s="451" t="s">
        <v>406</v>
      </c>
      <c r="H7" s="451" t="s">
        <v>405</v>
      </c>
      <c r="I7" s="451" t="s">
        <v>407</v>
      </c>
      <c r="J7" s="450"/>
      <c r="K7" s="424"/>
      <c r="L7" s="342" t="s">
        <v>408</v>
      </c>
      <c r="M7" s="317" t="s">
        <v>362</v>
      </c>
      <c r="N7" s="317" t="s">
        <v>294</v>
      </c>
      <c r="O7" s="343" t="s">
        <v>405</v>
      </c>
      <c r="P7" s="410"/>
      <c r="Q7" s="416"/>
      <c r="R7" s="416"/>
      <c r="S7" s="416"/>
      <c r="T7" s="416"/>
    </row>
    <row r="8" spans="1:32" ht="21" thickBot="1" x14ac:dyDescent="0.35">
      <c r="C8" s="397" t="s">
        <v>764</v>
      </c>
      <c r="D8" s="397" t="s">
        <v>742</v>
      </c>
      <c r="E8" s="397" t="s">
        <v>763</v>
      </c>
      <c r="F8" s="397" t="s">
        <v>762</v>
      </c>
      <c r="G8" s="397" t="s">
        <v>756</v>
      </c>
      <c r="H8" s="397" t="s">
        <v>761</v>
      </c>
      <c r="I8" s="398" t="s">
        <v>554</v>
      </c>
      <c r="J8" s="266"/>
      <c r="K8" s="424"/>
      <c r="L8" s="443"/>
      <c r="M8" s="409"/>
      <c r="N8" s="409"/>
      <c r="O8" s="442"/>
      <c r="P8" s="410"/>
      <c r="Q8" s="416"/>
      <c r="R8" s="416"/>
      <c r="S8" s="416"/>
      <c r="T8" s="416"/>
    </row>
    <row r="9" spans="1:32" ht="21" x14ac:dyDescent="0.35">
      <c r="C9" s="439" t="s">
        <v>760</v>
      </c>
      <c r="D9" s="356" t="s">
        <v>759</v>
      </c>
      <c r="E9" s="356" t="s">
        <v>758</v>
      </c>
      <c r="F9" s="356" t="s">
        <v>757</v>
      </c>
      <c r="G9" s="356" t="s">
        <v>756</v>
      </c>
      <c r="H9" s="356" t="s">
        <v>755</v>
      </c>
      <c r="I9" s="449" t="s">
        <v>754</v>
      </c>
      <c r="J9" s="255"/>
      <c r="K9" s="424"/>
      <c r="L9" s="443"/>
      <c r="M9" s="409"/>
      <c r="N9" s="409"/>
      <c r="O9" s="442"/>
      <c r="P9" s="410"/>
      <c r="Q9" s="416"/>
      <c r="R9" s="416"/>
      <c r="S9" s="416"/>
      <c r="T9" s="416"/>
    </row>
    <row r="10" spans="1:32" ht="20.25" x14ac:dyDescent="0.3">
      <c r="C10" s="448" t="s">
        <v>410</v>
      </c>
      <c r="D10" s="333" t="s">
        <v>409</v>
      </c>
      <c r="E10" s="447" t="s">
        <v>412</v>
      </c>
      <c r="F10" s="333" t="s">
        <v>413</v>
      </c>
      <c r="G10" s="333" t="s">
        <v>414</v>
      </c>
      <c r="H10" s="333" t="s">
        <v>411</v>
      </c>
      <c r="I10" s="446" t="s">
        <v>415</v>
      </c>
      <c r="J10" s="410"/>
      <c r="K10" s="420"/>
      <c r="L10" s="443"/>
      <c r="M10" s="409"/>
      <c r="N10" s="409"/>
      <c r="O10" s="442"/>
      <c r="P10" s="410"/>
      <c r="Q10" s="416"/>
      <c r="R10" s="416"/>
      <c r="S10" s="416"/>
      <c r="T10" s="416"/>
    </row>
    <row r="11" spans="1:32" ht="20.25" x14ac:dyDescent="0.3">
      <c r="C11" s="439" t="s">
        <v>417</v>
      </c>
      <c r="D11" s="333" t="s">
        <v>416</v>
      </c>
      <c r="E11" s="334" t="s">
        <v>419</v>
      </c>
      <c r="F11" s="333" t="s">
        <v>420</v>
      </c>
      <c r="G11" s="333" t="s">
        <v>414</v>
      </c>
      <c r="H11" s="333" t="s">
        <v>418</v>
      </c>
      <c r="I11" s="336" t="s">
        <v>421</v>
      </c>
      <c r="J11" s="424"/>
      <c r="K11" s="420"/>
      <c r="L11" s="443"/>
      <c r="M11" s="409"/>
      <c r="N11" s="409"/>
      <c r="O11" s="442"/>
      <c r="P11" s="410"/>
      <c r="Q11" s="416"/>
      <c r="R11" s="416"/>
      <c r="S11" s="416"/>
      <c r="T11" s="416"/>
    </row>
    <row r="12" spans="1:32" ht="20.25" x14ac:dyDescent="0.3">
      <c r="C12" s="439" t="s">
        <v>423</v>
      </c>
      <c r="D12" s="333" t="s">
        <v>422</v>
      </c>
      <c r="E12" s="334" t="s">
        <v>425</v>
      </c>
      <c r="F12" s="333" t="s">
        <v>426</v>
      </c>
      <c r="G12" s="333" t="s">
        <v>414</v>
      </c>
      <c r="H12" s="333" t="s">
        <v>424</v>
      </c>
      <c r="I12" s="335" t="s">
        <v>427</v>
      </c>
      <c r="J12" s="441"/>
      <c r="K12" s="420"/>
      <c r="L12" s="443"/>
      <c r="M12" s="409"/>
      <c r="N12" s="409"/>
      <c r="O12" s="442"/>
      <c r="P12" s="410"/>
      <c r="Q12" s="416"/>
      <c r="R12" s="416"/>
      <c r="S12" s="416"/>
      <c r="T12" s="416"/>
    </row>
    <row r="13" spans="1:32" ht="20.25" x14ac:dyDescent="0.3">
      <c r="C13" s="439" t="s">
        <v>429</v>
      </c>
      <c r="D13" s="333" t="s">
        <v>428</v>
      </c>
      <c r="E13" s="334" t="s">
        <v>431</v>
      </c>
      <c r="F13" s="333" t="s">
        <v>414</v>
      </c>
      <c r="G13" s="333" t="s">
        <v>414</v>
      </c>
      <c r="H13" s="333" t="s">
        <v>430</v>
      </c>
      <c r="I13" s="440" t="s">
        <v>432</v>
      </c>
      <c r="J13" s="410"/>
      <c r="K13" s="416"/>
      <c r="L13" s="443"/>
      <c r="M13" s="409"/>
      <c r="N13" s="409"/>
      <c r="O13" s="442"/>
      <c r="P13" s="410"/>
      <c r="Q13" s="416"/>
      <c r="R13" s="416"/>
      <c r="S13" s="416"/>
      <c r="T13" s="416"/>
    </row>
    <row r="14" spans="1:32" ht="20.25" x14ac:dyDescent="0.3">
      <c r="C14" s="439" t="s">
        <v>434</v>
      </c>
      <c r="D14" s="333" t="s">
        <v>433</v>
      </c>
      <c r="E14" s="334" t="s">
        <v>436</v>
      </c>
      <c r="F14" s="333" t="s">
        <v>437</v>
      </c>
      <c r="G14" s="333" t="s">
        <v>414</v>
      </c>
      <c r="H14" s="333" t="s">
        <v>435</v>
      </c>
      <c r="I14" s="336" t="s">
        <v>438</v>
      </c>
      <c r="J14" s="424"/>
      <c r="K14" s="416"/>
      <c r="L14" s="443"/>
      <c r="M14" s="409"/>
      <c r="N14" s="409"/>
      <c r="O14" s="442"/>
      <c r="P14" s="410"/>
      <c r="Q14" s="416"/>
      <c r="R14" s="416"/>
      <c r="S14" s="416"/>
      <c r="T14" s="416"/>
    </row>
    <row r="15" spans="1:32" ht="20.25" x14ac:dyDescent="0.3">
      <c r="C15" s="439" t="s">
        <v>440</v>
      </c>
      <c r="D15" s="333" t="s">
        <v>439</v>
      </c>
      <c r="E15" s="334" t="s">
        <v>442</v>
      </c>
      <c r="F15" s="333" t="s">
        <v>443</v>
      </c>
      <c r="G15" s="333" t="s">
        <v>414</v>
      </c>
      <c r="H15" s="333" t="s">
        <v>441</v>
      </c>
      <c r="I15" s="335" t="s">
        <v>444</v>
      </c>
      <c r="J15" s="424"/>
      <c r="K15" s="416"/>
      <c r="L15" s="443"/>
      <c r="M15" s="409"/>
      <c r="N15" s="409"/>
      <c r="O15" s="442"/>
      <c r="P15" s="410"/>
      <c r="Q15" s="416"/>
      <c r="R15" s="416"/>
      <c r="S15" s="416"/>
      <c r="T15" s="416"/>
    </row>
    <row r="16" spans="1:32" ht="20.25" x14ac:dyDescent="0.3">
      <c r="C16" s="439" t="s">
        <v>446</v>
      </c>
      <c r="D16" s="333" t="s">
        <v>445</v>
      </c>
      <c r="E16" s="334" t="s">
        <v>448</v>
      </c>
      <c r="F16" s="333" t="s">
        <v>449</v>
      </c>
      <c r="G16" s="333" t="s">
        <v>414</v>
      </c>
      <c r="H16" s="333" t="s">
        <v>447</v>
      </c>
      <c r="I16" s="335" t="s">
        <v>450</v>
      </c>
      <c r="J16" s="445"/>
      <c r="K16" s="416"/>
      <c r="L16" s="443"/>
      <c r="M16" s="409"/>
      <c r="N16" s="409"/>
      <c r="O16" s="442"/>
      <c r="P16" s="410"/>
      <c r="Q16" s="416"/>
      <c r="R16" s="416"/>
      <c r="S16" s="416"/>
      <c r="T16" s="416"/>
    </row>
    <row r="17" spans="2:20" ht="20.25" x14ac:dyDescent="0.3">
      <c r="C17" s="439" t="s">
        <v>452</v>
      </c>
      <c r="D17" s="333" t="s">
        <v>451</v>
      </c>
      <c r="E17" s="334" t="s">
        <v>454</v>
      </c>
      <c r="F17" s="333" t="s">
        <v>455</v>
      </c>
      <c r="G17" s="333" t="s">
        <v>414</v>
      </c>
      <c r="H17" s="333" t="s">
        <v>453</v>
      </c>
      <c r="I17" s="444" t="s">
        <v>456</v>
      </c>
      <c r="J17" s="424"/>
      <c r="K17" s="416"/>
      <c r="L17" s="443"/>
      <c r="M17" s="409"/>
      <c r="N17" s="409"/>
      <c r="O17" s="442"/>
      <c r="P17" s="410"/>
      <c r="Q17" s="416"/>
      <c r="R17" s="416"/>
      <c r="S17" s="416"/>
      <c r="T17" s="416"/>
    </row>
    <row r="18" spans="2:20" ht="20.25" x14ac:dyDescent="0.3">
      <c r="C18" s="439" t="s">
        <v>458</v>
      </c>
      <c r="D18" s="333" t="s">
        <v>457</v>
      </c>
      <c r="E18" s="334" t="s">
        <v>460</v>
      </c>
      <c r="F18" s="333" t="s">
        <v>461</v>
      </c>
      <c r="G18" s="333" t="s">
        <v>462</v>
      </c>
      <c r="H18" s="333" t="s">
        <v>459</v>
      </c>
      <c r="I18" s="335" t="s">
        <v>463</v>
      </c>
      <c r="J18" s="410"/>
      <c r="K18" s="416"/>
      <c r="L18" s="443"/>
      <c r="M18" s="409"/>
      <c r="N18" s="409"/>
      <c r="O18" s="442"/>
      <c r="P18" s="410"/>
      <c r="Q18" s="416"/>
      <c r="R18" s="416"/>
      <c r="S18" s="416"/>
      <c r="T18" s="416"/>
    </row>
    <row r="19" spans="2:20" ht="21" thickBot="1" x14ac:dyDescent="0.35">
      <c r="C19" s="439" t="s">
        <v>465</v>
      </c>
      <c r="D19" s="333" t="s">
        <v>464</v>
      </c>
      <c r="E19" s="334" t="s">
        <v>467</v>
      </c>
      <c r="F19" s="333" t="s">
        <v>468</v>
      </c>
      <c r="G19" s="333" t="s">
        <v>462</v>
      </c>
      <c r="H19" s="333" t="s">
        <v>466</v>
      </c>
      <c r="I19" s="336" t="s">
        <v>469</v>
      </c>
      <c r="J19" s="410"/>
      <c r="K19" s="327"/>
      <c r="L19" s="419"/>
      <c r="M19" s="418"/>
      <c r="N19" s="418"/>
      <c r="O19" s="425"/>
      <c r="P19" s="416"/>
      <c r="Q19" s="416"/>
      <c r="R19" s="416"/>
      <c r="S19" s="416"/>
      <c r="T19" s="416"/>
    </row>
    <row r="20" spans="2:20" ht="20.25" x14ac:dyDescent="0.3">
      <c r="C20" s="439" t="s">
        <v>471</v>
      </c>
      <c r="D20" s="333" t="s">
        <v>470</v>
      </c>
      <c r="E20" s="334" t="s">
        <v>473</v>
      </c>
      <c r="F20" s="333" t="s">
        <v>474</v>
      </c>
      <c r="G20" s="333" t="s">
        <v>462</v>
      </c>
      <c r="H20" s="333" t="s">
        <v>472</v>
      </c>
      <c r="I20" s="336" t="s">
        <v>475</v>
      </c>
      <c r="J20" s="420"/>
      <c r="K20" s="416"/>
      <c r="L20" s="416"/>
      <c r="M20" s="416"/>
      <c r="N20" s="416"/>
      <c r="O20" s="416"/>
      <c r="P20" s="416"/>
      <c r="Q20" s="416"/>
      <c r="R20" s="416"/>
      <c r="S20" s="416"/>
      <c r="T20" s="416"/>
    </row>
    <row r="21" spans="2:20" ht="20.25" x14ac:dyDescent="0.3">
      <c r="C21" s="439" t="s">
        <v>477</v>
      </c>
      <c r="D21" s="333" t="s">
        <v>476</v>
      </c>
      <c r="E21" s="334" t="s">
        <v>479</v>
      </c>
      <c r="F21" s="333" t="s">
        <v>480</v>
      </c>
      <c r="G21" s="333" t="s">
        <v>462</v>
      </c>
      <c r="H21" s="333" t="s">
        <v>478</v>
      </c>
      <c r="I21" s="337" t="s">
        <v>481</v>
      </c>
      <c r="J21" s="424"/>
      <c r="K21" s="416"/>
      <c r="L21" s="416"/>
      <c r="M21" s="416"/>
      <c r="N21" s="416"/>
      <c r="O21" s="416"/>
      <c r="P21" s="416"/>
      <c r="Q21" s="416"/>
      <c r="R21" s="416"/>
      <c r="S21" s="416"/>
      <c r="T21" s="416"/>
    </row>
    <row r="22" spans="2:20" ht="20.25" x14ac:dyDescent="0.3">
      <c r="C22" s="439" t="s">
        <v>483</v>
      </c>
      <c r="D22" s="333" t="s">
        <v>482</v>
      </c>
      <c r="E22" s="334" t="s">
        <v>485</v>
      </c>
      <c r="F22" s="333" t="s">
        <v>468</v>
      </c>
      <c r="G22" s="333" t="s">
        <v>462</v>
      </c>
      <c r="H22" s="333" t="s">
        <v>484</v>
      </c>
      <c r="I22" s="335" t="s">
        <v>486</v>
      </c>
      <c r="J22" s="424"/>
      <c r="K22" s="416"/>
      <c r="L22" s="416"/>
      <c r="M22" s="416"/>
      <c r="N22" s="416"/>
      <c r="O22" s="416"/>
      <c r="P22" s="416"/>
      <c r="Q22" s="416"/>
      <c r="R22" s="416"/>
      <c r="S22" s="416"/>
      <c r="T22" s="416"/>
    </row>
    <row r="23" spans="2:20" ht="20.25" x14ac:dyDescent="0.3">
      <c r="C23" s="439" t="s">
        <v>488</v>
      </c>
      <c r="D23" s="333" t="s">
        <v>487</v>
      </c>
      <c r="E23" s="334" t="s">
        <v>490</v>
      </c>
      <c r="F23" s="333" t="s">
        <v>491</v>
      </c>
      <c r="G23" s="333" t="s">
        <v>462</v>
      </c>
      <c r="H23" s="333" t="s">
        <v>489</v>
      </c>
      <c r="I23" s="335" t="s">
        <v>492</v>
      </c>
      <c r="J23" s="441"/>
      <c r="K23" s="416"/>
      <c r="L23" s="416"/>
      <c r="M23" s="416"/>
      <c r="N23" s="416"/>
      <c r="O23" s="416"/>
      <c r="P23" s="416"/>
      <c r="Q23" s="416"/>
      <c r="R23" s="416"/>
      <c r="S23" s="416"/>
      <c r="T23" s="416"/>
    </row>
    <row r="24" spans="2:20" ht="20.25" x14ac:dyDescent="0.3">
      <c r="C24" s="439" t="s">
        <v>494</v>
      </c>
      <c r="D24" s="333" t="s">
        <v>493</v>
      </c>
      <c r="E24" s="334" t="s">
        <v>496</v>
      </c>
      <c r="F24" s="333" t="s">
        <v>497</v>
      </c>
      <c r="G24" s="333" t="s">
        <v>462</v>
      </c>
      <c r="H24" s="333" t="s">
        <v>495</v>
      </c>
      <c r="I24" s="440" t="s">
        <v>498</v>
      </c>
      <c r="J24" s="424"/>
      <c r="K24" s="416"/>
      <c r="L24" s="416"/>
      <c r="M24" s="416"/>
      <c r="N24" s="416"/>
      <c r="O24" s="416"/>
      <c r="P24" s="416"/>
      <c r="Q24" s="416"/>
      <c r="R24" s="416"/>
      <c r="S24" s="416"/>
      <c r="T24" s="416"/>
    </row>
    <row r="25" spans="2:20" ht="20.25" x14ac:dyDescent="0.3">
      <c r="C25" s="439" t="s">
        <v>500</v>
      </c>
      <c r="D25" s="333" t="s">
        <v>499</v>
      </c>
      <c r="E25" s="334" t="s">
        <v>502</v>
      </c>
      <c r="F25" s="333" t="s">
        <v>503</v>
      </c>
      <c r="G25" s="333" t="s">
        <v>462</v>
      </c>
      <c r="H25" s="333" t="s">
        <v>501</v>
      </c>
      <c r="I25" s="335" t="s">
        <v>504</v>
      </c>
      <c r="J25" s="424"/>
      <c r="K25" s="416"/>
      <c r="L25" s="416"/>
      <c r="M25" s="416"/>
      <c r="N25" s="416"/>
      <c r="O25" s="416"/>
      <c r="P25" s="416"/>
      <c r="Q25" s="416"/>
      <c r="R25" s="416"/>
      <c r="S25" s="416"/>
      <c r="T25" s="416"/>
    </row>
    <row r="26" spans="2:20" ht="20.25" x14ac:dyDescent="0.3">
      <c r="C26" s="439" t="s">
        <v>506</v>
      </c>
      <c r="D26" s="333" t="s">
        <v>505</v>
      </c>
      <c r="E26" s="334" t="s">
        <v>508</v>
      </c>
      <c r="F26" s="333" t="s">
        <v>509</v>
      </c>
      <c r="G26" s="333" t="s">
        <v>510</v>
      </c>
      <c r="H26" s="333" t="s">
        <v>507</v>
      </c>
      <c r="I26" s="335" t="s">
        <v>511</v>
      </c>
      <c r="J26" s="424"/>
      <c r="K26" s="416"/>
      <c r="L26" s="416"/>
      <c r="M26" s="416"/>
      <c r="N26" s="416"/>
      <c r="O26" s="416"/>
      <c r="P26" s="416"/>
      <c r="Q26" s="416"/>
      <c r="R26" s="416"/>
      <c r="S26" s="416"/>
      <c r="T26" s="416"/>
    </row>
    <row r="27" spans="2:20" ht="20.25" x14ac:dyDescent="0.3">
      <c r="C27" s="439" t="s">
        <v>513</v>
      </c>
      <c r="D27" s="333" t="s">
        <v>512</v>
      </c>
      <c r="E27" s="334" t="s">
        <v>515</v>
      </c>
      <c r="F27" s="333" t="s">
        <v>516</v>
      </c>
      <c r="G27" s="333" t="s">
        <v>510</v>
      </c>
      <c r="H27" s="333" t="s">
        <v>514</v>
      </c>
      <c r="I27" s="335" t="s">
        <v>517</v>
      </c>
      <c r="J27" s="424"/>
      <c r="K27" s="416"/>
      <c r="L27" s="416"/>
      <c r="M27" s="416"/>
      <c r="N27" s="416"/>
      <c r="O27" s="416"/>
      <c r="P27" s="416"/>
      <c r="Q27" s="416"/>
      <c r="R27" s="416"/>
      <c r="S27" s="416"/>
      <c r="T27" s="416"/>
    </row>
    <row r="28" spans="2:20" ht="20.25" x14ac:dyDescent="0.3">
      <c r="B28" s="416"/>
      <c r="C28" s="439" t="s">
        <v>519</v>
      </c>
      <c r="D28" s="333" t="s">
        <v>518</v>
      </c>
      <c r="E28" s="334" t="s">
        <v>521</v>
      </c>
      <c r="F28" s="333" t="s">
        <v>522</v>
      </c>
      <c r="G28" s="333" t="s">
        <v>510</v>
      </c>
      <c r="H28" s="333" t="s">
        <v>520</v>
      </c>
      <c r="I28" s="335" t="s">
        <v>523</v>
      </c>
      <c r="J28" s="424"/>
      <c r="K28" s="416"/>
      <c r="L28" s="416"/>
      <c r="M28" s="416"/>
      <c r="N28" s="416"/>
      <c r="O28" s="416"/>
      <c r="P28" s="416"/>
      <c r="Q28" s="416"/>
      <c r="R28" s="416"/>
      <c r="S28" s="416"/>
      <c r="T28" s="416"/>
    </row>
    <row r="29" spans="2:20" ht="21" thickBot="1" x14ac:dyDescent="0.35">
      <c r="B29" s="416"/>
      <c r="C29" s="439" t="s">
        <v>525</v>
      </c>
      <c r="D29" s="333" t="s">
        <v>524</v>
      </c>
      <c r="E29" s="334" t="s">
        <v>527</v>
      </c>
      <c r="F29" s="333" t="s">
        <v>528</v>
      </c>
      <c r="G29" s="333" t="s">
        <v>510</v>
      </c>
      <c r="H29" s="333" t="s">
        <v>526</v>
      </c>
      <c r="I29" s="335" t="s">
        <v>529</v>
      </c>
      <c r="J29" s="424"/>
      <c r="K29" s="416"/>
      <c r="L29" s="416"/>
      <c r="M29" s="416"/>
      <c r="N29" s="416"/>
      <c r="O29" s="416"/>
      <c r="P29" s="416"/>
      <c r="Q29" s="416"/>
      <c r="R29" s="416"/>
      <c r="S29" s="416"/>
      <c r="T29" s="416"/>
    </row>
    <row r="30" spans="2:20" ht="21" thickBot="1" x14ac:dyDescent="0.35">
      <c r="B30" s="416"/>
      <c r="C30" s="439" t="s">
        <v>531</v>
      </c>
      <c r="D30" s="339" t="s">
        <v>530</v>
      </c>
      <c r="E30" s="340" t="s">
        <v>533</v>
      </c>
      <c r="F30" s="339" t="s">
        <v>534</v>
      </c>
      <c r="G30" s="339" t="s">
        <v>510</v>
      </c>
      <c r="H30" s="339" t="s">
        <v>532</v>
      </c>
      <c r="I30" s="341" t="s">
        <v>535</v>
      </c>
      <c r="J30" s="416"/>
      <c r="K30" s="433"/>
      <c r="L30" s="434"/>
      <c r="M30" s="434"/>
      <c r="N30" s="434"/>
      <c r="O30" s="434"/>
      <c r="P30" s="434"/>
      <c r="Q30" s="434"/>
      <c r="R30" s="434"/>
      <c r="S30" s="434"/>
      <c r="T30" s="438"/>
    </row>
    <row r="31" spans="2:20" ht="20.25" x14ac:dyDescent="0.3">
      <c r="B31" s="416"/>
      <c r="C31" s="416"/>
      <c r="D31" s="416"/>
      <c r="E31" s="416"/>
      <c r="F31" s="416"/>
      <c r="G31" s="416"/>
      <c r="H31" s="416"/>
      <c r="I31" s="416"/>
      <c r="J31" s="420"/>
      <c r="K31" s="317" t="s">
        <v>294</v>
      </c>
      <c r="L31" s="437" t="s">
        <v>295</v>
      </c>
      <c r="M31" s="351" t="s">
        <v>311</v>
      </c>
      <c r="N31" s="352" t="s">
        <v>537</v>
      </c>
      <c r="O31" s="352" t="s">
        <v>538</v>
      </c>
      <c r="P31" s="352" t="s">
        <v>539</v>
      </c>
      <c r="Q31" s="352" t="s">
        <v>360</v>
      </c>
      <c r="R31" s="352" t="s">
        <v>540</v>
      </c>
      <c r="S31" s="352" t="s">
        <v>541</v>
      </c>
      <c r="T31" s="353" t="s">
        <v>319</v>
      </c>
    </row>
    <row r="32" spans="2:20" ht="21" thickBot="1" x14ac:dyDescent="0.35">
      <c r="B32" s="416"/>
      <c r="C32" s="416"/>
      <c r="D32" s="416"/>
      <c r="E32" s="416"/>
      <c r="F32" s="416"/>
      <c r="G32" s="416"/>
      <c r="H32" s="416"/>
      <c r="I32" s="416"/>
      <c r="J32" s="436"/>
      <c r="K32" s="430" t="s">
        <v>547</v>
      </c>
      <c r="L32" s="429" t="s">
        <v>548</v>
      </c>
      <c r="M32" s="409" t="s">
        <v>549</v>
      </c>
      <c r="N32" s="428">
        <v>3000</v>
      </c>
      <c r="O32" s="428"/>
      <c r="P32" s="428"/>
      <c r="Q32" s="428"/>
      <c r="R32" s="428"/>
      <c r="S32" s="428"/>
      <c r="T32" s="427"/>
    </row>
    <row r="33" spans="2:20" ht="21" thickBot="1" x14ac:dyDescent="0.35">
      <c r="B33" s="416"/>
      <c r="C33" s="435" t="s">
        <v>536</v>
      </c>
      <c r="D33" s="434"/>
      <c r="E33" s="434"/>
      <c r="F33" s="434"/>
      <c r="G33" s="434"/>
      <c r="H33" s="434"/>
      <c r="I33" s="433"/>
      <c r="J33" s="432"/>
      <c r="K33" s="430" t="s">
        <v>554</v>
      </c>
      <c r="L33" s="429" t="s">
        <v>555</v>
      </c>
      <c r="M33" s="409" t="s">
        <v>549</v>
      </c>
      <c r="N33" s="428">
        <v>3000</v>
      </c>
      <c r="O33" s="428"/>
      <c r="P33" s="428"/>
      <c r="Q33" s="428"/>
      <c r="R33" s="428"/>
      <c r="S33" s="428"/>
      <c r="T33" s="427"/>
    </row>
    <row r="34" spans="2:20" ht="20.25" x14ac:dyDescent="0.3">
      <c r="B34" s="416"/>
      <c r="C34" s="350" t="s">
        <v>287</v>
      </c>
      <c r="D34" s="351" t="s">
        <v>288</v>
      </c>
      <c r="E34" s="351" t="s">
        <v>289</v>
      </c>
      <c r="F34" s="351" t="s">
        <v>290</v>
      </c>
      <c r="G34" s="351" t="s">
        <v>291</v>
      </c>
      <c r="H34" s="431" t="s">
        <v>292</v>
      </c>
      <c r="I34" s="317" t="s">
        <v>293</v>
      </c>
      <c r="J34" s="424"/>
      <c r="K34" s="430" t="s">
        <v>558</v>
      </c>
      <c r="L34" s="429" t="s">
        <v>559</v>
      </c>
      <c r="M34" s="409" t="s">
        <v>549</v>
      </c>
      <c r="N34" s="428">
        <v>3000</v>
      </c>
      <c r="O34" s="428"/>
      <c r="P34" s="428"/>
      <c r="Q34" s="428"/>
      <c r="R34" s="428"/>
      <c r="S34" s="428"/>
      <c r="T34" s="427"/>
    </row>
    <row r="35" spans="2:20" ht="20.25" x14ac:dyDescent="0.3">
      <c r="B35" s="416"/>
      <c r="C35" s="423" t="s">
        <v>753</v>
      </c>
      <c r="D35" s="409" t="s">
        <v>543</v>
      </c>
      <c r="E35" s="409" t="s">
        <v>544</v>
      </c>
      <c r="F35" s="409" t="s">
        <v>545</v>
      </c>
      <c r="G35" s="409">
        <v>3336859865</v>
      </c>
      <c r="H35" s="422" t="s">
        <v>546</v>
      </c>
      <c r="I35" s="421" t="s">
        <v>442</v>
      </c>
      <c r="J35" s="424"/>
      <c r="K35" s="430" t="s">
        <v>563</v>
      </c>
      <c r="L35" s="429" t="s">
        <v>564</v>
      </c>
      <c r="M35" s="409" t="s">
        <v>549</v>
      </c>
      <c r="N35" s="428">
        <v>3000</v>
      </c>
      <c r="O35" s="428"/>
      <c r="P35" s="428"/>
      <c r="Q35" s="428"/>
      <c r="R35" s="428"/>
      <c r="S35" s="428"/>
      <c r="T35" s="427"/>
    </row>
    <row r="36" spans="2:20" ht="21" thickBot="1" x14ac:dyDescent="0.35">
      <c r="B36" s="416"/>
      <c r="C36" s="423" t="s">
        <v>742</v>
      </c>
      <c r="D36" s="409" t="s">
        <v>543</v>
      </c>
      <c r="E36" s="409" t="s">
        <v>551</v>
      </c>
      <c r="F36" s="409" t="s">
        <v>552</v>
      </c>
      <c r="G36" s="409">
        <v>3336859865</v>
      </c>
      <c r="H36" s="422" t="s">
        <v>553</v>
      </c>
      <c r="I36" s="421" t="s">
        <v>448</v>
      </c>
      <c r="J36" s="424"/>
      <c r="K36" s="409"/>
      <c r="L36" s="426"/>
      <c r="M36" s="418"/>
      <c r="N36" s="418"/>
      <c r="O36" s="418"/>
      <c r="P36" s="418"/>
      <c r="Q36" s="418"/>
      <c r="R36" s="418"/>
      <c r="S36" s="418"/>
      <c r="T36" s="425"/>
    </row>
    <row r="37" spans="2:20" ht="20.25" x14ac:dyDescent="0.3">
      <c r="B37" s="416"/>
      <c r="C37" s="423" t="s">
        <v>748</v>
      </c>
      <c r="D37" s="409" t="s">
        <v>543</v>
      </c>
      <c r="E37" s="409" t="s">
        <v>544</v>
      </c>
      <c r="F37" s="409" t="s">
        <v>545</v>
      </c>
      <c r="G37" s="409">
        <v>3336859865</v>
      </c>
      <c r="H37" s="422" t="s">
        <v>557</v>
      </c>
      <c r="I37" s="421" t="s">
        <v>454</v>
      </c>
      <c r="J37" s="424"/>
      <c r="K37" s="416"/>
      <c r="L37" s="416"/>
      <c r="M37" s="416"/>
      <c r="N37" s="416"/>
      <c r="O37" s="416"/>
      <c r="P37" s="416"/>
      <c r="Q37" s="416"/>
      <c r="R37" s="416"/>
      <c r="S37" s="416"/>
      <c r="T37" s="416"/>
    </row>
    <row r="38" spans="2:20" ht="20.25" x14ac:dyDescent="0.3">
      <c r="C38" s="423" t="s">
        <v>752</v>
      </c>
      <c r="D38" s="409" t="s">
        <v>543</v>
      </c>
      <c r="E38" s="409" t="s">
        <v>561</v>
      </c>
      <c r="F38" s="409" t="s">
        <v>552</v>
      </c>
      <c r="G38" s="409">
        <v>3336859865</v>
      </c>
      <c r="H38" s="422" t="s">
        <v>562</v>
      </c>
      <c r="I38" s="421" t="s">
        <v>460</v>
      </c>
      <c r="J38" s="420"/>
    </row>
    <row r="39" spans="2:20" ht="21" thickBot="1" x14ac:dyDescent="0.35">
      <c r="C39" s="419"/>
      <c r="D39" s="418"/>
      <c r="E39" s="418"/>
      <c r="F39" s="418"/>
      <c r="G39" s="418"/>
      <c r="H39" s="417"/>
      <c r="I39" s="409"/>
      <c r="J39" s="416"/>
    </row>
    <row r="40" spans="2:20" ht="20.25" x14ac:dyDescent="0.3">
      <c r="C40" s="416"/>
      <c r="D40" s="416"/>
      <c r="E40" s="416"/>
      <c r="F40" s="416"/>
      <c r="G40" s="416"/>
      <c r="H40" s="416"/>
      <c r="I40" s="416"/>
    </row>
  </sheetData>
  <mergeCells count="5">
    <mergeCell ref="A2:AF2"/>
    <mergeCell ref="D5:E5"/>
    <mergeCell ref="I5:K5"/>
    <mergeCell ref="C6:I6"/>
    <mergeCell ref="L6:O6"/>
  </mergeCells>
  <hyperlinks>
    <hyperlink ref="L23" r:id="rId1" display="andréa.melo29@email.com"/>
    <hyperlink ref="I13" r:id="rId2"/>
    <hyperlink ref="I24" r:id="rId3"/>
    <hyperlink ref="I17" r:id="rId4"/>
    <hyperlink ref="K32" r:id="rId5"/>
    <hyperlink ref="K33" r:id="rId6"/>
    <hyperlink ref="K34" r:id="rId7"/>
    <hyperlink ref="K35" r:id="rId8"/>
    <hyperlink ref="I9" r:id="rId9"/>
    <hyperlink ref="I8" r:id="rId10"/>
  </hyperlinks>
  <pageMargins left="0.511811024" right="0.511811024" top="0.78740157499999996" bottom="0.78740157499999996" header="0.31496062000000002" footer="0.31496062000000002"/>
  <pageSetup paperSize="9" orientation="portrait" r:id="rId11"/>
  <drawing r:id="rId1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8">
    <tabColor rgb="FF171717"/>
  </sheetPr>
  <dimension ref="A1:AU66"/>
  <sheetViews>
    <sheetView topLeftCell="A7" zoomScale="40" zoomScaleNormal="40" workbookViewId="0">
      <selection activeCell="V23" sqref="V23"/>
    </sheetView>
  </sheetViews>
  <sheetFormatPr defaultColWidth="8.85546875" defaultRowHeight="15" x14ac:dyDescent="0.25"/>
  <cols>
    <col min="1" max="1" width="8.85546875" style="100"/>
    <col min="2" max="2" width="14.28515625" style="100" bestFit="1" customWidth="1"/>
    <col min="3" max="3" width="36.140625" style="100" customWidth="1"/>
    <col min="4" max="4" width="30.28515625" style="100" customWidth="1"/>
    <col min="5" max="5" width="47.7109375" style="100" customWidth="1"/>
    <col min="6" max="6" width="32.140625" style="100" bestFit="1" customWidth="1"/>
    <col min="7" max="7" width="26" style="100" customWidth="1"/>
    <col min="8" max="8" width="49" style="100" customWidth="1"/>
    <col min="9" max="9" width="25.42578125" style="100" bestFit="1" customWidth="1"/>
    <col min="10" max="10" width="21.42578125" style="100" bestFit="1" customWidth="1"/>
    <col min="11" max="11" width="51.7109375" style="100" customWidth="1"/>
    <col min="12" max="12" width="34.7109375" style="100" bestFit="1" customWidth="1"/>
    <col min="13" max="13" width="49.42578125" style="100" customWidth="1"/>
    <col min="14" max="14" width="28.140625" style="100" bestFit="1" customWidth="1"/>
    <col min="15" max="15" width="17" style="100" bestFit="1" customWidth="1"/>
    <col min="16" max="16" width="33" style="100" bestFit="1" customWidth="1"/>
    <col min="17" max="17" width="12.5703125" style="100" bestFit="1" customWidth="1"/>
    <col min="18" max="18" width="13" style="100" bestFit="1" customWidth="1"/>
    <col min="19" max="19" width="8.85546875" style="100"/>
    <col min="20" max="20" width="23.42578125" style="100" bestFit="1" customWidth="1"/>
    <col min="21" max="21" width="2.7109375" style="100" bestFit="1" customWidth="1"/>
    <col min="22" max="22" width="51.140625" style="100" customWidth="1"/>
    <col min="23" max="16384" width="8.85546875" style="100"/>
  </cols>
  <sheetData>
    <row r="1" spans="1:47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</row>
    <row r="5" spans="1:47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</row>
    <row r="6" spans="1:47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</row>
    <row r="7" spans="1:47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</row>
    <row r="8" spans="1:47" ht="28.9" customHeight="1" x14ac:dyDescent="0.25"/>
    <row r="9" spans="1:47" ht="28.9" customHeight="1" thickBot="1" x14ac:dyDescent="0.3"/>
    <row r="10" spans="1:47" ht="28.9" customHeight="1" thickBot="1" x14ac:dyDescent="0.4">
      <c r="E10" s="542" t="s">
        <v>361</v>
      </c>
      <c r="F10" s="543"/>
      <c r="G10" s="543"/>
      <c r="H10" s="543"/>
      <c r="I10" s="543"/>
      <c r="J10" s="543"/>
      <c r="K10" s="544"/>
      <c r="L10" s="328"/>
      <c r="M10" s="545" t="s">
        <v>404</v>
      </c>
      <c r="N10" s="546"/>
      <c r="O10" s="546"/>
      <c r="P10" s="547"/>
      <c r="Q10" s="254"/>
    </row>
    <row r="11" spans="1:47" ht="28.9" customHeight="1" x14ac:dyDescent="0.3">
      <c r="E11" s="329" t="s">
        <v>287</v>
      </c>
      <c r="F11" s="330" t="s">
        <v>362</v>
      </c>
      <c r="G11" s="330" t="s">
        <v>405</v>
      </c>
      <c r="H11" s="330" t="s">
        <v>293</v>
      </c>
      <c r="I11" s="330" t="s">
        <v>401</v>
      </c>
      <c r="J11" s="330" t="s">
        <v>406</v>
      </c>
      <c r="K11" s="331" t="s">
        <v>407</v>
      </c>
      <c r="L11" s="252"/>
      <c r="M11" s="342" t="s">
        <v>408</v>
      </c>
      <c r="N11" s="317" t="s">
        <v>362</v>
      </c>
      <c r="O11" s="317" t="s">
        <v>294</v>
      </c>
      <c r="P11" s="343" t="s">
        <v>405</v>
      </c>
      <c r="Q11" s="255"/>
    </row>
    <row r="12" spans="1:47" ht="28.9" customHeight="1" x14ac:dyDescent="0.3">
      <c r="E12" s="332" t="s">
        <v>409</v>
      </c>
      <c r="F12" s="333" t="s">
        <v>410</v>
      </c>
      <c r="G12" s="333" t="s">
        <v>411</v>
      </c>
      <c r="H12" s="334" t="s">
        <v>412</v>
      </c>
      <c r="I12" s="333" t="s">
        <v>413</v>
      </c>
      <c r="J12" s="333" t="s">
        <v>414</v>
      </c>
      <c r="K12" s="335" t="s">
        <v>415</v>
      </c>
      <c r="L12" s="424"/>
      <c r="M12" s="443"/>
      <c r="N12" s="409"/>
      <c r="O12" s="409"/>
      <c r="P12" s="442"/>
      <c r="Q12" s="255"/>
    </row>
    <row r="13" spans="1:47" ht="28.9" customHeight="1" x14ac:dyDescent="0.3">
      <c r="E13" s="332" t="s">
        <v>416</v>
      </c>
      <c r="F13" s="333" t="s">
        <v>417</v>
      </c>
      <c r="G13" s="333" t="s">
        <v>418</v>
      </c>
      <c r="H13" s="334" t="s">
        <v>419</v>
      </c>
      <c r="I13" s="333" t="s">
        <v>420</v>
      </c>
      <c r="J13" s="333" t="s">
        <v>414</v>
      </c>
      <c r="K13" s="336" t="s">
        <v>421</v>
      </c>
      <c r="L13" s="424"/>
      <c r="M13" s="443"/>
      <c r="N13" s="409"/>
      <c r="O13" s="409"/>
      <c r="P13" s="442"/>
      <c r="Q13" s="255"/>
    </row>
    <row r="14" spans="1:47" ht="28.9" customHeight="1" x14ac:dyDescent="0.3">
      <c r="E14" s="332" t="s">
        <v>422</v>
      </c>
      <c r="F14" s="333" t="s">
        <v>423</v>
      </c>
      <c r="G14" s="333" t="s">
        <v>424</v>
      </c>
      <c r="H14" s="334" t="s">
        <v>425</v>
      </c>
      <c r="I14" s="333" t="s">
        <v>426</v>
      </c>
      <c r="J14" s="333" t="s">
        <v>414</v>
      </c>
      <c r="K14" s="335" t="s">
        <v>427</v>
      </c>
      <c r="L14" s="424"/>
      <c r="M14" s="443"/>
      <c r="N14" s="409"/>
      <c r="O14" s="409"/>
      <c r="P14" s="442"/>
      <c r="Q14" s="255"/>
    </row>
    <row r="15" spans="1:47" ht="28.9" customHeight="1" x14ac:dyDescent="0.3">
      <c r="E15" s="332" t="s">
        <v>428</v>
      </c>
      <c r="F15" s="333" t="s">
        <v>429</v>
      </c>
      <c r="G15" s="333" t="s">
        <v>430</v>
      </c>
      <c r="H15" s="334" t="s">
        <v>431</v>
      </c>
      <c r="I15" s="333" t="s">
        <v>414</v>
      </c>
      <c r="J15" s="333" t="s">
        <v>414</v>
      </c>
      <c r="K15" s="440" t="s">
        <v>432</v>
      </c>
      <c r="L15" s="420"/>
      <c r="M15" s="443"/>
      <c r="N15" s="409"/>
      <c r="O15" s="409"/>
      <c r="P15" s="442"/>
      <c r="Q15" s="255"/>
    </row>
    <row r="16" spans="1:47" ht="28.9" customHeight="1" x14ac:dyDescent="0.3">
      <c r="E16" s="332" t="s">
        <v>433</v>
      </c>
      <c r="F16" s="333" t="s">
        <v>434</v>
      </c>
      <c r="G16" s="333" t="s">
        <v>435</v>
      </c>
      <c r="H16" s="334" t="s">
        <v>436</v>
      </c>
      <c r="I16" s="333" t="s">
        <v>437</v>
      </c>
      <c r="J16" s="333" t="s">
        <v>414</v>
      </c>
      <c r="K16" s="336" t="s">
        <v>438</v>
      </c>
      <c r="L16" s="420"/>
      <c r="M16" s="443"/>
      <c r="N16" s="409"/>
      <c r="O16" s="409"/>
      <c r="P16" s="442"/>
      <c r="Q16" s="255"/>
    </row>
    <row r="17" spans="5:17" ht="28.9" customHeight="1" x14ac:dyDescent="0.3">
      <c r="E17" s="332" t="s">
        <v>439</v>
      </c>
      <c r="F17" s="333" t="s">
        <v>440</v>
      </c>
      <c r="G17" s="333" t="s">
        <v>441</v>
      </c>
      <c r="H17" s="334" t="s">
        <v>442</v>
      </c>
      <c r="I17" s="333" t="s">
        <v>443</v>
      </c>
      <c r="J17" s="333" t="s">
        <v>414</v>
      </c>
      <c r="K17" s="335" t="s">
        <v>444</v>
      </c>
      <c r="L17" s="420"/>
      <c r="M17" s="443"/>
      <c r="N17" s="409"/>
      <c r="O17" s="409"/>
      <c r="P17" s="442"/>
      <c r="Q17" s="255"/>
    </row>
    <row r="18" spans="5:17" ht="28.9" customHeight="1" x14ac:dyDescent="0.3">
      <c r="E18" s="332" t="s">
        <v>445</v>
      </c>
      <c r="F18" s="333" t="s">
        <v>446</v>
      </c>
      <c r="G18" s="333" t="s">
        <v>447</v>
      </c>
      <c r="H18" s="334" t="s">
        <v>448</v>
      </c>
      <c r="I18" s="333" t="s">
        <v>449</v>
      </c>
      <c r="J18" s="333" t="s">
        <v>414</v>
      </c>
      <c r="K18" s="335" t="s">
        <v>450</v>
      </c>
      <c r="L18" s="416"/>
      <c r="M18" s="443"/>
      <c r="N18" s="409"/>
      <c r="O18" s="409"/>
      <c r="P18" s="442"/>
      <c r="Q18" s="255"/>
    </row>
    <row r="19" spans="5:17" ht="28.9" customHeight="1" x14ac:dyDescent="0.3">
      <c r="E19" s="332" t="s">
        <v>451</v>
      </c>
      <c r="F19" s="333" t="s">
        <v>452</v>
      </c>
      <c r="G19" s="333" t="s">
        <v>453</v>
      </c>
      <c r="H19" s="334" t="s">
        <v>454</v>
      </c>
      <c r="I19" s="333" t="s">
        <v>455</v>
      </c>
      <c r="J19" s="333" t="s">
        <v>414</v>
      </c>
      <c r="K19" s="444" t="s">
        <v>456</v>
      </c>
      <c r="L19" s="416"/>
      <c r="M19" s="443"/>
      <c r="N19" s="409"/>
      <c r="O19" s="409"/>
      <c r="P19" s="442"/>
      <c r="Q19" s="255"/>
    </row>
    <row r="20" spans="5:17" ht="28.9" customHeight="1" x14ac:dyDescent="0.3">
      <c r="E20" s="332" t="s">
        <v>457</v>
      </c>
      <c r="F20" s="333" t="s">
        <v>458</v>
      </c>
      <c r="G20" s="333" t="s">
        <v>459</v>
      </c>
      <c r="H20" s="334" t="s">
        <v>460</v>
      </c>
      <c r="I20" s="333" t="s">
        <v>461</v>
      </c>
      <c r="J20" s="333" t="s">
        <v>462</v>
      </c>
      <c r="K20" s="335" t="s">
        <v>463</v>
      </c>
      <c r="L20" s="416"/>
      <c r="M20" s="443"/>
      <c r="N20" s="409"/>
      <c r="O20" s="409"/>
      <c r="P20" s="442"/>
      <c r="Q20" s="255"/>
    </row>
    <row r="21" spans="5:17" ht="28.9" customHeight="1" x14ac:dyDescent="0.3">
      <c r="E21" s="332" t="s">
        <v>464</v>
      </c>
      <c r="F21" s="333" t="s">
        <v>465</v>
      </c>
      <c r="G21" s="333" t="s">
        <v>466</v>
      </c>
      <c r="H21" s="334" t="s">
        <v>467</v>
      </c>
      <c r="I21" s="333" t="s">
        <v>468</v>
      </c>
      <c r="J21" s="333" t="s">
        <v>462</v>
      </c>
      <c r="K21" s="336" t="s">
        <v>469</v>
      </c>
      <c r="L21" s="416"/>
      <c r="M21" s="443"/>
      <c r="N21" s="409"/>
      <c r="O21" s="409"/>
      <c r="P21" s="442"/>
      <c r="Q21" s="255"/>
    </row>
    <row r="22" spans="5:17" ht="28.9" customHeight="1" x14ac:dyDescent="0.3">
      <c r="E22" s="332" t="s">
        <v>470</v>
      </c>
      <c r="F22" s="333" t="s">
        <v>471</v>
      </c>
      <c r="G22" s="333" t="s">
        <v>472</v>
      </c>
      <c r="H22" s="334" t="s">
        <v>473</v>
      </c>
      <c r="I22" s="333" t="s">
        <v>474</v>
      </c>
      <c r="J22" s="333" t="s">
        <v>462</v>
      </c>
      <c r="K22" s="336" t="s">
        <v>475</v>
      </c>
      <c r="L22" s="416"/>
      <c r="M22" s="443"/>
      <c r="N22" s="409"/>
      <c r="O22" s="409"/>
      <c r="P22" s="442"/>
      <c r="Q22" s="255"/>
    </row>
    <row r="23" spans="5:17" ht="28.9" customHeight="1" x14ac:dyDescent="0.3">
      <c r="E23" s="332" t="s">
        <v>476</v>
      </c>
      <c r="F23" s="333" t="s">
        <v>477</v>
      </c>
      <c r="G23" s="333" t="s">
        <v>478</v>
      </c>
      <c r="H23" s="334" t="s">
        <v>479</v>
      </c>
      <c r="I23" s="333" t="s">
        <v>480</v>
      </c>
      <c r="J23" s="333" t="s">
        <v>462</v>
      </c>
      <c r="K23" s="337" t="s">
        <v>481</v>
      </c>
      <c r="L23" s="416"/>
      <c r="M23" s="443"/>
      <c r="N23" s="409"/>
      <c r="O23" s="409"/>
      <c r="P23" s="442"/>
      <c r="Q23" s="255"/>
    </row>
    <row r="24" spans="5:17" ht="28.9" customHeight="1" thickBot="1" x14ac:dyDescent="0.35">
      <c r="E24" s="332" t="s">
        <v>482</v>
      </c>
      <c r="F24" s="333" t="s">
        <v>483</v>
      </c>
      <c r="G24" s="333" t="s">
        <v>484</v>
      </c>
      <c r="H24" s="334" t="s">
        <v>485</v>
      </c>
      <c r="I24" s="333" t="s">
        <v>468</v>
      </c>
      <c r="J24" s="333" t="s">
        <v>462</v>
      </c>
      <c r="K24" s="335" t="s">
        <v>486</v>
      </c>
      <c r="L24" s="327"/>
      <c r="M24" s="419"/>
      <c r="N24" s="418"/>
      <c r="O24" s="418"/>
      <c r="P24" s="425"/>
    </row>
    <row r="25" spans="5:17" ht="28.9" customHeight="1" x14ac:dyDescent="0.3">
      <c r="E25" s="332" t="s">
        <v>487</v>
      </c>
      <c r="F25" s="333" t="s">
        <v>488</v>
      </c>
      <c r="G25" s="333" t="s">
        <v>489</v>
      </c>
      <c r="H25" s="334" t="s">
        <v>490</v>
      </c>
      <c r="I25" s="333" t="s">
        <v>491</v>
      </c>
      <c r="J25" s="333" t="s">
        <v>462</v>
      </c>
      <c r="K25" s="335" t="s">
        <v>492</v>
      </c>
      <c r="L25" s="416"/>
      <c r="M25" s="416"/>
      <c r="N25" s="416"/>
      <c r="O25" s="416"/>
      <c r="P25" s="416"/>
    </row>
    <row r="26" spans="5:17" ht="28.9" customHeight="1" x14ac:dyDescent="0.3">
      <c r="E26" s="332" t="s">
        <v>493</v>
      </c>
      <c r="F26" s="333" t="s">
        <v>494</v>
      </c>
      <c r="G26" s="333" t="s">
        <v>495</v>
      </c>
      <c r="H26" s="334" t="s">
        <v>496</v>
      </c>
      <c r="I26" s="333" t="s">
        <v>497</v>
      </c>
      <c r="J26" s="333" t="s">
        <v>462</v>
      </c>
      <c r="K26" s="440" t="s">
        <v>498</v>
      </c>
      <c r="L26" s="416"/>
      <c r="M26" s="416"/>
      <c r="N26" s="416"/>
      <c r="O26" s="416"/>
      <c r="P26" s="416"/>
    </row>
    <row r="27" spans="5:17" ht="28.9" customHeight="1" x14ac:dyDescent="0.3">
      <c r="E27" s="332" t="s">
        <v>499</v>
      </c>
      <c r="F27" s="333" t="s">
        <v>500</v>
      </c>
      <c r="G27" s="333" t="s">
        <v>501</v>
      </c>
      <c r="H27" s="334" t="s">
        <v>502</v>
      </c>
      <c r="I27" s="333" t="s">
        <v>503</v>
      </c>
      <c r="J27" s="333" t="s">
        <v>462</v>
      </c>
      <c r="K27" s="335" t="s">
        <v>504</v>
      </c>
      <c r="L27" s="416"/>
      <c r="M27" s="416"/>
      <c r="N27" s="416"/>
      <c r="O27" s="416"/>
      <c r="P27" s="416"/>
    </row>
    <row r="28" spans="5:17" ht="28.9" customHeight="1" x14ac:dyDescent="0.3">
      <c r="E28" s="332" t="s">
        <v>505</v>
      </c>
      <c r="F28" s="333" t="s">
        <v>506</v>
      </c>
      <c r="G28" s="333" t="s">
        <v>507</v>
      </c>
      <c r="H28" s="334" t="s">
        <v>508</v>
      </c>
      <c r="I28" s="333" t="s">
        <v>509</v>
      </c>
      <c r="J28" s="333" t="s">
        <v>510</v>
      </c>
      <c r="K28" s="335" t="s">
        <v>511</v>
      </c>
      <c r="L28" s="416"/>
      <c r="M28" s="416"/>
      <c r="N28" s="416"/>
      <c r="O28" s="416"/>
      <c r="P28" s="416"/>
    </row>
    <row r="29" spans="5:17" ht="28.9" customHeight="1" x14ac:dyDescent="0.3">
      <c r="E29" s="332" t="s">
        <v>512</v>
      </c>
      <c r="F29" s="333" t="s">
        <v>513</v>
      </c>
      <c r="G29" s="333" t="s">
        <v>514</v>
      </c>
      <c r="H29" s="334" t="s">
        <v>515</v>
      </c>
      <c r="I29" s="333" t="s">
        <v>516</v>
      </c>
      <c r="J29" s="333" t="s">
        <v>510</v>
      </c>
      <c r="K29" s="335" t="s">
        <v>517</v>
      </c>
      <c r="L29" s="416"/>
      <c r="M29" s="416"/>
      <c r="N29" s="416"/>
      <c r="O29" s="416"/>
      <c r="P29" s="416"/>
    </row>
    <row r="30" spans="5:17" ht="28.9" customHeight="1" x14ac:dyDescent="0.3">
      <c r="E30" s="332" t="s">
        <v>518</v>
      </c>
      <c r="F30" s="333" t="s">
        <v>519</v>
      </c>
      <c r="G30" s="333" t="s">
        <v>520</v>
      </c>
      <c r="H30" s="334" t="s">
        <v>521</v>
      </c>
      <c r="I30" s="333" t="s">
        <v>522</v>
      </c>
      <c r="J30" s="333" t="s">
        <v>510</v>
      </c>
      <c r="K30" s="335" t="s">
        <v>523</v>
      </c>
      <c r="L30" s="416"/>
      <c r="M30" s="416"/>
      <c r="N30" s="416"/>
      <c r="O30" s="416"/>
      <c r="P30" s="416"/>
    </row>
    <row r="31" spans="5:17" ht="28.9" customHeight="1" x14ac:dyDescent="0.3">
      <c r="E31" s="332" t="s">
        <v>524</v>
      </c>
      <c r="F31" s="333" t="s">
        <v>525</v>
      </c>
      <c r="G31" s="333" t="s">
        <v>526</v>
      </c>
      <c r="H31" s="334" t="s">
        <v>527</v>
      </c>
      <c r="I31" s="333" t="s">
        <v>528</v>
      </c>
      <c r="J31" s="333" t="s">
        <v>510</v>
      </c>
      <c r="K31" s="335" t="s">
        <v>529</v>
      </c>
      <c r="L31" s="416"/>
      <c r="M31" s="416"/>
      <c r="N31" s="416"/>
      <c r="O31" s="416"/>
      <c r="P31" s="416"/>
    </row>
    <row r="32" spans="5:17" ht="28.9" customHeight="1" thickBot="1" x14ac:dyDescent="0.35">
      <c r="E32" s="338" t="s">
        <v>530</v>
      </c>
      <c r="F32" s="339" t="s">
        <v>531</v>
      </c>
      <c r="G32" s="339" t="s">
        <v>532</v>
      </c>
      <c r="H32" s="340" t="s">
        <v>533</v>
      </c>
      <c r="I32" s="339" t="s">
        <v>534</v>
      </c>
      <c r="J32" s="339" t="s">
        <v>510</v>
      </c>
      <c r="K32" s="341" t="s">
        <v>535</v>
      </c>
      <c r="L32" s="416"/>
      <c r="M32" s="416"/>
      <c r="N32" s="416"/>
      <c r="O32" s="416"/>
      <c r="P32" s="416"/>
    </row>
    <row r="33" spans="2:18" ht="28.9" customHeight="1" x14ac:dyDescent="0.25"/>
    <row r="34" spans="2:18" ht="28.9" customHeight="1" thickBot="1" x14ac:dyDescent="0.3"/>
    <row r="35" spans="2:18" ht="28.9" customHeight="1" thickBot="1" x14ac:dyDescent="0.4">
      <c r="B35" s="548" t="s">
        <v>536</v>
      </c>
      <c r="C35" s="549"/>
      <c r="D35" s="549"/>
      <c r="E35" s="549"/>
      <c r="F35" s="549"/>
      <c r="G35" s="549"/>
      <c r="H35" s="549"/>
      <c r="I35" s="549"/>
      <c r="J35" s="549"/>
      <c r="K35" s="549"/>
      <c r="L35" s="549"/>
      <c r="M35" s="549"/>
      <c r="N35" s="549"/>
      <c r="O35" s="549"/>
      <c r="P35" s="549"/>
      <c r="Q35" s="549"/>
      <c r="R35" s="550"/>
    </row>
    <row r="36" spans="2:18" ht="28.9" customHeight="1" x14ac:dyDescent="0.3">
      <c r="B36" s="350" t="s">
        <v>287</v>
      </c>
      <c r="C36" s="351" t="s">
        <v>288</v>
      </c>
      <c r="D36" s="351" t="s">
        <v>289</v>
      </c>
      <c r="E36" s="351" t="s">
        <v>290</v>
      </c>
      <c r="F36" s="351" t="s">
        <v>291</v>
      </c>
      <c r="G36" s="351" t="s">
        <v>292</v>
      </c>
      <c r="H36" s="351" t="s">
        <v>293</v>
      </c>
      <c r="I36" s="351" t="s">
        <v>294</v>
      </c>
      <c r="J36" s="351" t="s">
        <v>295</v>
      </c>
      <c r="K36" s="351" t="s">
        <v>311</v>
      </c>
      <c r="L36" s="352" t="s">
        <v>537</v>
      </c>
      <c r="M36" s="352" t="s">
        <v>538</v>
      </c>
      <c r="N36" s="352" t="s">
        <v>539</v>
      </c>
      <c r="O36" s="352" t="s">
        <v>360</v>
      </c>
      <c r="P36" s="352" t="s">
        <v>540</v>
      </c>
      <c r="Q36" s="352" t="s">
        <v>541</v>
      </c>
      <c r="R36" s="353" t="s">
        <v>319</v>
      </c>
    </row>
    <row r="37" spans="2:18" ht="28.9" customHeight="1" x14ac:dyDescent="0.3">
      <c r="B37" s="423" t="s">
        <v>542</v>
      </c>
      <c r="C37" s="409" t="s">
        <v>543</v>
      </c>
      <c r="D37" s="409" t="s">
        <v>544</v>
      </c>
      <c r="E37" s="409" t="s">
        <v>545</v>
      </c>
      <c r="F37" s="409">
        <v>3336859865</v>
      </c>
      <c r="G37" s="409" t="s">
        <v>546</v>
      </c>
      <c r="H37" s="421" t="s">
        <v>442</v>
      </c>
      <c r="I37" s="430" t="s">
        <v>547</v>
      </c>
      <c r="J37" s="409" t="s">
        <v>548</v>
      </c>
      <c r="K37" s="409" t="s">
        <v>549</v>
      </c>
      <c r="L37" s="428">
        <v>3000</v>
      </c>
      <c r="M37" s="428"/>
      <c r="N37" s="428"/>
      <c r="O37" s="428"/>
      <c r="P37" s="428"/>
      <c r="Q37" s="260"/>
      <c r="R37" s="261"/>
    </row>
    <row r="38" spans="2:18" ht="28.9" customHeight="1" x14ac:dyDescent="0.3">
      <c r="B38" s="423" t="s">
        <v>550</v>
      </c>
      <c r="C38" s="409" t="s">
        <v>543</v>
      </c>
      <c r="D38" s="409" t="s">
        <v>551</v>
      </c>
      <c r="E38" s="409" t="s">
        <v>552</v>
      </c>
      <c r="F38" s="409">
        <v>3336859865</v>
      </c>
      <c r="G38" s="409" t="s">
        <v>553</v>
      </c>
      <c r="H38" s="421" t="s">
        <v>448</v>
      </c>
      <c r="I38" s="430" t="s">
        <v>554</v>
      </c>
      <c r="J38" s="409" t="s">
        <v>555</v>
      </c>
      <c r="K38" s="409" t="s">
        <v>549</v>
      </c>
      <c r="L38" s="428">
        <v>3000</v>
      </c>
      <c r="M38" s="428"/>
      <c r="N38" s="428"/>
      <c r="O38" s="428"/>
      <c r="P38" s="428"/>
      <c r="Q38" s="260"/>
      <c r="R38" s="261"/>
    </row>
    <row r="39" spans="2:18" ht="28.9" customHeight="1" x14ac:dyDescent="0.3">
      <c r="B39" s="423" t="s">
        <v>556</v>
      </c>
      <c r="C39" s="409" t="s">
        <v>543</v>
      </c>
      <c r="D39" s="409" t="s">
        <v>544</v>
      </c>
      <c r="E39" s="409" t="s">
        <v>545</v>
      </c>
      <c r="F39" s="409">
        <v>3336859865</v>
      </c>
      <c r="G39" s="409" t="s">
        <v>557</v>
      </c>
      <c r="H39" s="421" t="s">
        <v>454</v>
      </c>
      <c r="I39" s="430" t="s">
        <v>558</v>
      </c>
      <c r="J39" s="409" t="s">
        <v>559</v>
      </c>
      <c r="K39" s="409" t="s">
        <v>549</v>
      </c>
      <c r="L39" s="428">
        <v>3000</v>
      </c>
      <c r="M39" s="428"/>
      <c r="N39" s="428"/>
      <c r="O39" s="428"/>
      <c r="P39" s="428"/>
      <c r="Q39" s="260"/>
      <c r="R39" s="261"/>
    </row>
    <row r="40" spans="2:18" ht="28.9" customHeight="1" x14ac:dyDescent="0.3">
      <c r="B40" s="423" t="s">
        <v>560</v>
      </c>
      <c r="C40" s="409" t="s">
        <v>543</v>
      </c>
      <c r="D40" s="409" t="s">
        <v>561</v>
      </c>
      <c r="E40" s="409" t="s">
        <v>552</v>
      </c>
      <c r="F40" s="409">
        <v>3336859865</v>
      </c>
      <c r="G40" s="409" t="s">
        <v>562</v>
      </c>
      <c r="H40" s="421" t="s">
        <v>460</v>
      </c>
      <c r="I40" s="430" t="s">
        <v>563</v>
      </c>
      <c r="J40" s="409" t="s">
        <v>564</v>
      </c>
      <c r="K40" s="409" t="s">
        <v>549</v>
      </c>
      <c r="L40" s="428">
        <v>3000</v>
      </c>
      <c r="M40" s="428"/>
      <c r="N40" s="428"/>
      <c r="O40" s="428"/>
      <c r="P40" s="428"/>
      <c r="Q40" s="260"/>
      <c r="R40" s="261"/>
    </row>
    <row r="41" spans="2:18" ht="28.9" customHeight="1" thickBot="1" x14ac:dyDescent="0.35">
      <c r="B41" s="419"/>
      <c r="C41" s="418"/>
      <c r="D41" s="418"/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  <c r="Q41" s="258"/>
      <c r="R41" s="259"/>
    </row>
    <row r="42" spans="2:18" ht="28.9" customHeight="1" x14ac:dyDescent="0.25"/>
    <row r="43" spans="2:18" ht="28.9" customHeight="1" x14ac:dyDescent="0.25"/>
    <row r="44" spans="2:18" ht="28.9" customHeight="1" x14ac:dyDescent="0.25"/>
    <row r="45" spans="2:18" ht="28.9" customHeight="1" x14ac:dyDescent="0.25"/>
    <row r="46" spans="2:18" ht="28.9" customHeight="1" x14ac:dyDescent="0.25"/>
    <row r="47" spans="2:18" ht="28.9" customHeight="1" x14ac:dyDescent="0.25"/>
    <row r="48" spans="2:18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3">
    <mergeCell ref="E10:K10"/>
    <mergeCell ref="M10:P10"/>
    <mergeCell ref="B35:R35"/>
  </mergeCells>
  <hyperlinks>
    <hyperlink ref="M28" r:id="rId1" display="andréa.melo29@email.com"/>
    <hyperlink ref="K15" r:id="rId2"/>
    <hyperlink ref="K26" r:id="rId3"/>
    <hyperlink ref="K19" r:id="rId4"/>
    <hyperlink ref="I37" r:id="rId5"/>
    <hyperlink ref="I38" r:id="rId6"/>
    <hyperlink ref="I39" r:id="rId7"/>
    <hyperlink ref="I40" r:id="rId8"/>
  </hyperlinks>
  <pageMargins left="0.511811024" right="0.511811024" top="0.78740157499999996" bottom="0.78740157499999996" header="0.31496062000000002" footer="0.31496062000000002"/>
  <pageSetup paperSize="9" orientation="portrait" r:id="rId9"/>
  <drawing r:id="rId1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9">
    <tabColor rgb="FF171717"/>
  </sheetPr>
  <dimension ref="A1:AU66"/>
  <sheetViews>
    <sheetView zoomScale="40" zoomScaleNormal="40" workbookViewId="0"/>
  </sheetViews>
  <sheetFormatPr defaultColWidth="8.85546875" defaultRowHeight="15" x14ac:dyDescent="0.25"/>
  <cols>
    <col min="1" max="1" width="8.85546875" style="100"/>
    <col min="2" max="2" width="14.28515625" style="100" bestFit="1" customWidth="1"/>
    <col min="3" max="3" width="36.140625" style="100" customWidth="1"/>
    <col min="4" max="4" width="30.28515625" style="100" customWidth="1"/>
    <col min="5" max="5" width="21" style="100" bestFit="1" customWidth="1"/>
    <col min="6" max="6" width="45.42578125" style="100" bestFit="1" customWidth="1"/>
    <col min="7" max="7" width="34" style="100" bestFit="1" customWidth="1"/>
    <col min="8" max="8" width="50.42578125" style="100" bestFit="1" customWidth="1"/>
    <col min="9" max="9" width="46.28515625" style="100" bestFit="1" customWidth="1"/>
    <col min="10" max="10" width="35.7109375" style="100" bestFit="1" customWidth="1"/>
    <col min="11" max="11" width="36.28515625" style="100" bestFit="1" customWidth="1"/>
    <col min="12" max="12" width="36" style="100" bestFit="1" customWidth="1"/>
    <col min="13" max="13" width="49.42578125" style="100" customWidth="1"/>
    <col min="14" max="14" width="28.140625" style="100" bestFit="1" customWidth="1"/>
    <col min="15" max="15" width="17" style="100" bestFit="1" customWidth="1"/>
    <col min="16" max="16" width="33" style="100" bestFit="1" customWidth="1"/>
    <col min="17" max="17" width="12.5703125" style="100" bestFit="1" customWidth="1"/>
    <col min="18" max="18" width="13" style="100" bestFit="1" customWidth="1"/>
    <col min="19" max="19" width="8.85546875" style="100"/>
    <col min="20" max="20" width="23.42578125" style="100" bestFit="1" customWidth="1"/>
    <col min="21" max="21" width="2.7109375" style="100" bestFit="1" customWidth="1"/>
    <col min="22" max="22" width="51.140625" style="100" customWidth="1"/>
    <col min="23" max="16384" width="8.85546875" style="100"/>
  </cols>
  <sheetData>
    <row r="1" spans="1:47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15" customHeight="1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15" customHeight="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</row>
    <row r="5" spans="1:47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</row>
    <row r="6" spans="1:47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</row>
    <row r="7" spans="1:47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</row>
    <row r="8" spans="1:47" ht="28.9" customHeight="1" x14ac:dyDescent="0.25"/>
    <row r="9" spans="1:47" ht="28.9" customHeight="1" x14ac:dyDescent="0.25"/>
    <row r="10" spans="1:47" ht="28.9" customHeight="1" x14ac:dyDescent="0.25"/>
    <row r="11" spans="1:47" ht="28.9" customHeight="1" x14ac:dyDescent="0.25">
      <c r="E11" s="551" t="s">
        <v>565</v>
      </c>
      <c r="F11" s="551"/>
      <c r="G11" s="551"/>
      <c r="H11" s="551"/>
      <c r="I11" s="551"/>
      <c r="J11" s="262"/>
      <c r="K11" s="262"/>
      <c r="L11" s="253"/>
    </row>
    <row r="12" spans="1:47" ht="28.9" customHeight="1" x14ac:dyDescent="0.3">
      <c r="E12" s="354" t="s">
        <v>282</v>
      </c>
      <c r="F12" s="354" t="s">
        <v>566</v>
      </c>
      <c r="G12" s="355" t="s">
        <v>364</v>
      </c>
      <c r="H12" s="354" t="s">
        <v>365</v>
      </c>
      <c r="I12" s="354" t="s">
        <v>567</v>
      </c>
      <c r="J12" s="263"/>
      <c r="K12" s="263"/>
      <c r="L12" s="252"/>
    </row>
    <row r="13" spans="1:47" ht="28.9" customHeight="1" x14ac:dyDescent="0.3">
      <c r="E13" s="356"/>
      <c r="F13" s="356"/>
      <c r="G13" s="357">
        <v>20</v>
      </c>
      <c r="H13" s="356"/>
      <c r="I13" s="356" t="s">
        <v>568</v>
      </c>
      <c r="J13" s="81"/>
      <c r="K13" s="264"/>
      <c r="L13" s="252"/>
    </row>
    <row r="14" spans="1:47" ht="28.9" customHeight="1" x14ac:dyDescent="0.3">
      <c r="E14" s="356"/>
      <c r="F14" s="358"/>
      <c r="G14" s="359">
        <v>30</v>
      </c>
      <c r="H14" s="356"/>
      <c r="I14" s="356" t="s">
        <v>568</v>
      </c>
      <c r="J14" s="81"/>
      <c r="K14" s="255"/>
      <c r="L14" s="252"/>
    </row>
    <row r="15" spans="1:47" ht="28.9" customHeight="1" x14ac:dyDescent="0.3">
      <c r="E15" s="356"/>
      <c r="F15" s="356"/>
      <c r="G15" s="359">
        <v>23</v>
      </c>
      <c r="H15" s="356"/>
      <c r="I15" s="356" t="s">
        <v>568</v>
      </c>
      <c r="J15" s="81"/>
      <c r="K15" s="264"/>
      <c r="L15" s="252"/>
    </row>
    <row r="16" spans="1:47" ht="28.9" customHeight="1" x14ac:dyDescent="0.3">
      <c r="E16" s="356"/>
      <c r="F16" s="356"/>
      <c r="G16" s="359">
        <v>50</v>
      </c>
      <c r="H16" s="356"/>
      <c r="I16" s="356" t="s">
        <v>568</v>
      </c>
      <c r="J16" s="81"/>
      <c r="K16" s="265"/>
      <c r="L16" s="1"/>
    </row>
    <row r="17" spans="5:12" ht="28.9" customHeight="1" x14ac:dyDescent="0.3">
      <c r="E17" s="356"/>
      <c r="F17" s="356"/>
      <c r="G17" s="359">
        <v>77</v>
      </c>
      <c r="H17" s="356"/>
      <c r="I17" s="356" t="s">
        <v>568</v>
      </c>
      <c r="J17" s="81"/>
      <c r="K17" s="255"/>
      <c r="L17" s="1"/>
    </row>
    <row r="18" spans="5:12" ht="28.9" customHeight="1" x14ac:dyDescent="0.3">
      <c r="E18" s="356"/>
      <c r="F18" s="356"/>
      <c r="G18" s="359">
        <v>55</v>
      </c>
      <c r="H18" s="356"/>
      <c r="I18" s="356" t="s">
        <v>568</v>
      </c>
      <c r="J18" s="81"/>
      <c r="K18" s="264"/>
      <c r="L18" s="1"/>
    </row>
    <row r="19" spans="5:12" ht="28.9" customHeight="1" x14ac:dyDescent="0.3">
      <c r="E19" s="356"/>
      <c r="F19" s="356"/>
      <c r="G19" s="359">
        <v>130</v>
      </c>
      <c r="H19" s="356"/>
      <c r="I19" s="356" t="s">
        <v>568</v>
      </c>
      <c r="J19" s="81"/>
      <c r="K19" s="264"/>
    </row>
    <row r="20" spans="5:12" ht="28.9" customHeight="1" x14ac:dyDescent="0.3">
      <c r="E20" s="356"/>
      <c r="F20" s="356"/>
      <c r="G20" s="359">
        <v>62</v>
      </c>
      <c r="H20" s="356"/>
      <c r="I20" s="356" t="s">
        <v>568</v>
      </c>
      <c r="J20" s="81"/>
      <c r="K20" s="266"/>
    </row>
    <row r="21" spans="5:12" ht="28.9" customHeight="1" x14ac:dyDescent="0.3">
      <c r="E21" s="356"/>
      <c r="F21" s="356"/>
      <c r="G21" s="359">
        <v>8</v>
      </c>
      <c r="H21" s="356"/>
      <c r="I21" s="356" t="s">
        <v>568</v>
      </c>
      <c r="J21" s="81"/>
      <c r="K21" s="264"/>
    </row>
    <row r="22" spans="5:12" ht="28.9" customHeight="1" x14ac:dyDescent="0.3">
      <c r="E22" s="356"/>
      <c r="F22" s="356"/>
      <c r="G22" s="359">
        <v>54</v>
      </c>
      <c r="H22" s="356"/>
      <c r="I22" s="356" t="s">
        <v>568</v>
      </c>
      <c r="J22" s="81"/>
      <c r="K22" s="255"/>
    </row>
    <row r="23" spans="5:12" ht="28.9" customHeight="1" x14ac:dyDescent="0.3">
      <c r="E23" s="356"/>
      <c r="F23" s="356"/>
      <c r="G23" s="359">
        <v>4</v>
      </c>
      <c r="H23" s="356"/>
      <c r="I23" s="356" t="s">
        <v>568</v>
      </c>
      <c r="J23" s="81"/>
      <c r="K23" s="255"/>
    </row>
    <row r="24" spans="5:12" ht="28.9" customHeight="1" x14ac:dyDescent="0.3">
      <c r="E24" s="356"/>
      <c r="F24" s="356"/>
      <c r="G24" s="359">
        <v>64</v>
      </c>
      <c r="H24" s="356"/>
      <c r="I24" s="356" t="s">
        <v>568</v>
      </c>
      <c r="J24" s="81"/>
      <c r="K24" s="267"/>
    </row>
    <row r="25" spans="5:12" ht="28.9" customHeight="1" x14ac:dyDescent="0.3">
      <c r="E25" s="356"/>
      <c r="F25" s="356"/>
      <c r="G25" s="359">
        <v>78</v>
      </c>
      <c r="H25" s="356"/>
      <c r="I25" s="356" t="s">
        <v>568</v>
      </c>
      <c r="J25" s="81"/>
      <c r="K25" s="264"/>
      <c r="L25" s="257"/>
    </row>
    <row r="26" spans="5:12" ht="28.9" customHeight="1" thickBot="1" x14ac:dyDescent="0.3">
      <c r="E26" s="81"/>
      <c r="F26" s="81"/>
      <c r="G26" s="81"/>
      <c r="H26" s="264"/>
      <c r="I26" s="81"/>
      <c r="J26" s="81"/>
      <c r="K26" s="264"/>
    </row>
    <row r="27" spans="5:12" ht="28.9" customHeight="1" x14ac:dyDescent="0.3">
      <c r="E27" s="539" t="s">
        <v>569</v>
      </c>
      <c r="F27" s="540"/>
      <c r="G27" s="540"/>
      <c r="H27" s="540"/>
      <c r="I27" s="540"/>
      <c r="J27" s="540"/>
      <c r="K27" s="540"/>
      <c r="L27" s="541"/>
    </row>
    <row r="28" spans="5:12" ht="28.9" customHeight="1" x14ac:dyDescent="0.25">
      <c r="E28" s="360" t="s">
        <v>220</v>
      </c>
      <c r="F28" s="290" t="s">
        <v>570</v>
      </c>
      <c r="G28" s="290" t="s">
        <v>571</v>
      </c>
      <c r="H28" s="290" t="s">
        <v>572</v>
      </c>
      <c r="I28" s="290" t="s">
        <v>573</v>
      </c>
      <c r="J28" s="290" t="s">
        <v>574</v>
      </c>
      <c r="K28" s="290" t="s">
        <v>575</v>
      </c>
      <c r="L28" s="361" t="s">
        <v>576</v>
      </c>
    </row>
    <row r="29" spans="5:12" ht="28.9" customHeight="1" x14ac:dyDescent="0.35">
      <c r="E29" s="362"/>
      <c r="F29" s="326"/>
      <c r="G29" s="326"/>
      <c r="H29" s="326"/>
      <c r="I29" s="326"/>
      <c r="J29" s="345"/>
      <c r="K29" s="345"/>
      <c r="L29" s="346"/>
    </row>
    <row r="30" spans="5:12" ht="28.9" customHeight="1" x14ac:dyDescent="0.35">
      <c r="E30" s="362"/>
      <c r="F30" s="326"/>
      <c r="G30" s="326"/>
      <c r="H30" s="326"/>
      <c r="I30" s="326"/>
      <c r="J30" s="345"/>
      <c r="K30" s="345"/>
      <c r="L30" s="346"/>
    </row>
    <row r="31" spans="5:12" ht="28.9" customHeight="1" x14ac:dyDescent="0.35">
      <c r="E31" s="344"/>
      <c r="F31" s="345"/>
      <c r="G31" s="345"/>
      <c r="H31" s="345"/>
      <c r="I31" s="345"/>
      <c r="J31" s="345"/>
      <c r="K31" s="345"/>
      <c r="L31" s="346"/>
    </row>
    <row r="32" spans="5:12" ht="28.9" customHeight="1" x14ac:dyDescent="0.35">
      <c r="E32" s="344"/>
      <c r="F32" s="345"/>
      <c r="G32" s="345"/>
      <c r="H32" s="345"/>
      <c r="I32" s="345"/>
      <c r="J32" s="345"/>
      <c r="K32" s="345"/>
      <c r="L32" s="346"/>
    </row>
    <row r="33" spans="5:12" ht="28.9" customHeight="1" x14ac:dyDescent="0.35">
      <c r="E33" s="344"/>
      <c r="F33" s="345"/>
      <c r="G33" s="345"/>
      <c r="H33" s="345"/>
      <c r="I33" s="345"/>
      <c r="J33" s="345"/>
      <c r="K33" s="345"/>
      <c r="L33" s="346"/>
    </row>
    <row r="34" spans="5:12" ht="28.9" customHeight="1" thickBot="1" x14ac:dyDescent="0.4">
      <c r="E34" s="347"/>
      <c r="F34" s="348"/>
      <c r="G34" s="348"/>
      <c r="H34" s="348"/>
      <c r="I34" s="348"/>
      <c r="J34" s="348"/>
      <c r="K34" s="348"/>
      <c r="L34" s="349"/>
    </row>
    <row r="35" spans="5:12" ht="28.9" customHeight="1" x14ac:dyDescent="0.25"/>
    <row r="36" spans="5:12" ht="28.9" customHeight="1" x14ac:dyDescent="0.25"/>
    <row r="37" spans="5:12" ht="28.9" customHeight="1" x14ac:dyDescent="0.25"/>
    <row r="38" spans="5:12" ht="28.9" customHeight="1" x14ac:dyDescent="0.25"/>
    <row r="39" spans="5:12" ht="28.9" customHeight="1" x14ac:dyDescent="0.25"/>
    <row r="40" spans="5:12" ht="28.9" customHeight="1" x14ac:dyDescent="0.25"/>
    <row r="41" spans="5:12" ht="28.9" customHeight="1" x14ac:dyDescent="0.25"/>
    <row r="42" spans="5:12" ht="28.9" customHeight="1" x14ac:dyDescent="0.25"/>
    <row r="43" spans="5:12" ht="28.9" customHeight="1" x14ac:dyDescent="0.25"/>
    <row r="44" spans="5:12" ht="28.9" customHeight="1" x14ac:dyDescent="0.25"/>
    <row r="45" spans="5:12" ht="28.9" customHeight="1" x14ac:dyDescent="0.25"/>
    <row r="46" spans="5:12" ht="28.9" customHeight="1" x14ac:dyDescent="0.25"/>
    <row r="47" spans="5:12" ht="28.9" customHeight="1" x14ac:dyDescent="0.25"/>
    <row r="48" spans="5:12" ht="28.9" customHeight="1" x14ac:dyDescent="0.25"/>
    <row r="49" ht="28.9" customHeight="1" x14ac:dyDescent="0.25"/>
    <row r="50" ht="28.9" customHeight="1" x14ac:dyDescent="0.25"/>
    <row r="51" ht="28.9" customHeight="1" x14ac:dyDescent="0.25"/>
    <row r="52" ht="28.9" customHeight="1" x14ac:dyDescent="0.25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E11:I11"/>
    <mergeCell ref="E27:L2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44</vt:i4>
      </vt:variant>
    </vt:vector>
  </HeadingPairs>
  <TitlesOfParts>
    <vt:vector size="44" baseType="lpstr">
      <vt:lpstr>HOME</vt:lpstr>
      <vt:lpstr>PROD_HOME</vt:lpstr>
      <vt:lpstr>PRODUÇÃO_REQUISIÇÕES</vt:lpstr>
      <vt:lpstr>PRODUÇÃO_EQUIPES</vt:lpstr>
      <vt:lpstr>PRODUÇÃO_LANÇAMENTOS</vt:lpstr>
      <vt:lpstr>PRODUÇÃO_CONSULTA</vt:lpstr>
      <vt:lpstr>HOME_LOGISTICA</vt:lpstr>
      <vt:lpstr>N_LOGCLIENTES</vt:lpstr>
      <vt:lpstr>N_LOGVEIC</vt:lpstr>
      <vt:lpstr>N_LOGCRON</vt:lpstr>
      <vt:lpstr>N_LOGFRETE</vt:lpstr>
      <vt:lpstr>N_LOGRELAT</vt:lpstr>
      <vt:lpstr>N_LOGRAST</vt:lpstr>
      <vt:lpstr>N_LOGCAD</vt:lpstr>
      <vt:lpstr>HOME_ESTOQUE</vt:lpstr>
      <vt:lpstr>N_ESTQSAÍDAS</vt:lpstr>
      <vt:lpstr>N_ESTQENTRAD</vt:lpstr>
      <vt:lpstr>HOME_RH</vt:lpstr>
      <vt:lpstr>N_RHCONTRATAÇÃO</vt:lpstr>
      <vt:lpstr>N_CADASTRAR</vt:lpstr>
      <vt:lpstr>N_RHFOLHA</vt:lpstr>
      <vt:lpstr>N_RHREF </vt:lpstr>
      <vt:lpstr>HOME_VENDAS</vt:lpstr>
      <vt:lpstr>N_VCLIENTES</vt:lpstr>
      <vt:lpstr>N_VCINTRL</vt:lpstr>
      <vt:lpstr>N_VMETAS</vt:lpstr>
      <vt:lpstr>N_VRELCOM</vt:lpstr>
      <vt:lpstr>N_VRELMET</vt:lpstr>
      <vt:lpstr>HOME_COMPRAS</vt:lpstr>
      <vt:lpstr>N_CCADASTROF</vt:lpstr>
      <vt:lpstr>N_PROCFOR</vt:lpstr>
      <vt:lpstr>N_CSOLICITAR</vt:lpstr>
      <vt:lpstr>N_CMP</vt:lpstr>
      <vt:lpstr>SOLICITAÇÕES</vt:lpstr>
      <vt:lpstr>N_CREALIZARP</vt:lpstr>
      <vt:lpstr>HOME_FINANCAS</vt:lpstr>
      <vt:lpstr>N_FINANÇAS</vt:lpstr>
      <vt:lpstr>N_FINANÇAS (2)</vt:lpstr>
      <vt:lpstr>N_FINANÇAS (3)</vt:lpstr>
      <vt:lpstr>HOME_BD</vt:lpstr>
      <vt:lpstr>B1</vt:lpstr>
      <vt:lpstr>BD_CADAS</vt:lpstr>
      <vt:lpstr>B2</vt:lpstr>
      <vt:lpstr>B3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Usuario</cp:lastModifiedBy>
  <cp:revision/>
  <dcterms:created xsi:type="dcterms:W3CDTF">2024-10-25T18:08:44Z</dcterms:created>
  <dcterms:modified xsi:type="dcterms:W3CDTF">2024-12-01T02:09:59Z</dcterms:modified>
  <cp:category/>
  <cp:contentStatus/>
</cp:coreProperties>
</file>